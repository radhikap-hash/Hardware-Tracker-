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 DEFINITION" sheetId="1" state="visible" r:id="rId3"/>
    <sheet name="LISTS" sheetId="2" state="hidden" r:id="rId4"/>
    <sheet name="PEOPLE" sheetId="3" state="visible" r:id="rId5"/>
    <sheet name="COMPLETED" sheetId="4" state="visible" r:id="rId6"/>
    <sheet name="ACTIVE" sheetId="5" state="visible" r:id="rId7"/>
  </sheets>
  <definedNames>
    <definedName function="false" hidden="true" localSheetId="4" name="_xlnm._FilterDatabase" vbProcedure="false">ACTIVE!$A$16:$AU$41</definedName>
    <definedName function="false" hidden="true" localSheetId="3" name="_xlnm._FilterDatabase" vbProcedure="false">COMPLETED!$A$5:$AW$47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<sst xmlns="http://schemas.openxmlformats.org/spreadsheetml/2006/main" count="1296" uniqueCount="333">
  <si>
    <t xml:space="preserve">PCB Tracker — backend data model</t>
  </si>
  <si>
    <t xml:space="preserve">Seven stages, four columns each: Owner, Status, EDC, EDA. The dashboard reads and writes these sheets directly.</t>
  </si>
  <si>
    <t xml:space="preserve">Stage</t>
  </si>
  <si>
    <t xml:space="preserve">Stage name</t>
  </si>
  <si>
    <t xml:space="preserve">What happens</t>
  </si>
  <si>
    <t xml:space="preserve">Completed when</t>
  </si>
  <si>
    <t xml:space="preserve">Owner column holds</t>
  </si>
  <si>
    <t xml:space="preserve">S1</t>
  </si>
  <si>
    <t xml:space="preserve">Schematic Design</t>
  </si>
  <si>
    <t xml:space="preserve">Requirement capture, part selection, power budget, circuit capture and review.</t>
  </si>
  <si>
    <t xml:space="preserve">Schematic released and netlist handed to layout.</t>
  </si>
  <si>
    <t xml:space="preserve">A design engineer</t>
  </si>
  <si>
    <t xml:space="preserve">S2</t>
  </si>
  <si>
    <t xml:space="preserve">PCB Layout / Design</t>
  </si>
  <si>
    <t xml:space="preserve">Stack-up, placement, routing, DFM checks and Gerber release.</t>
  </si>
  <si>
    <t xml:space="preserve">DRC/DFM clean and Gerber released.</t>
  </si>
  <si>
    <t xml:space="preserve">A layout engineer</t>
  </si>
  <si>
    <t xml:space="preserve">S3</t>
  </si>
  <si>
    <t xml:space="preserve">SI &amp; PI Simulation</t>
  </si>
  <si>
    <t xml:space="preserve">S-parameter extraction, DC drop, crosstalk, impedance and thermal analysis.</t>
  </si>
  <si>
    <t xml:space="preserve">All in-scope interfaces within margin and report shared.</t>
  </si>
  <si>
    <t xml:space="preserve">A simulation engineer</t>
  </si>
  <si>
    <t xml:space="preserve">S4</t>
  </si>
  <si>
    <t xml:space="preserve">Bare-PCB Fabrication</t>
  </si>
  <si>
    <t xml:space="preserve">Bare board ordered and tracked to receipt.</t>
  </si>
  <si>
    <t xml:space="preserve">Boards received and inspected.</t>
  </si>
  <si>
    <t xml:space="preserve">The fabricator, not a staff member</t>
  </si>
  <si>
    <t xml:space="preserve">S5</t>
  </si>
  <si>
    <t xml:space="preserve">Assembly</t>
  </si>
  <si>
    <t xml:space="preserve">Component assembly and soldering.</t>
  </si>
  <si>
    <t xml:space="preserve">Board populated and inspected.</t>
  </si>
  <si>
    <t xml:space="preserve">A hardware engineer</t>
  </si>
  <si>
    <t xml:space="preserve">S6</t>
  </si>
  <si>
    <t xml:space="preserve">Bring-up</t>
  </si>
  <si>
    <t xml:space="preserve">First power-on, functional validation and debug.</t>
  </si>
  <si>
    <t xml:space="preserve">Board validated and handed over.</t>
  </si>
  <si>
    <t xml:space="preserve">S7</t>
  </si>
  <si>
    <t xml:space="preserve">BOM Procurement</t>
  </si>
  <si>
    <t xml:space="preserve">Costing, sourcing and chasing long-lead parts.</t>
  </si>
  <si>
    <t xml:space="preserve">Parts sourced or alternates agreed.</t>
  </si>
  <si>
    <t xml:space="preserve">Column contract the dashboard depends on</t>
  </si>
  <si>
    <t xml:space="preserve">-  The field header row must contain a cell reading "Project / Board", with the stage group headers in the row directly above it.</t>
  </si>
  <si>
    <t xml:space="preserve">-  Each stage group header must keep its name — SCHEMATIC, PCB LAYOUT, SI &amp; PI, BARE-PCB FAB, ASSEMBLY, BRING-UP, BOM PROCUREMENT. The S&lt;n&gt; prefix is ignored, so stages can be renumbered or moved.</t>
  </si>
  <si>
    <t xml:space="preserve">-  Within a stage block the order is Owner, Status, EDC, EDA. The dashboard detects EDA by its header, so a block without it still works.</t>
  </si>
  <si>
    <t xml:space="preserve">-  Current Stage, Overall Status, EDC (current stage), Delay, Stages Done, Stages In Scope and % Through Process are formulas. Do not type over them.</t>
  </si>
  <si>
    <t xml:space="preserve">-  Overall Status alone decides which sheet a board belongs on. The dashboard reads it back after every save and moves the row.</t>
  </si>
  <si>
    <t xml:space="preserve">-  Owner values must match the "Name in sheet" column on PEOPLE, or the People tab cannot attribute the work. Two people are combined with " + ".</t>
  </si>
  <si>
    <t xml:space="preserve">Live roll-up</t>
  </si>
  <si>
    <t xml:space="preserve">Completed</t>
  </si>
  <si>
    <t xml:space="preserve">In Progress</t>
  </si>
  <si>
    <t xml:space="preserve">On Hold</t>
  </si>
  <si>
    <t xml:space="preserve">Not Started</t>
  </si>
  <si>
    <t xml:space="preserve">Cancelled</t>
  </si>
  <si>
    <t xml:space="preserve">NA</t>
  </si>
  <si>
    <t xml:space="preserve">S1 Schematic</t>
  </si>
  <si>
    <t xml:space="preserve">S2 PCB Layout</t>
  </si>
  <si>
    <t xml:space="preserve">S3 SI &amp; PI</t>
  </si>
  <si>
    <t xml:space="preserve">S4 Bare-PCB Fab</t>
  </si>
  <si>
    <t xml:space="preserve">S5 Assembly</t>
  </si>
  <si>
    <t xml:space="preserve">S6 Bring-up</t>
  </si>
  <si>
    <t xml:space="preserve">S7 BOM Procurement</t>
  </si>
  <si>
    <t xml:space="preserve">Status</t>
  </si>
  <si>
    <t xml:space="preserve">Re-entry Stage</t>
  </si>
  <si>
    <t xml:space="preserve">Respin Reason</t>
  </si>
  <si>
    <t xml:space="preserve">Yes/No</t>
  </si>
  <si>
    <t xml:space="preserve">Customer</t>
  </si>
  <si>
    <t xml:space="preserve">Hold / delay reason</t>
  </si>
  <si>
    <t xml:space="preserve">Owner</t>
  </si>
  <si>
    <t xml:space="preserve">Design defect found at bring-up</t>
  </si>
  <si>
    <t xml:space="preserve">Yes</t>
  </si>
  <si>
    <t xml:space="preserve">Aerx Labs</t>
  </si>
  <si>
    <t xml:space="preserve">Waiting on customer feedback</t>
  </si>
  <si>
    <t xml:space="preserve">Srinivas</t>
  </si>
  <si>
    <t xml:space="preserve">Component obsolete / not sourceable</t>
  </si>
  <si>
    <t xml:space="preserve">No</t>
  </si>
  <si>
    <t xml:space="preserve">FLC</t>
  </si>
  <si>
    <t xml:space="preserve">Waiting on component / long-lead part</t>
  </si>
  <si>
    <t xml:space="preserve">Sunil</t>
  </si>
  <si>
    <t xml:space="preserve">Customer change request</t>
  </si>
  <si>
    <t xml:space="preserve">GMR</t>
  </si>
  <si>
    <t xml:space="preserve">De-prioritised for another board</t>
  </si>
  <si>
    <t xml:space="preserve">Samudra</t>
  </si>
  <si>
    <t xml:space="preserve">SI / PI failure</t>
  </si>
  <si>
    <t xml:space="preserve">HAL</t>
  </si>
  <si>
    <t xml:space="preserve">Rework after SI/PI review</t>
  </si>
  <si>
    <t xml:space="preserve">Anji</t>
  </si>
  <si>
    <t xml:space="preserve">Fabrication defect</t>
  </si>
  <si>
    <t xml:space="preserve">Internal</t>
  </si>
  <si>
    <t xml:space="preserve">Waiting on updated schematic</t>
  </si>
  <si>
    <t xml:space="preserve">Vivek</t>
  </si>
  <si>
    <t xml:space="preserve">Assembly or footprint error</t>
  </si>
  <si>
    <t xml:space="preserve">Not set</t>
  </si>
  <si>
    <t xml:space="preserve">Fab or assembly queue</t>
  </si>
  <si>
    <t xml:space="preserve">Veeresh</t>
  </si>
  <si>
    <t xml:space="preserve">Performance not met</t>
  </si>
  <si>
    <t xml:space="preserve">Qernel.AI</t>
  </si>
  <si>
    <t xml:space="preserve">Owner not available</t>
  </si>
  <si>
    <t xml:space="preserve">Ramesh</t>
  </si>
  <si>
    <t xml:space="preserve">Other - see comment</t>
  </si>
  <si>
    <t xml:space="preserve">RCI</t>
  </si>
  <si>
    <t xml:space="preserve">Scope or SoW not agreed</t>
  </si>
  <si>
    <t xml:space="preserve">Vardhan</t>
  </si>
  <si>
    <t xml:space="preserve">TRS</t>
  </si>
  <si>
    <t xml:space="preserve">Keerthi</t>
  </si>
  <si>
    <t xml:space="preserve">Voila Tech</t>
  </si>
  <si>
    <t xml:space="preserve">Harika</t>
  </si>
  <si>
    <t xml:space="preserve">ZMD</t>
  </si>
  <si>
    <t xml:space="preserve">Sandhya</t>
  </si>
  <si>
    <t xml:space="preserve">Naveen</t>
  </si>
  <si>
    <t xml:space="preserve">Rajesh Sir</t>
  </si>
  <si>
    <t xml:space="preserve">PCB Power</t>
  </si>
  <si>
    <t xml:space="preserve">JLC</t>
  </si>
  <si>
    <t xml:space="preserve">Micropack</t>
  </si>
  <si>
    <t xml:space="preserve">Hardware team</t>
  </si>
  <si>
    <t xml:space="preserve">The dashboard joins stage owners to people through the "Name in sheet" column. A stage owner cell may combine two people with a "+", and each part is matched here.</t>
  </si>
  <si>
    <t xml:space="preserve">Employee code</t>
  </si>
  <si>
    <t xml:space="preserve">Name</t>
  </si>
  <si>
    <t xml:space="preserve">Function</t>
  </si>
  <si>
    <t xml:space="preserve">Experience (yrs)</t>
  </si>
  <si>
    <t xml:space="preserve">Billing</t>
  </si>
  <si>
    <t xml:space="preserve">Projects</t>
  </si>
  <si>
    <t xml:space="preserve">Plan</t>
  </si>
  <si>
    <t xml:space="preserve">Billed in</t>
  </si>
  <si>
    <t xml:space="preserve">Name in sheet</t>
  </si>
  <si>
    <t xml:space="preserve">Srinivasa Rao Supuri</t>
  </si>
  <si>
    <t xml:space="preserve">Hardware</t>
  </si>
  <si>
    <t xml:space="preserve">Billed</t>
  </si>
  <si>
    <t xml:space="preserve">Belly Camera</t>
  </si>
  <si>
    <t xml:space="preserve">Belly Cam</t>
  </si>
  <si>
    <t xml:space="preserve">VC_124</t>
  </si>
  <si>
    <t xml:space="preserve">Galipothu Sunil Kumar</t>
  </si>
  <si>
    <t xml:space="preserve">FLC + TRS + Smart IP Camera</t>
  </si>
  <si>
    <t xml:space="preserve">Smart IP Camera, PVC Card</t>
  </si>
  <si>
    <t xml:space="preserve">VC_176</t>
  </si>
  <si>
    <t xml:space="preserve">Jampani Samudralankaiah</t>
  </si>
  <si>
    <t xml:space="preserve">FLC + Smart IP Camera + AI Edge Server + RCI ITS</t>
  </si>
  <si>
    <t xml:space="preserve">Belly Camera, ZMD Edge</t>
  </si>
  <si>
    <t xml:space="preserve">Belly Cam, FLC</t>
  </si>
  <si>
    <t xml:space="preserve">VC_183</t>
  </si>
  <si>
    <t xml:space="preserve">Varimadla Anjaneyulu</t>
  </si>
  <si>
    <t xml:space="preserve">FLC + TRS + Internal / Web + RCI ITS</t>
  </si>
  <si>
    <t xml:space="preserve">Support to all Projects</t>
  </si>
  <si>
    <t xml:space="preserve">VC_224</t>
  </si>
  <si>
    <t xml:space="preserve">Chintha Vivek Sai</t>
  </si>
  <si>
    <t xml:space="preserve">need to discuss in August</t>
  </si>
  <si>
    <t xml:space="preserve">VC_161</t>
  </si>
  <si>
    <t xml:space="preserve">Veeresh Meeniga</t>
  </si>
  <si>
    <t xml:space="preserve">FLC + RCI ITS + RFSOC</t>
  </si>
  <si>
    <t xml:space="preserve">need to discuss in Nov</t>
  </si>
  <si>
    <t xml:space="preserve">VC_141</t>
  </si>
  <si>
    <t xml:space="preserve">Ravada Ramesh</t>
  </si>
  <si>
    <t xml:space="preserve">VC_163</t>
  </si>
  <si>
    <t xml:space="preserve">Ruka Nandi Vardhan Reddy</t>
  </si>
  <si>
    <t xml:space="preserve">TRS + Voila Tech + AI Edge Server</t>
  </si>
  <si>
    <t xml:space="preserve">VC_196</t>
  </si>
  <si>
    <t xml:space="preserve">Keerthi Sepana</t>
  </si>
  <si>
    <t xml:space="preserve">TRS + Voila Tech</t>
  </si>
  <si>
    <t xml:space="preserve">VC_200</t>
  </si>
  <si>
    <t xml:space="preserve">Harika Kunduru</t>
  </si>
  <si>
    <t xml:space="preserve">Smart IP Camera</t>
  </si>
  <si>
    <t xml:space="preserve">VC_229</t>
  </si>
  <si>
    <t xml:space="preserve">Bommi Sandhya</t>
  </si>
  <si>
    <t xml:space="preserve">Rajesh</t>
  </si>
  <si>
    <t xml:space="preserve">Fabrication vendors</t>
  </si>
  <si>
    <t xml:space="preserve">vendor, not counted as workload</t>
  </si>
  <si>
    <t xml:space="preserve">COMPLETED BOARDS</t>
  </si>
  <si>
    <t xml:space="preserve">Every stage is Completed or NA. Set Respin Needed? = Yes and pick a Re-entry Stage to send a board back; the dashboard moves the row for you.</t>
  </si>
  <si>
    <t xml:space="preserve">PROJECT</t>
  </si>
  <si>
    <t xml:space="preserve">PROCESS ROLL-UP</t>
  </si>
  <si>
    <t xml:space="preserve">S1 SCHEMATIC</t>
  </si>
  <si>
    <t xml:space="preserve">S2 PCB LAYOUT</t>
  </si>
  <si>
    <t xml:space="preserve">S4 BARE-PCB FAB</t>
  </si>
  <si>
    <t xml:space="preserve">S5 ASSEMBLY</t>
  </si>
  <si>
    <t xml:space="preserve">S6 BRING-UP</t>
  </si>
  <si>
    <t xml:space="preserve">S7 BOM PROCUREMENT</t>
  </si>
  <si>
    <t xml:space="preserve">RESPIN CONTROL  (set these to send a board back to ACTIVE)</t>
  </si>
  <si>
    <t xml:space="preserve">FOLLOW-UP</t>
  </si>
  <si>
    <t xml:space="preserve">S.No</t>
  </si>
  <si>
    <t xml:space="preserve">Project / Board</t>
  </si>
  <si>
    <t xml:space="preserve">Project Manager</t>
  </si>
  <si>
    <t xml:space="preserve">Current Stage</t>
  </si>
  <si>
    <t xml:space="preserve">Overall Status</t>
  </si>
  <si>
    <t xml:space="preserve">EDC (current stage)</t>
  </si>
  <si>
    <t xml:space="preserve">Delay (days)</t>
  </si>
  <si>
    <t xml:space="preserve">Stages Done</t>
  </si>
  <si>
    <t xml:space="preserve">Stages In Scope</t>
  </si>
  <si>
    <t xml:space="preserve">% Through Process</t>
  </si>
  <si>
    <t xml:space="preserve">EDC</t>
  </si>
  <si>
    <t xml:space="preserve">EDA</t>
  </si>
  <si>
    <t xml:space="preserve">Fabricator</t>
  </si>
  <si>
    <t xml:space="preserve">Respin Needed?</t>
  </si>
  <si>
    <t xml:space="preserve">Raised On</t>
  </si>
  <si>
    <t xml:space="preserve">ACTION</t>
  </si>
  <si>
    <t xml:space="preserve">#</t>
  </si>
  <si>
    <t xml:space="preserve">Reason check</t>
  </si>
  <si>
    <t xml:space="preserve">Latest Comment</t>
  </si>
  <si>
    <t xml:space="preserve">Notes / Data Check</t>
  </si>
  <si>
    <t xml:space="preserve">DRVU_Mother_Board</t>
  </si>
  <si>
    <t xml:space="preserve">SI&amp;PI analysis completed shared with the customer</t>
  </si>
  <si>
    <t xml:space="preserve">PVCC_Board</t>
  </si>
  <si>
    <t xml:space="preserve">Rajessh</t>
  </si>
  <si>
    <t xml:space="preserve">Completed the SI &amp; PI analysis and shared the report witht the customer</t>
  </si>
  <si>
    <t xml:space="preserve">Hardware Validation(FLC)</t>
  </si>
  <si>
    <t xml:space="preserve">Veeresh + Samudra</t>
  </si>
  <si>
    <t xml:space="preserve">MKB_LITE_VALIDATION_V1</t>
  </si>
  <si>
    <t xml:space="preserve">Performed the Partial SI and shared the reports. Later, after release, performed the SI &amp; PI to find the issues for the DDR Inteface, PCIE Interface &amp; Power Rails.</t>
  </si>
  <si>
    <t xml:space="preserve">MKB_LITE_VALIDATION_V2</t>
  </si>
  <si>
    <t xml:space="preserve">Completed the SI &amp; PI and shared the reports. Performed the SI &amp; PI for the DDR, PCIE_RC , PCIE_EPand DC_DROP and AC anlaysis.</t>
  </si>
  <si>
    <t xml:space="preserve">StationIs Rev1</t>
  </si>
  <si>
    <t xml:space="preserve">Delivered</t>
  </si>
  <si>
    <t xml:space="preserve">StationIs Rev2</t>
  </si>
  <si>
    <t xml:space="preserve">StationIs Rev3</t>
  </si>
  <si>
    <t xml:space="preserve">HAL_PCB_RE</t>
  </si>
  <si>
    <t xml:space="preserve">IFF_BACKLIGHT_ILLUMINATION_BOARD.</t>
  </si>
  <si>
    <t xml:space="preserve">Srinivas L</t>
  </si>
  <si>
    <t xml:space="preserve">Design completed, waiting for the customer feedback.</t>
  </si>
  <si>
    <t xml:space="preserve">NETRA_BASE_BOARD</t>
  </si>
  <si>
    <t xml:space="preserve">Completed the DC Drop Analysis with JLC PCB Stackup. Completed the S-parameter extraction observed the severe impedance variation, return loss, NEXT, FEXT issues. Due to the connector</t>
  </si>
  <si>
    <t xml:space="preserve">Netra_Camera-Board_IMX463&amp;IMX662</t>
  </si>
  <si>
    <t xml:space="preserve">Prithvi</t>
  </si>
  <si>
    <t xml:space="preserve">Pcb's Recevied</t>
  </si>
  <si>
    <t xml:space="preserve">REVIEW: PCB row covers IMX463+IMX662 combined; schematic/fab rows are per-sensor</t>
  </si>
  <si>
    <t xml:space="preserve">Netra_Camera_ADDON</t>
  </si>
  <si>
    <t xml:space="preserve">Completed the S-parameter extraction observed the severe impedance variation, return loss, NEXT, FEXT issues. Due to the connector</t>
  </si>
  <si>
    <t xml:space="preserve">REVIEW: SI&amp;PI row does not identify which camera add-on</t>
  </si>
  <si>
    <t xml:space="preserve">Netra_Camera_AddOn_IMX462</t>
  </si>
  <si>
    <t xml:space="preserve">Netra_Camera_AddOn_IMX662</t>
  </si>
  <si>
    <t xml:space="preserve">Netra_LDR-Board</t>
  </si>
  <si>
    <t xml:space="preserve">Pcb Power</t>
  </si>
  <si>
    <t xml:space="preserve">Schematic row "NETRA_LDR-IR" merged here</t>
  </si>
  <si>
    <t xml:space="preserve">Netra_POE-Board</t>
  </si>
  <si>
    <t xml:space="preserve">Schematic "NETRA_POE" merged here</t>
  </si>
  <si>
    <t xml:space="preserve">Netra_POE_MP8007</t>
  </si>
  <si>
    <t xml:space="preserve">Project completed</t>
  </si>
  <si>
    <t xml:space="preserve">Netra_SD_Board</t>
  </si>
  <si>
    <t xml:space="preserve">Schematic "NETRA_SD CARD" + fab "Netra_SD_Card_Board" merged</t>
  </si>
  <si>
    <t xml:space="preserve">RZV2N_Addon_Card</t>
  </si>
  <si>
    <t xml:space="preserve">Completed the SI Analysis for the Camera on card.</t>
  </si>
  <si>
    <t xml:space="preserve">Proximity_Sensor_Board</t>
  </si>
  <si>
    <t xml:space="preserve">REVIEW: fab order does not say SI4464 or AX5243</t>
  </si>
  <si>
    <t xml:space="preserve">USB_Radio-Card</t>
  </si>
  <si>
    <t xml:space="preserve">Team flagged "Need to respin" against bring-up</t>
  </si>
  <si>
    <t xml:space="preserve">Waimea Test Chip Package</t>
  </si>
  <si>
    <t xml:space="preserve">Kranthi</t>
  </si>
  <si>
    <t xml:space="preserve">Net list creation in progress.</t>
  </si>
  <si>
    <t xml:space="preserve">RCI_BOM</t>
  </si>
  <si>
    <t xml:space="preserve">AX5243 Proximity Sensor Board</t>
  </si>
  <si>
    <t xml:space="preserve">V Rajesh</t>
  </si>
  <si>
    <t xml:space="preserve">Blank on upload, set to NA: S4 SI&amp;PI, S5 Fab, S6 Assembly. Confirm NA vs Not Started. | Schematic "Proximity AX5243" merged</t>
  </si>
  <si>
    <t xml:space="preserve">Radio Card</t>
  </si>
  <si>
    <t xml:space="preserve">Radio Card Lite</t>
  </si>
  <si>
    <t xml:space="preserve">Radio Card Lite Pro</t>
  </si>
  <si>
    <t xml:space="preserve">Radio Card Lite Ver2</t>
  </si>
  <si>
    <t xml:space="preserve">Radio Card Ver2</t>
  </si>
  <si>
    <t xml:space="preserve">Radio Card Ver3</t>
  </si>
  <si>
    <t xml:space="preserve">RC5243 Board</t>
  </si>
  <si>
    <t xml:space="preserve">In Fabrication</t>
  </si>
  <si>
    <t xml:space="preserve">Blank on upload, set to NA: S4 SI&amp;PI, S6 Assembly. Confirm NA vs Not Started. | Schematic "RC5243" merged</t>
  </si>
  <si>
    <t xml:space="preserve">8329 BLDC Motor Driver Board</t>
  </si>
  <si>
    <t xml:space="preserve">S4 recorded as "Only PI" - PI done, SI not performed. Confirm scope. | Schematic "8329 BLDC..." + fab order merged</t>
  </si>
  <si>
    <t xml:space="preserve">HAWK Auxiliary Board</t>
  </si>
  <si>
    <t xml:space="preserve">Vardhan + Sandhya</t>
  </si>
  <si>
    <t xml:space="preserve">Magnetic Stirrer</t>
  </si>
  <si>
    <t xml:space="preserve">Myna Board</t>
  </si>
  <si>
    <t xml:space="preserve">OverHead Stirrer</t>
  </si>
  <si>
    <t xml:space="preserve">Peptide Synthesizer</t>
  </si>
  <si>
    <t xml:space="preserve">Pilot Evaporator</t>
  </si>
  <si>
    <t xml:space="preserve">Rotary Evaporator</t>
  </si>
  <si>
    <t xml:space="preserve">Swan Board</t>
  </si>
  <si>
    <t xml:space="preserve">Swift Board</t>
  </si>
  <si>
    <t xml:space="preserve">ACTIVE / PENDING BOARDS</t>
  </si>
  <si>
    <t xml:space="preserve">RESPIN QUEUE</t>
  </si>
  <si>
    <t xml:space="preserve">Board</t>
  </si>
  <si>
    <t xml:space="preserve">Pull in and start at</t>
  </si>
  <si>
    <t xml:space="preserve">RESPIN ORIGIN</t>
  </si>
  <si>
    <t xml:space="preserve">Rev / Respin No.</t>
  </si>
  <si>
    <t xml:space="preserve">Re-entered At</t>
  </si>
  <si>
    <t xml:space="preserve">Schematic in progress</t>
  </si>
  <si>
    <t xml:space="preserve">PVC_CC_V2 / PVCC_V2</t>
  </si>
  <si>
    <t xml:space="preserve">Received the updated file, completed the simulations shared the review. Crosstalk issues were still there; shared with the layout team for modifications</t>
  </si>
  <si>
    <t xml:space="preserve">PCB "PVC_CC_V2" + SI&amp;PI "PVCC_V2_Board" merged</t>
  </si>
  <si>
    <t xml:space="preserve">MKB_LITE_FHHL</t>
  </si>
  <si>
    <t xml:space="preserve">Performed the SI &amp; PI for the DDR, PCIe_RC and DC_DROP and AC anlaysis. EP_PCIe Interface is pending due to crosstalk and return loss issues at the edge finger.</t>
  </si>
  <si>
    <t xml:space="preserve">CITAR Module Design</t>
  </si>
  <si>
    <t xml:space="preserve">NETRA_NT98566_CAMERA_MODULE</t>
  </si>
  <si>
    <t xml:space="preserve">Component footprint verification in progress</t>
  </si>
  <si>
    <t xml:space="preserve">Netra_NXP_SOM_Board</t>
  </si>
  <si>
    <t xml:space="preserve">Samudra + Sandhya</t>
  </si>
  <si>
    <t xml:space="preserve">Routing completed,Need the updated schematic as per the review modifications.</t>
  </si>
  <si>
    <t xml:space="preserve">Schematic row = Compulab replacement variant. SI&amp;PI "NXP_SOM" (ZMD) kept separate — confirm if same board</t>
  </si>
  <si>
    <t xml:space="preserve">Netra_POE_Plus(MP8008)</t>
  </si>
  <si>
    <t xml:space="preserve">ZYNQ Module for RF Camera prioritized</t>
  </si>
  <si>
    <t xml:space="preserve">Blank on upload, set to NA: S6 Assembly. Confirm NA vs Not Started.</t>
  </si>
  <si>
    <t xml:space="preserve">Netra_RZ/V2N_SOM (Renesas)</t>
  </si>
  <si>
    <t xml:space="preserve">Placement is in progress. The component sizes need to be changed in the schematic. I have informed Veeresh and am waiting for the updated schematic.</t>
  </si>
  <si>
    <t xml:space="preserve">Schematic "Renesas RZ/V2N SOM Board" merged</t>
  </si>
  <si>
    <t xml:space="preserve">RFSoC SOM</t>
  </si>
  <si>
    <t xml:space="preserve">Waimea Validation Board</t>
  </si>
  <si>
    <t xml:space="preserve">SoW in progress. Waiting for the inputs from customer</t>
  </si>
  <si>
    <t xml:space="preserve">HRG_Processor_Test_Jig</t>
  </si>
  <si>
    <t xml:space="preserve">ITS Boards Refresh</t>
  </si>
  <si>
    <t xml:space="preserve">To be started</t>
  </si>
  <si>
    <t xml:space="preserve">Handheld RadioCard</t>
  </si>
  <si>
    <t xml:space="preserve">PCB Assembly in progress</t>
  </si>
  <si>
    <t xml:space="preserve">Radio Card 9002</t>
  </si>
  <si>
    <t xml:space="preserve">The design has been completed, the quotation  Gerber released, and the simulations are currently in progress.</t>
  </si>
  <si>
    <t xml:space="preserve">Radio Card Lite Ver3</t>
  </si>
  <si>
    <t xml:space="preserve">In Hold</t>
  </si>
  <si>
    <t xml:space="preserve">Radio Card Ver4</t>
  </si>
  <si>
    <t xml:space="preserve">Boards In Assembly</t>
  </si>
  <si>
    <t xml:space="preserve">RC5243(V2)</t>
  </si>
  <si>
    <t xml:space="preserve">Waiting for BOM</t>
  </si>
  <si>
    <t xml:space="preserve">SAT-COM Radio Board</t>
  </si>
  <si>
    <t xml:space="preserve">Routing strategy was revised, SI-based RF path updates were incorporated, and 0201-to-0402 changes were implemented as per assembly requirements, causing a 1-day delay.</t>
  </si>
  <si>
    <t xml:space="preserve">SAT-COM_FPGA_Board</t>
  </si>
  <si>
    <t xml:space="preserve">Completed the DDR3L S-Parameter extractions. Completed the DC-Drop Analysis and shared the reivew with the layout team waiting for the updated file for simulations.</t>
  </si>
  <si>
    <t xml:space="preserve">SI&amp;PI row "SAT_COM_FPGA" merged</t>
  </si>
  <si>
    <t xml:space="preserve">Si4464 Proximity Sensor Board</t>
  </si>
  <si>
    <t xml:space="preserve">Design completed.</t>
  </si>
  <si>
    <t xml:space="preserve">Schematic "PROXIMITY SI4464" merged</t>
  </si>
  <si>
    <t xml:space="preserve">HAWK Board</t>
  </si>
  <si>
    <t xml:space="preserve">Completed the SI simualtions for the SDRAM</t>
  </si>
  <si>
    <t xml:space="preserve">Myna Rev 2</t>
  </si>
  <si>
    <t xml:space="preserve">The design is complete. The STEP and schematic PDF files have been shared with the client. We are now waiting for their feedback</t>
  </si>
  <si>
    <t xml:space="preserve">Intel Arrow Island Board</t>
  </si>
  <si>
    <t xml:space="preserve">Kiran</t>
  </si>
  <si>
    <t xml:space="preserve">Blank on upload, set to NA: S6 Assembly. Confirm NA vs Not Started. | Schematic row is BOM sourcing for this board</t>
  </si>
  <si>
    <t xml:space="preserve">Intel XEON Server Board</t>
  </si>
  <si>
    <t xml:space="preserve">Vardhan + Rajesh Sir</t>
  </si>
  <si>
    <t xml:space="preserve">Schematic row is BOM sourcing for this board</t>
  </si>
  <si>
    <t xml:space="preserve">NXP_SOM</t>
  </si>
  <si>
    <t xml:space="preserve">Completed the DC Drop Analysis and LPDDR Inteface s-parameter extraction read and write operations. Waiting for the update layout for the further simulations</t>
  </si>
  <si>
    <t xml:space="preserve">Blank on upload, set to NA: S3 PCB. Confirm NA vs Not Started.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</si>
</sst>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\-mmm\-yy;;;@"/>
    <numFmt numFmtId="167" formatCode="0%"/>
    <numFmt numFmtId="168" formatCode="dd\-mmm\-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9"/>
      <color rgb="FF44546A"/>
      <name val="Arial"/>
      <family val="0"/>
      <charset val="1"/>
    </font>
    <font>
      <sz val="10"/>
      <color rgb="FF44546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65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7E6E6"/>
      </patternFill>
    </fill>
    <fill>
      <patternFill patternType="solid">
        <fgColor rgb="FF44546A"/>
        <bgColor rgb="FF595959"/>
      </patternFill>
    </fill>
    <fill>
      <patternFill patternType="solid">
        <fgColor rgb="FF2E5C8A"/>
        <bgColor rgb="FF44546A"/>
      </patternFill>
    </fill>
    <fill>
      <patternFill patternType="solid">
        <fgColor rgb="FF7B3F00"/>
        <bgColor rgb="FF974706"/>
      </patternFill>
    </fill>
    <fill>
      <patternFill patternType="solid">
        <fgColor rgb="FFF2F5FA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fgColor rgb="FFFFE3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74706"/>
        <sz val="9"/>
      </font>
      <fill>
        <patternFill>
          <bgColor rgb="FFFCD5B4"/>
        </patternFill>
      </fill>
    </dxf>
    <dxf>
      <font>
        <name val="Arial"/>
        <charset val="1"/>
        <family val="0"/>
        <b val="1"/>
        <color rgb="FF595959"/>
        <sz val="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A6A6A6"/>
        <sz val="9"/>
      </font>
      <fill>
        <patternFill>
          <bgColor rgb="FFF7F7F7"/>
        </patternFill>
      </fill>
    </dxf>
    <dxf>
      <font>
        <name val="Arial"/>
        <charset val="1"/>
        <family val="0"/>
        <color rgb="FF9C6500"/>
        <sz val="8"/>
      </font>
      <fill>
        <patternFill>
          <bgColor rgb="FFFFEB9C"/>
        </patternFill>
      </fill>
    </dxf>
    <dxf>
      <fill>
        <patternFill>
          <bgColor rgb="FFFFE3E3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B3F00"/>
      <rgbColor rgb="FFF7F7F7"/>
      <rgbColor rgb="FFF2F5FA"/>
      <rgbColor rgb="FF660066"/>
      <rgbColor rgb="FFFF8080"/>
      <rgbColor rgb="FF2E5C8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FFE3E3"/>
      <rgbColor rgb="FFFFC7CE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74706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45.75" hidden="false" customHeight="true" outlineLevel="0" collapsed="false">
      <c r="B6" s="4" t="s">
        <v>7</v>
      </c>
      <c r="C6" s="5" t="s">
        <v>8</v>
      </c>
      <c r="D6" s="6" t="s">
        <v>9</v>
      </c>
      <c r="E6" s="6" t="s">
        <v>10</v>
      </c>
      <c r="F6" s="6" t="s">
        <v>11</v>
      </c>
    </row>
    <row r="7" customFormat="false" ht="45.75" hidden="false" customHeight="true" outlineLevel="0" collapsed="false">
      <c r="B7" s="4" t="s">
        <v>12</v>
      </c>
      <c r="C7" s="5" t="s">
        <v>13</v>
      </c>
      <c r="D7" s="6" t="s">
        <v>14</v>
      </c>
      <c r="E7" s="6" t="s">
        <v>15</v>
      </c>
      <c r="F7" s="6" t="s">
        <v>16</v>
      </c>
    </row>
    <row r="8" customFormat="false" ht="45.75" hidden="false" customHeight="true" outlineLevel="0" collapsed="false">
      <c r="B8" s="4" t="s">
        <v>17</v>
      </c>
      <c r="C8" s="5" t="s">
        <v>18</v>
      </c>
      <c r="D8" s="6" t="s">
        <v>19</v>
      </c>
      <c r="E8" s="6" t="s">
        <v>20</v>
      </c>
      <c r="F8" s="6" t="s">
        <v>21</v>
      </c>
    </row>
    <row r="9" customFormat="false" ht="45.75" hidden="false" customHeight="true" outlineLevel="0" collapsed="false">
      <c r="B9" s="4" t="s">
        <v>22</v>
      </c>
      <c r="C9" s="5" t="s">
        <v>23</v>
      </c>
      <c r="D9" s="6" t="s">
        <v>24</v>
      </c>
      <c r="E9" s="6" t="s">
        <v>25</v>
      </c>
      <c r="F9" s="6" t="s">
        <v>26</v>
      </c>
    </row>
    <row r="10" customFormat="false" ht="45.75" hidden="false" customHeight="true" outlineLevel="0" collapsed="false">
      <c r="B10" s="4" t="s">
        <v>27</v>
      </c>
      <c r="C10" s="5" t="s">
        <v>28</v>
      </c>
      <c r="D10" s="6" t="s">
        <v>29</v>
      </c>
      <c r="E10" s="6" t="s">
        <v>30</v>
      </c>
      <c r="F10" s="6" t="s">
        <v>31</v>
      </c>
    </row>
    <row r="11" customFormat="false" ht="45.75" hidden="false" customHeight="true" outlineLevel="0" collapsed="false">
      <c r="B11" s="4" t="s">
        <v>32</v>
      </c>
      <c r="C11" s="5" t="s">
        <v>33</v>
      </c>
      <c r="D11" s="6" t="s">
        <v>34</v>
      </c>
      <c r="E11" s="6" t="s">
        <v>35</v>
      </c>
      <c r="F11" s="6" t="s">
        <v>31</v>
      </c>
    </row>
    <row r="12" customFormat="false" ht="45.75" hidden="false" customHeight="true" outlineLevel="0" collapsed="false">
      <c r="B12" s="4" t="s">
        <v>36</v>
      </c>
      <c r="C12" s="5" t="s">
        <v>37</v>
      </c>
      <c r="D12" s="6" t="s">
        <v>38</v>
      </c>
      <c r="E12" s="6" t="s">
        <v>39</v>
      </c>
      <c r="F12" s="6" t="s">
        <v>11</v>
      </c>
    </row>
    <row r="14" customFormat="false" ht="15" hidden="false" customHeight="false" outlineLevel="0" collapsed="false">
      <c r="B14" s="7" t="s">
        <v>40</v>
      </c>
    </row>
    <row r="15" customFormat="false" ht="30" hidden="false" customHeight="true" outlineLevel="0" collapsed="false">
      <c r="B15" s="8" t="s">
        <v>41</v>
      </c>
      <c r="C15" s="8"/>
      <c r="D15" s="8"/>
      <c r="E15" s="8"/>
      <c r="F15" s="8"/>
    </row>
    <row r="16" customFormat="false" ht="30" hidden="false" customHeight="true" outlineLevel="0" collapsed="false">
      <c r="B16" s="8" t="s">
        <v>42</v>
      </c>
      <c r="C16" s="8"/>
      <c r="D16" s="8"/>
      <c r="E16" s="8"/>
      <c r="F16" s="8"/>
    </row>
    <row r="17" customFormat="false" ht="30" hidden="false" customHeight="true" outlineLevel="0" collapsed="false">
      <c r="B17" s="8" t="s">
        <v>43</v>
      </c>
      <c r="C17" s="8"/>
      <c r="D17" s="8"/>
      <c r="E17" s="8"/>
      <c r="F17" s="8"/>
    </row>
    <row r="18" customFormat="false" ht="30" hidden="false" customHeight="true" outlineLevel="0" collapsed="false">
      <c r="B18" s="8" t="s">
        <v>44</v>
      </c>
      <c r="C18" s="8"/>
      <c r="D18" s="8"/>
      <c r="E18" s="8"/>
      <c r="F18" s="8"/>
    </row>
    <row r="19" customFormat="false" ht="30" hidden="false" customHeight="true" outlineLevel="0" collapsed="false">
      <c r="B19" s="8" t="s">
        <v>45</v>
      </c>
      <c r="C19" s="8"/>
      <c r="D19" s="8"/>
      <c r="E19" s="8"/>
      <c r="F19" s="8"/>
    </row>
    <row r="20" customFormat="false" ht="30" hidden="false" customHeight="true" outlineLevel="0" collapsed="false">
      <c r="B20" s="8" t="s">
        <v>46</v>
      </c>
      <c r="C20" s="8"/>
      <c r="D20" s="8"/>
      <c r="E20" s="8"/>
      <c r="F20" s="8"/>
    </row>
    <row r="22" customFormat="false" ht="15" hidden="false" customHeight="false" outlineLevel="0" collapsed="false">
      <c r="B22" s="7" t="s">
        <v>47</v>
      </c>
    </row>
    <row r="23" customFormat="false" ht="15" hidden="false" customHeight="false" outlineLevel="0" collapsed="false">
      <c r="B23" s="9" t="s">
        <v>2</v>
      </c>
      <c r="C23" s="9" t="s">
        <v>48</v>
      </c>
      <c r="D23" s="9" t="s">
        <v>49</v>
      </c>
      <c r="E23" s="9" t="s">
        <v>50</v>
      </c>
      <c r="F23" s="9" t="s">
        <v>51</v>
      </c>
      <c r="G23" s="9" t="s">
        <v>52</v>
      </c>
      <c r="H23" s="9" t="s">
        <v>53</v>
      </c>
    </row>
    <row r="24" customFormat="false" ht="15" hidden="false" customHeight="false" outlineLevel="0" collapsed="false">
      <c r="B24" s="10" t="s">
        <v>54</v>
      </c>
      <c r="C24" s="11" t="n">
        <f aca="false">COUNTIF(COMPLETED!$M$6:$M$47,"Completed")+COUNTIF(ACTIVE!$M$17:$M$41,"Completed")</f>
        <v>53</v>
      </c>
      <c r="D24" s="11" t="n">
        <f aca="false">COUNTIF(COMPLETED!$M$6:$M$47,"In Progress")+COUNTIF(ACTIVE!$M$17:$M$41,"In Progress")</f>
        <v>1</v>
      </c>
      <c r="E24" s="11" t="n">
        <f aca="false">COUNTIF(COMPLETED!$M$6:$M$47,"On Hold")+COUNTIF(ACTIVE!$M$17:$M$41,"On Hold")</f>
        <v>2</v>
      </c>
      <c r="F24" s="11" t="n">
        <f aca="false">COUNTIF(COMPLETED!$M$6:$M$47,"Not Started")+COUNTIF(ACTIVE!$M$17:$M$41,"Not Started")</f>
        <v>4</v>
      </c>
      <c r="G24" s="11" t="n">
        <f aca="false">COUNTIF(COMPLETED!$M$6:$M$47,"Cancelled")+COUNTIF(ACTIVE!$M$17:$M$41,"Cancelled")</f>
        <v>1</v>
      </c>
      <c r="H24" s="11" t="n">
        <f aca="false">COUNTIF(COMPLETED!$M$6:$M$47,"NA")+COUNTIF(ACTIVE!$M$17:$M$41,"NA")</f>
        <v>6</v>
      </c>
    </row>
    <row r="25" customFormat="false" ht="15" hidden="false" customHeight="false" outlineLevel="0" collapsed="false">
      <c r="B25" s="10" t="s">
        <v>55</v>
      </c>
      <c r="C25" s="11" t="n">
        <f aca="false">COUNTIF(COMPLETED!$Q$6:$Q$47,"Completed")+COUNTIF(ACTIVE!$Q$17:$Q$41,"Completed")</f>
        <v>47</v>
      </c>
      <c r="D25" s="11" t="n">
        <f aca="false">COUNTIF(COMPLETED!$Q$6:$Q$47,"In Progress")+COUNTIF(ACTIVE!$Q$17:$Q$41,"In Progress")</f>
        <v>5</v>
      </c>
      <c r="E25" s="11" t="n">
        <f aca="false">COUNTIF(COMPLETED!$Q$6:$Q$47,"On Hold")+COUNTIF(ACTIVE!$Q$17:$Q$41,"On Hold")</f>
        <v>3</v>
      </c>
      <c r="F25" s="11" t="n">
        <f aca="false">COUNTIF(COMPLETED!$Q$6:$Q$47,"Not Started")+COUNTIF(ACTIVE!$Q$17:$Q$41,"Not Started")</f>
        <v>6</v>
      </c>
      <c r="G25" s="11" t="n">
        <f aca="false">COUNTIF(COMPLETED!$Q$6:$Q$47,"Cancelled")+COUNTIF(ACTIVE!$Q$17:$Q$41,"Cancelled")</f>
        <v>1</v>
      </c>
      <c r="H25" s="11" t="n">
        <f aca="false">COUNTIF(COMPLETED!$Q$6:$Q$47,"NA")+COUNTIF(ACTIVE!$Q$17:$Q$41,"NA")</f>
        <v>5</v>
      </c>
    </row>
    <row r="26" customFormat="false" ht="15" hidden="false" customHeight="false" outlineLevel="0" collapsed="false">
      <c r="B26" s="10" t="s">
        <v>56</v>
      </c>
      <c r="C26" s="11" t="n">
        <f aca="false">COUNTIF(COMPLETED!$U$6:$U$47,"Completed")+COUNTIF(ACTIVE!$U$17:$U$41,"Completed")</f>
        <v>31</v>
      </c>
      <c r="D26" s="11" t="n">
        <f aca="false">COUNTIF(COMPLETED!$U$6:$U$47,"In Progress")+COUNTIF(ACTIVE!$U$17:$U$41,"In Progress")</f>
        <v>6</v>
      </c>
      <c r="E26" s="11" t="n">
        <f aca="false">COUNTIF(COMPLETED!$U$6:$U$47,"On Hold")+COUNTIF(ACTIVE!$U$17:$U$41,"On Hold")</f>
        <v>4</v>
      </c>
      <c r="F26" s="11" t="n">
        <f aca="false">COUNTIF(COMPLETED!$U$6:$U$47,"Not Started")+COUNTIF(ACTIVE!$U$17:$U$41,"Not Started")</f>
        <v>9</v>
      </c>
      <c r="G26" s="11" t="n">
        <f aca="false">COUNTIF(COMPLETED!$U$6:$U$47,"Cancelled")+COUNTIF(ACTIVE!$U$17:$U$41,"Cancelled")</f>
        <v>1</v>
      </c>
      <c r="H26" s="11" t="n">
        <f aca="false">COUNTIF(COMPLETED!$U$6:$U$47,"NA")+COUNTIF(ACTIVE!$U$17:$U$41,"NA")</f>
        <v>16</v>
      </c>
    </row>
    <row r="27" customFormat="false" ht="15" hidden="false" customHeight="false" outlineLevel="0" collapsed="false">
      <c r="B27" s="10" t="s">
        <v>57</v>
      </c>
      <c r="C27" s="11" t="n">
        <f aca="false">COUNTIF(COMPLETED!$Y$6:$Y$47,"Completed")+COUNTIF(ACTIVE!$Y$17:$Y$41,"Completed")</f>
        <v>36</v>
      </c>
      <c r="D27" s="11" t="n">
        <f aca="false">COUNTIF(COMPLETED!$Y$6:$Y$47,"In Progress")+COUNTIF(ACTIVE!$Y$17:$Y$41,"In Progress")</f>
        <v>0</v>
      </c>
      <c r="E27" s="11" t="n">
        <f aca="false">COUNTIF(COMPLETED!$Y$6:$Y$47,"On Hold")+COUNTIF(ACTIVE!$Y$17:$Y$41,"On Hold")</f>
        <v>5</v>
      </c>
      <c r="F27" s="11" t="n">
        <f aca="false">COUNTIF(COMPLETED!$Y$6:$Y$47,"Not Started")+COUNTIF(ACTIVE!$Y$17:$Y$41,"Not Started")</f>
        <v>14</v>
      </c>
      <c r="G27" s="11" t="n">
        <f aca="false">COUNTIF(COMPLETED!$Y$6:$Y$47,"Cancelled")+COUNTIF(ACTIVE!$Y$17:$Y$41,"Cancelled")</f>
        <v>1</v>
      </c>
      <c r="H27" s="11" t="n">
        <f aca="false">COUNTIF(COMPLETED!$Y$6:$Y$47,"NA")+COUNTIF(ACTIVE!$Y$17:$Y$41,"NA")</f>
        <v>11</v>
      </c>
    </row>
    <row r="28" customFormat="false" ht="15" hidden="false" customHeight="false" outlineLevel="0" collapsed="false">
      <c r="B28" s="10" t="s">
        <v>58</v>
      </c>
      <c r="C28" s="11" t="n">
        <f aca="false">COUNTIF(COMPLETED!$AC$6:$AC$47,"Completed")+COUNTIF(ACTIVE!$AC$17:$AC$41,"Completed")</f>
        <v>32</v>
      </c>
      <c r="D28" s="11" t="n">
        <f aca="false">COUNTIF(COMPLETED!$AC$6:$AC$47,"In Progress")+COUNTIF(ACTIVE!$AC$17:$AC$41,"In Progress")</f>
        <v>3</v>
      </c>
      <c r="E28" s="11" t="n">
        <f aca="false">COUNTIF(COMPLETED!$AC$6:$AC$47,"On Hold")+COUNTIF(ACTIVE!$AC$17:$AC$41,"On Hold")</f>
        <v>3</v>
      </c>
      <c r="F28" s="11" t="n">
        <f aca="false">COUNTIF(COMPLETED!$AC$6:$AC$47,"Not Started")+COUNTIF(ACTIVE!$AC$17:$AC$41,"Not Started")</f>
        <v>14</v>
      </c>
      <c r="G28" s="11" t="n">
        <f aca="false">COUNTIF(COMPLETED!$AC$6:$AC$47,"Cancelled")+COUNTIF(ACTIVE!$AC$17:$AC$41,"Cancelled")</f>
        <v>1</v>
      </c>
      <c r="H28" s="11" t="n">
        <f aca="false">COUNTIF(COMPLETED!$AC$6:$AC$47,"NA")+COUNTIF(ACTIVE!$AC$17:$AC$41,"NA")</f>
        <v>14</v>
      </c>
    </row>
    <row r="29" customFormat="false" ht="15" hidden="false" customHeight="false" outlineLevel="0" collapsed="false">
      <c r="B29" s="10" t="s">
        <v>59</v>
      </c>
      <c r="C29" s="11" t="n">
        <f aca="false">COUNTIF(COMPLETED!$AG$6:$AG$47,"Completed")+COUNTIF(ACTIVE!$AG$17:$AG$41,"Completed")</f>
        <v>1</v>
      </c>
      <c r="D29" s="11" t="n">
        <f aca="false">COUNTIF(COMPLETED!$AG$6:$AG$47,"In Progress")+COUNTIF(ACTIVE!$AG$17:$AG$41,"In Progress")</f>
        <v>1</v>
      </c>
      <c r="E29" s="11" t="n">
        <f aca="false">COUNTIF(COMPLETED!$AG$6:$AG$47,"On Hold")+COUNTIF(ACTIVE!$AG$17:$AG$41,"On Hold")</f>
        <v>0</v>
      </c>
      <c r="F29" s="11" t="n">
        <f aca="false">COUNTIF(COMPLETED!$AG$6:$AG$47,"Not Started")+COUNTIF(ACTIVE!$AG$17:$AG$41,"Not Started")</f>
        <v>0</v>
      </c>
      <c r="G29" s="11" t="n">
        <f aca="false">COUNTIF(COMPLETED!$AG$6:$AG$47,"Cancelled")+COUNTIF(ACTIVE!$AG$17:$AG$41,"Cancelled")</f>
        <v>0</v>
      </c>
      <c r="H29" s="11" t="n">
        <f aca="false">COUNTIF(COMPLETED!$AG$6:$AG$47,"NA")+COUNTIF(ACTIVE!$AG$17:$AG$41,"NA")</f>
        <v>65</v>
      </c>
    </row>
    <row r="30" customFormat="false" ht="15" hidden="false" customHeight="false" outlineLevel="0" collapsed="false">
      <c r="B30" s="10" t="s">
        <v>60</v>
      </c>
      <c r="C30" s="11" t="n">
        <f aca="false">COUNTIF(COMPLETED!$AK$6:$AK$47,"Completed")+COUNTIF(ACTIVE!$AK$17:$AK$41,"Completed")</f>
        <v>1</v>
      </c>
      <c r="D30" s="11" t="n">
        <f aca="false">COUNTIF(COMPLETED!$AK$6:$AK$47,"In Progress")+COUNTIF(ACTIVE!$AK$17:$AK$41,"In Progress")</f>
        <v>1</v>
      </c>
      <c r="E30" s="11" t="n">
        <f aca="false">COUNTIF(COMPLETED!$AK$6:$AK$47,"On Hold")+COUNTIF(ACTIVE!$AK$17:$AK$41,"On Hold")</f>
        <v>0</v>
      </c>
      <c r="F30" s="11" t="n">
        <f aca="false">COUNTIF(COMPLETED!$AK$6:$AK$47,"Not Started")+COUNTIF(ACTIVE!$AK$17:$AK$41,"Not Started")</f>
        <v>0</v>
      </c>
      <c r="G30" s="11" t="n">
        <f aca="false">COUNTIF(COMPLETED!$AK$6:$AK$47,"Cancelled")+COUNTIF(ACTIVE!$AK$17:$AK$41,"Cancelled")</f>
        <v>0</v>
      </c>
      <c r="H30" s="11" t="n">
        <f aca="false">COUNTIF(COMPLETED!$AK$6:$AK$47,"NA")+COUNTIF(ACTIVE!$AK$17:$AK$41,"NA")</f>
        <v>65</v>
      </c>
    </row>
  </sheetData>
  <mergeCells count="6"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30"/>
  </cols>
  <sheetData>
    <row r="1" customFormat="false" ht="15" hidden="false" customHeight="false" outlineLevel="0" collapsed="false">
      <c r="A1" s="12" t="s">
        <v>61</v>
      </c>
      <c r="B1" s="12" t="s">
        <v>62</v>
      </c>
      <c r="C1" s="12" t="s">
        <v>63</v>
      </c>
      <c r="D1" s="12" t="s">
        <v>64</v>
      </c>
      <c r="E1" s="12" t="s">
        <v>65</v>
      </c>
      <c r="F1" s="12" t="s">
        <v>66</v>
      </c>
      <c r="G1" s="12" t="s">
        <v>67</v>
      </c>
    </row>
    <row r="2" customFormat="false" ht="15" hidden="false" customHeight="false" outlineLevel="0" collapsed="false">
      <c r="A2" s="0" t="s">
        <v>48</v>
      </c>
      <c r="B2" s="0" t="s">
        <v>54</v>
      </c>
      <c r="C2" s="0" t="s">
        <v>68</v>
      </c>
      <c r="D2" s="0" t="s">
        <v>69</v>
      </c>
      <c r="E2" s="0" t="s">
        <v>70</v>
      </c>
      <c r="F2" s="0" t="s">
        <v>71</v>
      </c>
      <c r="G2" s="0" t="s">
        <v>72</v>
      </c>
    </row>
    <row r="3" customFormat="false" ht="15" hidden="false" customHeight="false" outlineLevel="0" collapsed="false">
      <c r="A3" s="0" t="s">
        <v>49</v>
      </c>
      <c r="B3" s="0" t="s">
        <v>55</v>
      </c>
      <c r="C3" s="0" t="s">
        <v>73</v>
      </c>
      <c r="D3" s="0" t="s">
        <v>74</v>
      </c>
      <c r="E3" s="0" t="s">
        <v>75</v>
      </c>
      <c r="F3" s="0" t="s">
        <v>76</v>
      </c>
      <c r="G3" s="0" t="s">
        <v>77</v>
      </c>
    </row>
    <row r="4" customFormat="false" ht="15" hidden="false" customHeight="false" outlineLevel="0" collapsed="false">
      <c r="A4" s="0" t="s">
        <v>50</v>
      </c>
      <c r="B4" s="0" t="s">
        <v>56</v>
      </c>
      <c r="C4" s="0" t="s">
        <v>78</v>
      </c>
      <c r="E4" s="0" t="s">
        <v>79</v>
      </c>
      <c r="F4" s="0" t="s">
        <v>80</v>
      </c>
      <c r="G4" s="0" t="s">
        <v>81</v>
      </c>
    </row>
    <row r="5" customFormat="false" ht="15" hidden="false" customHeight="false" outlineLevel="0" collapsed="false">
      <c r="A5" s="0" t="s">
        <v>51</v>
      </c>
      <c r="B5" s="0" t="s">
        <v>57</v>
      </c>
      <c r="C5" s="0" t="s">
        <v>82</v>
      </c>
      <c r="E5" s="0" t="s">
        <v>83</v>
      </c>
      <c r="F5" s="0" t="s">
        <v>84</v>
      </c>
      <c r="G5" s="0" t="s">
        <v>85</v>
      </c>
    </row>
    <row r="6" customFormat="false" ht="15" hidden="false" customHeight="false" outlineLevel="0" collapsed="false">
      <c r="A6" s="0" t="s">
        <v>53</v>
      </c>
      <c r="B6" s="0" t="s">
        <v>58</v>
      </c>
      <c r="C6" s="0" t="s">
        <v>86</v>
      </c>
      <c r="E6" s="0" t="s">
        <v>87</v>
      </c>
      <c r="F6" s="0" t="s">
        <v>88</v>
      </c>
      <c r="G6" s="0" t="s">
        <v>89</v>
      </c>
    </row>
    <row r="7" customFormat="false" ht="15" hidden="false" customHeight="false" outlineLevel="0" collapsed="false">
      <c r="A7" s="0" t="s">
        <v>52</v>
      </c>
      <c r="B7" s="0" t="s">
        <v>59</v>
      </c>
      <c r="C7" s="0" t="s">
        <v>90</v>
      </c>
      <c r="E7" s="0" t="s">
        <v>91</v>
      </c>
      <c r="F7" s="0" t="s">
        <v>92</v>
      </c>
      <c r="G7" s="0" t="s">
        <v>93</v>
      </c>
    </row>
    <row r="8" customFormat="false" ht="15" hidden="false" customHeight="false" outlineLevel="0" collapsed="false">
      <c r="B8" s="0" t="s">
        <v>60</v>
      </c>
      <c r="C8" s="0" t="s">
        <v>94</v>
      </c>
      <c r="E8" s="0" t="s">
        <v>95</v>
      </c>
      <c r="F8" s="0" t="s">
        <v>96</v>
      </c>
      <c r="G8" s="0" t="s">
        <v>97</v>
      </c>
    </row>
    <row r="9" customFormat="false" ht="15" hidden="false" customHeight="false" outlineLevel="0" collapsed="false">
      <c r="C9" s="0" t="s">
        <v>98</v>
      </c>
      <c r="E9" s="0" t="s">
        <v>99</v>
      </c>
      <c r="F9" s="0" t="s">
        <v>100</v>
      </c>
      <c r="G9" s="0" t="s">
        <v>101</v>
      </c>
    </row>
    <row r="10" customFormat="false" ht="15" hidden="false" customHeight="false" outlineLevel="0" collapsed="false">
      <c r="E10" s="0" t="s">
        <v>102</v>
      </c>
      <c r="F10" s="0" t="s">
        <v>98</v>
      </c>
      <c r="G10" s="0" t="s">
        <v>103</v>
      </c>
    </row>
    <row r="11" customFormat="false" ht="15" hidden="false" customHeight="false" outlineLevel="0" collapsed="false">
      <c r="E11" s="0" t="s">
        <v>104</v>
      </c>
      <c r="G11" s="0" t="s">
        <v>105</v>
      </c>
    </row>
    <row r="12" customFormat="false" ht="15" hidden="false" customHeight="false" outlineLevel="0" collapsed="false">
      <c r="E12" s="0" t="s">
        <v>106</v>
      </c>
      <c r="G12" s="0" t="s">
        <v>107</v>
      </c>
    </row>
    <row r="13" customFormat="false" ht="15" hidden="false" customHeight="false" outlineLevel="0" collapsed="false">
      <c r="G13" s="0" t="s">
        <v>108</v>
      </c>
    </row>
    <row r="14" customFormat="false" ht="15" hidden="false" customHeight="false" outlineLevel="0" collapsed="false">
      <c r="G14" s="0" t="s">
        <v>109</v>
      </c>
    </row>
    <row r="15" customFormat="false" ht="15" hidden="false" customHeight="false" outlineLevel="0" collapsed="false">
      <c r="G15" s="0" t="s">
        <v>110</v>
      </c>
    </row>
    <row r="16" customFormat="false" ht="15" hidden="false" customHeight="false" outlineLevel="0" collapsed="false">
      <c r="G16" s="0" t="s">
        <v>111</v>
      </c>
    </row>
    <row r="17" customFormat="false" ht="15" hidden="false" customHeight="false" outlineLevel="0" collapsed="false">
      <c r="G17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16"/>
  </cols>
  <sheetData>
    <row r="2" customFormat="false" ht="18.55" hidden="false" customHeight="false" outlineLevel="0" collapsed="false">
      <c r="B2" s="13" t="s">
        <v>113</v>
      </c>
    </row>
    <row r="3" customFormat="false" ht="15" hidden="false" customHeight="false" outlineLevel="0" collapsed="false">
      <c r="B3" s="14" t="s">
        <v>114</v>
      </c>
    </row>
    <row r="5" customFormat="false" ht="30" hidden="false" customHeight="true" outlineLevel="0" collapsed="false">
      <c r="B5" s="3" t="s">
        <v>115</v>
      </c>
      <c r="C5" s="3" t="s">
        <v>116</v>
      </c>
      <c r="D5" s="3" t="s">
        <v>117</v>
      </c>
      <c r="E5" s="3" t="s">
        <v>118</v>
      </c>
      <c r="F5" s="3" t="s">
        <v>119</v>
      </c>
      <c r="G5" s="3" t="s">
        <v>120</v>
      </c>
      <c r="H5" s="3" t="s">
        <v>121</v>
      </c>
      <c r="I5" s="3" t="s">
        <v>122</v>
      </c>
      <c r="J5" s="3" t="s">
        <v>123</v>
      </c>
    </row>
    <row r="6" customFormat="false" ht="25.5" hidden="false" customHeight="true" outlineLevel="0" collapsed="false">
      <c r="B6" s="15"/>
      <c r="C6" s="16" t="s">
        <v>124</v>
      </c>
      <c r="D6" s="15" t="s">
        <v>125</v>
      </c>
      <c r="E6" s="15" t="n">
        <v>14</v>
      </c>
      <c r="F6" s="15" t="s">
        <v>126</v>
      </c>
      <c r="G6" s="6" t="s">
        <v>75</v>
      </c>
      <c r="H6" s="6" t="s">
        <v>127</v>
      </c>
      <c r="I6" s="15" t="s">
        <v>128</v>
      </c>
      <c r="J6" s="15" t="s">
        <v>72</v>
      </c>
    </row>
    <row r="7" customFormat="false" ht="25.5" hidden="false" customHeight="true" outlineLevel="0" collapsed="false">
      <c r="B7" s="15" t="s">
        <v>129</v>
      </c>
      <c r="C7" s="16" t="s">
        <v>130</v>
      </c>
      <c r="D7" s="15" t="s">
        <v>125</v>
      </c>
      <c r="E7" s="15" t="n">
        <v>18</v>
      </c>
      <c r="F7" s="15" t="s">
        <v>126</v>
      </c>
      <c r="G7" s="6" t="s">
        <v>131</v>
      </c>
      <c r="H7" s="6" t="s">
        <v>132</v>
      </c>
      <c r="I7" s="15"/>
      <c r="J7" s="15" t="s">
        <v>77</v>
      </c>
    </row>
    <row r="8" customFormat="false" ht="25.5" hidden="false" customHeight="true" outlineLevel="0" collapsed="false">
      <c r="B8" s="15" t="s">
        <v>133</v>
      </c>
      <c r="C8" s="16" t="s">
        <v>134</v>
      </c>
      <c r="D8" s="15" t="s">
        <v>125</v>
      </c>
      <c r="E8" s="15" t="n">
        <v>6.4</v>
      </c>
      <c r="F8" s="15" t="s">
        <v>126</v>
      </c>
      <c r="G8" s="6" t="s">
        <v>135</v>
      </c>
      <c r="H8" s="6" t="s">
        <v>136</v>
      </c>
      <c r="I8" s="15" t="s">
        <v>137</v>
      </c>
      <c r="J8" s="15" t="s">
        <v>81</v>
      </c>
    </row>
    <row r="9" customFormat="false" ht="25.5" hidden="false" customHeight="true" outlineLevel="0" collapsed="false">
      <c r="B9" s="15" t="s">
        <v>138</v>
      </c>
      <c r="C9" s="16" t="s">
        <v>139</v>
      </c>
      <c r="D9" s="15" t="s">
        <v>125</v>
      </c>
      <c r="E9" s="15" t="n">
        <v>8.1</v>
      </c>
      <c r="F9" s="15" t="s">
        <v>126</v>
      </c>
      <c r="G9" s="6" t="s">
        <v>140</v>
      </c>
      <c r="H9" s="6" t="s">
        <v>141</v>
      </c>
      <c r="I9" s="15"/>
      <c r="J9" s="15" t="s">
        <v>85</v>
      </c>
    </row>
    <row r="10" customFormat="false" ht="25.5" hidden="false" customHeight="true" outlineLevel="0" collapsed="false">
      <c r="B10" s="15" t="s">
        <v>142</v>
      </c>
      <c r="C10" s="16" t="s">
        <v>143</v>
      </c>
      <c r="D10" s="15" t="s">
        <v>125</v>
      </c>
      <c r="E10" s="15" t="n">
        <v>0.1</v>
      </c>
      <c r="F10" s="15" t="s">
        <v>126</v>
      </c>
      <c r="G10" s="6" t="s">
        <v>131</v>
      </c>
      <c r="H10" s="6" t="s">
        <v>144</v>
      </c>
      <c r="I10" s="15" t="s">
        <v>128</v>
      </c>
      <c r="J10" s="15" t="s">
        <v>89</v>
      </c>
    </row>
    <row r="11" customFormat="false" ht="25.5" hidden="false" customHeight="true" outlineLevel="0" collapsed="false">
      <c r="B11" s="15" t="s">
        <v>145</v>
      </c>
      <c r="C11" s="16" t="s">
        <v>146</v>
      </c>
      <c r="D11" s="15" t="s">
        <v>125</v>
      </c>
      <c r="E11" s="15" t="n">
        <v>2.7</v>
      </c>
      <c r="F11" s="15" t="s">
        <v>126</v>
      </c>
      <c r="G11" s="6" t="s">
        <v>147</v>
      </c>
      <c r="H11" s="6" t="s">
        <v>148</v>
      </c>
      <c r="I11" s="15" t="s">
        <v>99</v>
      </c>
      <c r="J11" s="15" t="s">
        <v>93</v>
      </c>
    </row>
    <row r="12" customFormat="false" ht="25.5" hidden="false" customHeight="true" outlineLevel="0" collapsed="false">
      <c r="B12" s="15" t="s">
        <v>149</v>
      </c>
      <c r="C12" s="16" t="s">
        <v>150</v>
      </c>
      <c r="D12" s="15" t="s">
        <v>125</v>
      </c>
      <c r="E12" s="15" t="n">
        <v>4.2</v>
      </c>
      <c r="F12" s="15" t="s">
        <v>126</v>
      </c>
      <c r="G12" s="6" t="s">
        <v>102</v>
      </c>
      <c r="H12" s="6" t="s">
        <v>144</v>
      </c>
      <c r="I12" s="15"/>
      <c r="J12" s="15" t="s">
        <v>97</v>
      </c>
    </row>
    <row r="13" customFormat="false" ht="25.5" hidden="false" customHeight="true" outlineLevel="0" collapsed="false">
      <c r="B13" s="15" t="s">
        <v>151</v>
      </c>
      <c r="C13" s="16" t="s">
        <v>152</v>
      </c>
      <c r="D13" s="15" t="s">
        <v>125</v>
      </c>
      <c r="E13" s="15" t="n">
        <v>2.7</v>
      </c>
      <c r="F13" s="15" t="s">
        <v>126</v>
      </c>
      <c r="G13" s="6" t="s">
        <v>153</v>
      </c>
      <c r="H13" s="6" t="s">
        <v>144</v>
      </c>
      <c r="I13" s="15"/>
      <c r="J13" s="15" t="s">
        <v>101</v>
      </c>
    </row>
    <row r="14" customFormat="false" ht="25.5" hidden="false" customHeight="true" outlineLevel="0" collapsed="false">
      <c r="B14" s="15" t="s">
        <v>154</v>
      </c>
      <c r="C14" s="16" t="s">
        <v>155</v>
      </c>
      <c r="D14" s="15" t="s">
        <v>125</v>
      </c>
      <c r="E14" s="15" t="n">
        <v>1.3</v>
      </c>
      <c r="F14" s="15" t="s">
        <v>126</v>
      </c>
      <c r="G14" s="6" t="s">
        <v>156</v>
      </c>
      <c r="H14" s="6" t="s">
        <v>144</v>
      </c>
      <c r="I14" s="15"/>
      <c r="J14" s="15" t="s">
        <v>103</v>
      </c>
    </row>
    <row r="15" customFormat="false" ht="25.5" hidden="false" customHeight="true" outlineLevel="0" collapsed="false">
      <c r="B15" s="15" t="s">
        <v>157</v>
      </c>
      <c r="C15" s="16" t="s">
        <v>158</v>
      </c>
      <c r="D15" s="15" t="s">
        <v>125</v>
      </c>
      <c r="E15" s="15" t="n">
        <v>4</v>
      </c>
      <c r="F15" s="15" t="s">
        <v>126</v>
      </c>
      <c r="G15" s="6" t="s">
        <v>159</v>
      </c>
      <c r="H15" s="6" t="s">
        <v>159</v>
      </c>
      <c r="I15" s="15"/>
      <c r="J15" s="15" t="s">
        <v>105</v>
      </c>
    </row>
    <row r="16" customFormat="false" ht="25.5" hidden="false" customHeight="true" outlineLevel="0" collapsed="false">
      <c r="B16" s="15" t="s">
        <v>160</v>
      </c>
      <c r="C16" s="16" t="s">
        <v>161</v>
      </c>
      <c r="D16" s="15" t="s">
        <v>125</v>
      </c>
      <c r="E16" s="15"/>
      <c r="F16" s="15"/>
      <c r="G16" s="6"/>
      <c r="H16" s="6"/>
      <c r="I16" s="15"/>
      <c r="J16" s="15" t="s">
        <v>107</v>
      </c>
    </row>
    <row r="17" customFormat="false" ht="25.5" hidden="false" customHeight="true" outlineLevel="0" collapsed="false">
      <c r="B17" s="15"/>
      <c r="C17" s="16" t="s">
        <v>108</v>
      </c>
      <c r="D17" s="15" t="s">
        <v>125</v>
      </c>
      <c r="E17" s="15"/>
      <c r="F17" s="15"/>
      <c r="G17" s="6"/>
      <c r="H17" s="6"/>
      <c r="I17" s="15"/>
      <c r="J17" s="15" t="s">
        <v>108</v>
      </c>
    </row>
    <row r="18" customFormat="false" ht="25.5" hidden="false" customHeight="true" outlineLevel="0" collapsed="false">
      <c r="B18" s="15"/>
      <c r="C18" s="16" t="s">
        <v>162</v>
      </c>
      <c r="D18" s="15" t="s">
        <v>125</v>
      </c>
      <c r="E18" s="15"/>
      <c r="F18" s="15"/>
      <c r="G18" s="6"/>
      <c r="H18" s="6"/>
      <c r="I18" s="15"/>
      <c r="J18" s="15" t="s">
        <v>109</v>
      </c>
    </row>
    <row r="20" customFormat="false" ht="15" hidden="false" customHeight="false" outlineLevel="0" collapsed="false">
      <c r="B20" s="7" t="s">
        <v>163</v>
      </c>
    </row>
    <row r="21" customFormat="false" ht="15" hidden="false" customHeight="false" outlineLevel="0" collapsed="false">
      <c r="B21" s="17" t="s">
        <v>110</v>
      </c>
      <c r="C21" s="18" t="s">
        <v>164</v>
      </c>
    </row>
    <row r="22" customFormat="false" ht="15" hidden="false" customHeight="false" outlineLevel="0" collapsed="false">
      <c r="B22" s="17" t="s">
        <v>111</v>
      </c>
      <c r="C22" s="18" t="s">
        <v>164</v>
      </c>
    </row>
    <row r="23" customFormat="false" ht="15" hidden="false" customHeight="false" outlineLevel="0" collapsed="false">
      <c r="B23" s="17" t="s">
        <v>112</v>
      </c>
      <c r="C23" s="1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9" min="18" style="0" width="12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3" min="22" style="0" width="12"/>
    <col collapsed="false" customWidth="true" hidden="false" outlineLevel="0" max="24" min="24" style="0" width="14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1" min="30" style="0" width="12"/>
    <col collapsed="false" customWidth="true" hidden="false" outlineLevel="0" max="32" min="32" style="0" width="14"/>
    <col collapsed="false" customWidth="true" hidden="false" outlineLevel="0" max="33" min="33" style="0" width="13"/>
    <col collapsed="false" customWidth="true" hidden="false" outlineLevel="0" max="35" min="34" style="0" width="12"/>
    <col collapsed="false" customWidth="true" hidden="false" outlineLevel="0" max="36" min="36" style="0" width="14"/>
    <col collapsed="false" customWidth="true" hidden="false" outlineLevel="0" max="37" min="37" style="0" width="13"/>
    <col collapsed="false" customWidth="true" hidden="false" outlineLevel="0" max="40" min="38" style="0" width="12"/>
    <col collapsed="false" customWidth="true" hidden="false" outlineLevel="0" max="41" min="41" style="0" width="18"/>
    <col collapsed="false" customWidth="true" hidden="false" outlineLevel="0" max="42" min="42" style="0" width="26"/>
    <col collapsed="false" customWidth="true" hidden="false" outlineLevel="0" max="43" min="43" style="0" width="12"/>
    <col collapsed="false" customWidth="true" hidden="false" outlineLevel="0" max="44" min="44" style="0" width="30"/>
    <col collapsed="false" customWidth="true" hidden="true" outlineLevel="0" max="45" min="45" style="0" width="4"/>
    <col collapsed="false" customWidth="true" hidden="false" outlineLevel="0" max="46" min="46" style="0" width="24"/>
    <col collapsed="false" customWidth="true" hidden="false" outlineLevel="0" max="47" min="47" style="0" width="16"/>
    <col collapsed="false" customWidth="true" hidden="false" outlineLevel="0" max="48" min="48" style="0" width="42"/>
    <col collapsed="false" customWidth="true" hidden="false" outlineLevel="0" max="49" min="49" style="0" width="34"/>
  </cols>
  <sheetData>
    <row r="1" customFormat="false" ht="18.55" hidden="false" customHeight="false" outlineLevel="0" collapsed="false">
      <c r="A1" s="13" t="s">
        <v>165</v>
      </c>
    </row>
    <row r="2" customFormat="false" ht="15" hidden="false" customHeight="false" outlineLevel="0" collapsed="false">
      <c r="A2" s="19" t="s">
        <v>166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customFormat="false" ht="19.5" hidden="false" customHeight="true" outlineLevel="0" collapsed="false">
      <c r="A4" s="20" t="s">
        <v>167</v>
      </c>
      <c r="B4" s="20"/>
      <c r="C4" s="20"/>
      <c r="D4" s="20"/>
      <c r="E4" s="21" t="s">
        <v>168</v>
      </c>
      <c r="F4" s="21"/>
      <c r="G4" s="21"/>
      <c r="H4" s="21"/>
      <c r="I4" s="21"/>
      <c r="J4" s="21"/>
      <c r="K4" s="21"/>
      <c r="L4" s="22" t="s">
        <v>169</v>
      </c>
      <c r="M4" s="22"/>
      <c r="N4" s="22"/>
      <c r="O4" s="22"/>
      <c r="P4" s="22" t="s">
        <v>170</v>
      </c>
      <c r="Q4" s="22"/>
      <c r="R4" s="22"/>
      <c r="S4" s="22"/>
      <c r="T4" s="22" t="s">
        <v>56</v>
      </c>
      <c r="U4" s="22"/>
      <c r="V4" s="22"/>
      <c r="W4" s="22"/>
      <c r="X4" s="22" t="s">
        <v>171</v>
      </c>
      <c r="Y4" s="22"/>
      <c r="Z4" s="22"/>
      <c r="AA4" s="22"/>
      <c r="AB4" s="22" t="s">
        <v>172</v>
      </c>
      <c r="AC4" s="22"/>
      <c r="AD4" s="22"/>
      <c r="AE4" s="22"/>
      <c r="AF4" s="22" t="s">
        <v>173</v>
      </c>
      <c r="AG4" s="22"/>
      <c r="AH4" s="22"/>
      <c r="AI4" s="22"/>
      <c r="AJ4" s="22" t="s">
        <v>174</v>
      </c>
      <c r="AK4" s="22"/>
      <c r="AL4" s="22"/>
      <c r="AM4" s="22"/>
      <c r="AN4" s="23" t="s">
        <v>175</v>
      </c>
      <c r="AO4" s="23"/>
      <c r="AP4" s="23"/>
      <c r="AQ4" s="23"/>
      <c r="AR4" s="23"/>
      <c r="AS4" s="23"/>
      <c r="AT4" s="21" t="s">
        <v>176</v>
      </c>
      <c r="AU4" s="21"/>
      <c r="AV4" s="21"/>
      <c r="AW4" s="21"/>
    </row>
    <row r="5" customFormat="false" ht="36" hidden="false" customHeight="true" outlineLevel="0" collapsed="false">
      <c r="A5" s="24" t="s">
        <v>177</v>
      </c>
      <c r="B5" s="24" t="s">
        <v>65</v>
      </c>
      <c r="C5" s="24" t="s">
        <v>178</v>
      </c>
      <c r="D5" s="24" t="s">
        <v>179</v>
      </c>
      <c r="E5" s="24" t="s">
        <v>180</v>
      </c>
      <c r="F5" s="24" t="s">
        <v>181</v>
      </c>
      <c r="G5" s="24" t="s">
        <v>182</v>
      </c>
      <c r="H5" s="24" t="s">
        <v>183</v>
      </c>
      <c r="I5" s="24" t="s">
        <v>184</v>
      </c>
      <c r="J5" s="24" t="s">
        <v>185</v>
      </c>
      <c r="K5" s="24" t="s">
        <v>186</v>
      </c>
      <c r="L5" s="24" t="s">
        <v>67</v>
      </c>
      <c r="M5" s="24" t="s">
        <v>61</v>
      </c>
      <c r="N5" s="24" t="s">
        <v>187</v>
      </c>
      <c r="O5" s="24" t="s">
        <v>188</v>
      </c>
      <c r="P5" s="24" t="s">
        <v>67</v>
      </c>
      <c r="Q5" s="24" t="s">
        <v>61</v>
      </c>
      <c r="R5" s="24" t="s">
        <v>187</v>
      </c>
      <c r="S5" s="24" t="s">
        <v>188</v>
      </c>
      <c r="T5" s="24" t="s">
        <v>67</v>
      </c>
      <c r="U5" s="24" t="s">
        <v>61</v>
      </c>
      <c r="V5" s="24" t="s">
        <v>187</v>
      </c>
      <c r="W5" s="24" t="s">
        <v>188</v>
      </c>
      <c r="X5" s="24" t="s">
        <v>189</v>
      </c>
      <c r="Y5" s="24" t="s">
        <v>61</v>
      </c>
      <c r="Z5" s="24" t="s">
        <v>187</v>
      </c>
      <c r="AA5" s="24" t="s">
        <v>188</v>
      </c>
      <c r="AB5" s="24" t="s">
        <v>67</v>
      </c>
      <c r="AC5" s="24" t="s">
        <v>61</v>
      </c>
      <c r="AD5" s="24" t="s">
        <v>187</v>
      </c>
      <c r="AE5" s="24" t="s">
        <v>188</v>
      </c>
      <c r="AF5" s="24" t="s">
        <v>67</v>
      </c>
      <c r="AG5" s="24" t="s">
        <v>61</v>
      </c>
      <c r="AH5" s="24" t="s">
        <v>187</v>
      </c>
      <c r="AI5" s="24" t="s">
        <v>188</v>
      </c>
      <c r="AJ5" s="24" t="s">
        <v>67</v>
      </c>
      <c r="AK5" s="24" t="s">
        <v>61</v>
      </c>
      <c r="AL5" s="24" t="s">
        <v>187</v>
      </c>
      <c r="AM5" s="24" t="s">
        <v>188</v>
      </c>
      <c r="AN5" s="24" t="s">
        <v>190</v>
      </c>
      <c r="AO5" s="24" t="s">
        <v>62</v>
      </c>
      <c r="AP5" s="24" t="s">
        <v>63</v>
      </c>
      <c r="AQ5" s="24" t="s">
        <v>191</v>
      </c>
      <c r="AR5" s="24" t="s">
        <v>192</v>
      </c>
      <c r="AS5" s="24" t="s">
        <v>193</v>
      </c>
      <c r="AT5" s="24" t="s">
        <v>66</v>
      </c>
      <c r="AU5" s="24" t="s">
        <v>194</v>
      </c>
      <c r="AV5" s="24" t="s">
        <v>195</v>
      </c>
      <c r="AW5" s="24" t="s">
        <v>196</v>
      </c>
    </row>
    <row r="6" customFormat="false" ht="30" hidden="false" customHeight="true" outlineLevel="0" collapsed="false">
      <c r="A6" s="25" t="n">
        <v>1</v>
      </c>
      <c r="B6" s="26" t="s">
        <v>70</v>
      </c>
      <c r="C6" s="27" t="s">
        <v>197</v>
      </c>
      <c r="D6" s="26" t="s">
        <v>162</v>
      </c>
      <c r="E6" s="25" t="str">
        <f aca="false">IF(NOT(OR(M6="Completed",M6="NA",M6="Cancelled")),"S1 Schematic",IF(NOT(OR(Q6="Completed",Q6="NA",Q6="Cancelled")),"S2 PCB Layout",IF(NOT(OR(U6="Completed",U6="NA",U6="Cancelled")),"S3 SI &amp; PI",IF(NOT(OR(Y6="Completed",Y6="NA",Y6="Cancelled")),"S4 Bare-PCB Fab",IF(NOT(OR(AC6="Completed",AC6="NA",AC6="Cancelled")),"S5 Assembly",IF(NOT(OR(AG6="Completed",AG6="NA",AG6="Cancelled")),"S6 Bring-up",IF(NOT(OR(AK6="Completed",AK6="NA",AK6="Cancelled")),"S7 BOM Procurement","All Stages Closed")))))))</f>
        <v>All Stages Closed</v>
      </c>
      <c r="F6" s="28" t="str">
        <f aca="false">IF(COUNTIF(M6,"Cancelled")+COUNTIF(Q6,"Cancelled")+COUNTIF(U6,"Cancelled")+COUNTIF(Y6,"Cancelled")+COUNTIF(AC6,"Cancelled")+COUNTIF(AG6,"Cancelled")+COUNTIF(AK6,"Cancelled")&gt;0,"Cancelled",IF(E6="All Stages Closed","Completed",IF(E6="S1 Schematic",M6,IF(E6="S2 PCB Layout",Q6,IF(E6="S3 SI &amp; PI",U6,IF(E6="S4 Bare-PCB Fab",Y6,IF(E6="S5 Assembly",AC6,IF(E6="S6 Bring-up",AG6,AK6))))))))</f>
        <v>Completed</v>
      </c>
      <c r="G6" s="29" t="str">
        <f aca="false">IF(E6="All Stages Closed","",IF(E6="S1 Schematic",IF(N6="","Not added",N6),IF(E6="S2 PCB Layout",IF(R6="","Not added",R6),IF(E6="S3 SI &amp; PI",IF(V6="","Not added",V6),IF(E6="S4 Bare-PCB Fab",IF(Z6="","Not added",Z6),IF(E6="S5 Assembly",IF(AD6="","Not added",AD6),IF(E6="S6 Bring-up",IF(AH6="","Not added",AH6),IF(AL6="","Not added",AL6))))))))</f>
        <v/>
      </c>
      <c r="H6" s="28" t="str">
        <f aca="true">IF(OR(F6="Completed",F6="Cancelled"),"",IF(NOT(ISNUMBER(G6)),"Date not added",IF(TODAY()&gt;G6,TODAY()-G6,G6-TODAY()&amp;" days left")))</f>
        <v/>
      </c>
      <c r="I6" s="25" t="n">
        <f aca="false">COUNTIF(M6,"Completed")+COUNTIF(Q6,"Completed")+COUNTIF(U6,"Completed")+COUNTIF(Y6,"Completed")+COUNTIF(AC6,"Completed")+COUNTIF(AG6,"Completed")+COUNTIF(AK6,"Completed")</f>
        <v>1</v>
      </c>
      <c r="J6" s="25" t="n">
        <f aca="false">7-(COUNTIF(M6,"NA")+COUNTIF(Q6,"NA")+COUNTIF(U6,"NA")+COUNTIF(Y6,"NA")+COUNTIF(AC6,"NA")+COUNTIF(AG6,"NA")+COUNTIF(AK6,"NA"))</f>
        <v>1</v>
      </c>
      <c r="K6" s="30" t="n">
        <f aca="false">IFERROR(I6/J6,"")</f>
        <v>1</v>
      </c>
      <c r="L6" s="26"/>
      <c r="M6" s="25" t="s">
        <v>53</v>
      </c>
      <c r="N6" s="31"/>
      <c r="O6" s="31"/>
      <c r="P6" s="26"/>
      <c r="Q6" s="25" t="s">
        <v>53</v>
      </c>
      <c r="R6" s="31"/>
      <c r="S6" s="31"/>
      <c r="T6" s="26" t="s">
        <v>89</v>
      </c>
      <c r="U6" s="25" t="s">
        <v>48</v>
      </c>
      <c r="V6" s="31" t="n">
        <v>46209</v>
      </c>
      <c r="W6" s="31"/>
      <c r="X6" s="26"/>
      <c r="Y6" s="25" t="s">
        <v>53</v>
      </c>
      <c r="Z6" s="31"/>
      <c r="AA6" s="31"/>
      <c r="AB6" s="26"/>
      <c r="AC6" s="25" t="s">
        <v>53</v>
      </c>
      <c r="AD6" s="31"/>
      <c r="AE6" s="31"/>
      <c r="AF6" s="26"/>
      <c r="AG6" s="25" t="s">
        <v>53</v>
      </c>
      <c r="AH6" s="31"/>
      <c r="AI6" s="31"/>
      <c r="AJ6" s="26"/>
      <c r="AK6" s="25" t="s">
        <v>53</v>
      </c>
      <c r="AL6" s="31"/>
      <c r="AM6" s="31"/>
      <c r="AN6" s="25" t="s">
        <v>74</v>
      </c>
      <c r="AO6" s="26"/>
      <c r="AP6" s="26"/>
      <c r="AQ6" s="32"/>
      <c r="AR6" s="33" t="str">
        <f aca="false">IF(AN6&lt;&gt;"Yes","",IF(AO6="","SELECT RE-ENTRY STAGE","MOVE TO ACTIVE at "&amp;AO6))</f>
        <v/>
      </c>
      <c r="AS6" s="26" t="str">
        <f aca="false">IF(AN6="Yes",COUNTIF($AN$6:AN6,"Yes"),"")</f>
        <v/>
      </c>
      <c r="AT6" s="26"/>
      <c r="AU6" s="34" t="str">
        <f aca="false">IF(OR(F6="Completed",F6="Cancelled"),"",IF(AND(OR(F6="On Hold",ISNUMBER(H6)),AT6=""),"Reason not given",""))</f>
        <v/>
      </c>
      <c r="AV6" s="35" t="s">
        <v>198</v>
      </c>
      <c r="AW6" s="35"/>
    </row>
    <row r="7" customFormat="false" ht="30" hidden="false" customHeight="true" outlineLevel="0" collapsed="false">
      <c r="A7" s="25" t="n">
        <v>2</v>
      </c>
      <c r="B7" s="26" t="s">
        <v>70</v>
      </c>
      <c r="C7" s="27" t="s">
        <v>199</v>
      </c>
      <c r="D7" s="26" t="s">
        <v>200</v>
      </c>
      <c r="E7" s="25" t="str">
        <f aca="false">IF(NOT(OR(M7="Completed",M7="NA",M7="Cancelled")),"S1 Schematic",IF(NOT(OR(Q7="Completed",Q7="NA",Q7="Cancelled")),"S2 PCB Layout",IF(NOT(OR(U7="Completed",U7="NA",U7="Cancelled")),"S3 SI &amp; PI",IF(NOT(OR(Y7="Completed",Y7="NA",Y7="Cancelled")),"S4 Bare-PCB Fab",IF(NOT(OR(AC7="Completed",AC7="NA",AC7="Cancelled")),"S5 Assembly",IF(NOT(OR(AG7="Completed",AG7="NA",AG7="Cancelled")),"S6 Bring-up",IF(NOT(OR(AK7="Completed",AK7="NA",AK7="Cancelled")),"S7 BOM Procurement","All Stages Closed")))))))</f>
        <v>All Stages Closed</v>
      </c>
      <c r="F7" s="28" t="str">
        <f aca="false">IF(COUNTIF(M7,"Cancelled")+COUNTIF(Q7,"Cancelled")+COUNTIF(U7,"Cancelled")+COUNTIF(Y7,"Cancelled")+COUNTIF(AC7,"Cancelled")+COUNTIF(AG7,"Cancelled")+COUNTIF(AK7,"Cancelled")&gt;0,"Cancelled",IF(E7="All Stages Closed","Completed",IF(E7="S1 Schematic",M7,IF(E7="S2 PCB Layout",Q7,IF(E7="S3 SI &amp; PI",U7,IF(E7="S4 Bare-PCB Fab",Y7,IF(E7="S5 Assembly",AC7,IF(E7="S6 Bring-up",AG7,AK7))))))))</f>
        <v>Completed</v>
      </c>
      <c r="G7" s="29" t="str">
        <f aca="false">IF(E7="All Stages Closed","",IF(E7="S1 Schematic",IF(N7="","Not added",N7),IF(E7="S2 PCB Layout",IF(R7="","Not added",R7),IF(E7="S3 SI &amp; PI",IF(V7="","Not added",V7),IF(E7="S4 Bare-PCB Fab",IF(Z7="","Not added",Z7),IF(E7="S5 Assembly",IF(AD7="","Not added",AD7),IF(E7="S6 Bring-up",IF(AH7="","Not added",AH7),IF(AL7="","Not added",AL7))))))))</f>
        <v/>
      </c>
      <c r="H7" s="28" t="str">
        <f aca="true">IF(OR(F7="Completed",F7="Cancelled"),"",IF(NOT(ISNUMBER(G7)),"Date not added",IF(TODAY()&gt;G7,TODAY()-G7,G7-TODAY()&amp;" days left")))</f>
        <v/>
      </c>
      <c r="I7" s="25" t="n">
        <f aca="false">COUNTIF(M7,"Completed")+COUNTIF(Q7,"Completed")+COUNTIF(U7,"Completed")+COUNTIF(Y7,"Completed")+COUNTIF(AC7,"Completed")+COUNTIF(AG7,"Completed")+COUNTIF(AK7,"Completed")</f>
        <v>1</v>
      </c>
      <c r="J7" s="25" t="n">
        <f aca="false">7-(COUNTIF(M7,"NA")+COUNTIF(Q7,"NA")+COUNTIF(U7,"NA")+COUNTIF(Y7,"NA")+COUNTIF(AC7,"NA")+COUNTIF(AG7,"NA")+COUNTIF(AK7,"NA"))</f>
        <v>1</v>
      </c>
      <c r="K7" s="30" t="n">
        <f aca="false">IFERROR(I7/J7,"")</f>
        <v>1</v>
      </c>
      <c r="L7" s="26"/>
      <c r="M7" s="25" t="s">
        <v>53</v>
      </c>
      <c r="N7" s="31"/>
      <c r="O7" s="31"/>
      <c r="P7" s="26"/>
      <c r="Q7" s="25" t="s">
        <v>53</v>
      </c>
      <c r="R7" s="31"/>
      <c r="S7" s="31"/>
      <c r="T7" s="26" t="s">
        <v>89</v>
      </c>
      <c r="U7" s="25" t="s">
        <v>48</v>
      </c>
      <c r="V7" s="31" t="n">
        <v>46213</v>
      </c>
      <c r="W7" s="31"/>
      <c r="X7" s="26"/>
      <c r="Y7" s="25" t="s">
        <v>53</v>
      </c>
      <c r="Z7" s="31"/>
      <c r="AA7" s="31"/>
      <c r="AB7" s="26"/>
      <c r="AC7" s="25" t="s">
        <v>53</v>
      </c>
      <c r="AD7" s="31"/>
      <c r="AE7" s="31"/>
      <c r="AF7" s="26"/>
      <c r="AG7" s="25" t="s">
        <v>53</v>
      </c>
      <c r="AH7" s="31"/>
      <c r="AI7" s="31"/>
      <c r="AJ7" s="26"/>
      <c r="AK7" s="25" t="s">
        <v>53</v>
      </c>
      <c r="AL7" s="31"/>
      <c r="AM7" s="31"/>
      <c r="AN7" s="25" t="s">
        <v>74</v>
      </c>
      <c r="AO7" s="26"/>
      <c r="AP7" s="26"/>
      <c r="AQ7" s="32"/>
      <c r="AR7" s="33" t="str">
        <f aca="false">IF(AN7&lt;&gt;"Yes","",IF(AO7="","SELECT RE-ENTRY STAGE","MOVE TO ACTIVE at "&amp;AO7))</f>
        <v/>
      </c>
      <c r="AS7" s="26" t="str">
        <f aca="false">IF(AN7="Yes",COUNTIF($AN$6:AN7,"Yes"),"")</f>
        <v/>
      </c>
      <c r="AT7" s="26"/>
      <c r="AU7" s="34" t="str">
        <f aca="false">IF(OR(F7="Completed",F7="Cancelled"),"",IF(AND(OR(F7="On Hold",ISNUMBER(H7)),AT7=""),"Reason not given",""))</f>
        <v/>
      </c>
      <c r="AV7" s="35" t="s">
        <v>201</v>
      </c>
      <c r="AW7" s="35"/>
    </row>
    <row r="8" customFormat="false" ht="30" hidden="false" customHeight="true" outlineLevel="0" collapsed="false">
      <c r="A8" s="36" t="n">
        <v>3</v>
      </c>
      <c r="B8" s="37" t="s">
        <v>75</v>
      </c>
      <c r="C8" s="38" t="s">
        <v>202</v>
      </c>
      <c r="D8" s="37" t="s">
        <v>162</v>
      </c>
      <c r="E8" s="36" t="str">
        <f aca="false">IF(NOT(OR(M8="Completed",M8="NA",M8="Cancelled")),"S1 Schematic",IF(NOT(OR(Q8="Completed",Q8="NA",Q8="Cancelled")),"S2 PCB Layout",IF(NOT(OR(U8="Completed",U8="NA",U8="Cancelled")),"S3 SI &amp; PI",IF(NOT(OR(Y8="Completed",Y8="NA",Y8="Cancelled")),"S4 Bare-PCB Fab",IF(NOT(OR(AC8="Completed",AC8="NA",AC8="Cancelled")),"S5 Assembly",IF(NOT(OR(AG8="Completed",AG8="NA",AG8="Cancelled")),"S6 Bring-up",IF(NOT(OR(AK8="Completed",AK8="NA",AK8="Cancelled")),"S7 BOM Procurement","All Stages Closed")))))))</f>
        <v>All Stages Closed</v>
      </c>
      <c r="F8" s="39" t="str">
        <f aca="false">IF(COUNTIF(M8,"Cancelled")+COUNTIF(Q8,"Cancelled")+COUNTIF(U8,"Cancelled")+COUNTIF(Y8,"Cancelled")+COUNTIF(AC8,"Cancelled")+COUNTIF(AG8,"Cancelled")+COUNTIF(AK8,"Cancelled")&gt;0,"Cancelled",IF(E8="All Stages Closed","Completed",IF(E8="S1 Schematic",M8,IF(E8="S2 PCB Layout",Q8,IF(E8="S3 SI &amp; PI",U8,IF(E8="S4 Bare-PCB Fab",Y8,IF(E8="S5 Assembly",AC8,IF(E8="S6 Bring-up",AG8,AK8))))))))</f>
        <v>Completed</v>
      </c>
      <c r="G8" s="40" t="str">
        <f aca="false">IF(E8="All Stages Closed","",IF(E8="S1 Schematic",IF(N8="","Not added",N8),IF(E8="S2 PCB Layout",IF(R8="","Not added",R8),IF(E8="S3 SI &amp; PI",IF(V8="","Not added",V8),IF(E8="S4 Bare-PCB Fab",IF(Z8="","Not added",Z8),IF(E8="S5 Assembly",IF(AD8="","Not added",AD8),IF(E8="S6 Bring-up",IF(AH8="","Not added",AH8),IF(AL8="","Not added",AL8))))))))</f>
        <v/>
      </c>
      <c r="H8" s="39" t="str">
        <f aca="true">IF(OR(F8="Completed",F8="Cancelled"),"",IF(NOT(ISNUMBER(G8)),"Date not added",IF(TODAY()&gt;G8,TODAY()-G8,G8-TODAY()&amp;" days left")))</f>
        <v/>
      </c>
      <c r="I8" s="36" t="n">
        <f aca="false">COUNTIF(M8,"Completed")+COUNTIF(Q8,"Completed")+COUNTIF(U8,"Completed")+COUNTIF(Y8,"Completed")+COUNTIF(AC8,"Completed")+COUNTIF(AG8,"Completed")+COUNTIF(AK8,"Completed")</f>
        <v>5</v>
      </c>
      <c r="J8" s="36" t="n">
        <f aca="false">7-(COUNTIF(M8,"NA")+COUNTIF(Q8,"NA")+COUNTIF(U8,"NA")+COUNTIF(Y8,"NA")+COUNTIF(AC8,"NA")+COUNTIF(AG8,"NA")+COUNTIF(AK8,"NA"))</f>
        <v>5</v>
      </c>
      <c r="K8" s="41" t="n">
        <f aca="false">IFERROR(I8/J8,"")</f>
        <v>1</v>
      </c>
      <c r="L8" s="37" t="s">
        <v>203</v>
      </c>
      <c r="M8" s="36" t="s">
        <v>48</v>
      </c>
      <c r="N8" s="42"/>
      <c r="O8" s="42"/>
      <c r="P8" s="37" t="s">
        <v>203</v>
      </c>
      <c r="Q8" s="36" t="s">
        <v>48</v>
      </c>
      <c r="R8" s="42"/>
      <c r="S8" s="42"/>
      <c r="T8" s="37" t="s">
        <v>89</v>
      </c>
      <c r="U8" s="36" t="s">
        <v>48</v>
      </c>
      <c r="V8" s="42"/>
      <c r="W8" s="42"/>
      <c r="X8" s="37" t="s">
        <v>77</v>
      </c>
      <c r="Y8" s="36" t="s">
        <v>48</v>
      </c>
      <c r="Z8" s="42"/>
      <c r="AA8" s="42"/>
      <c r="AB8" s="37" t="s">
        <v>85</v>
      </c>
      <c r="AC8" s="36" t="s">
        <v>48</v>
      </c>
      <c r="AD8" s="42"/>
      <c r="AE8" s="42"/>
      <c r="AF8" s="37"/>
      <c r="AG8" s="36" t="s">
        <v>53</v>
      </c>
      <c r="AH8" s="42"/>
      <c r="AI8" s="42"/>
      <c r="AJ8" s="37"/>
      <c r="AK8" s="36" t="s">
        <v>53</v>
      </c>
      <c r="AL8" s="42"/>
      <c r="AM8" s="42"/>
      <c r="AN8" s="36" t="s">
        <v>74</v>
      </c>
      <c r="AO8" s="37"/>
      <c r="AP8" s="37"/>
      <c r="AQ8" s="43"/>
      <c r="AR8" s="44" t="str">
        <f aca="false">IF(AN8&lt;&gt;"Yes","",IF(AO8="","SELECT RE-ENTRY STAGE","MOVE TO ACTIVE at "&amp;AO8))</f>
        <v/>
      </c>
      <c r="AS8" s="37" t="str">
        <f aca="false">IF(AN8="Yes",COUNTIF($AN$6:AN8,"Yes"),"")</f>
        <v/>
      </c>
      <c r="AT8" s="37"/>
      <c r="AU8" s="45" t="str">
        <f aca="false">IF(OR(F8="Completed",F8="Cancelled"),"",IF(AND(OR(F8="On Hold",ISNUMBER(H8)),AT8=""),"Reason not given",""))</f>
        <v/>
      </c>
      <c r="AV8" s="46"/>
      <c r="AW8" s="46"/>
    </row>
    <row r="9" customFormat="false" ht="30" hidden="false" customHeight="true" outlineLevel="0" collapsed="false">
      <c r="A9" s="36" t="n">
        <v>4</v>
      </c>
      <c r="B9" s="37" t="s">
        <v>75</v>
      </c>
      <c r="C9" s="38" t="s">
        <v>204</v>
      </c>
      <c r="D9" s="37" t="s">
        <v>162</v>
      </c>
      <c r="E9" s="36" t="str">
        <f aca="false">IF(NOT(OR(M9="Completed",M9="NA",M9="Cancelled")),"S1 Schematic",IF(NOT(OR(Q9="Completed",Q9="NA",Q9="Cancelled")),"S2 PCB Layout",IF(NOT(OR(U9="Completed",U9="NA",U9="Cancelled")),"S3 SI &amp; PI",IF(NOT(OR(Y9="Completed",Y9="NA",Y9="Cancelled")),"S4 Bare-PCB Fab",IF(NOT(OR(AC9="Completed",AC9="NA",AC9="Cancelled")),"S5 Assembly",IF(NOT(OR(AG9="Completed",AG9="NA",AG9="Cancelled")),"S6 Bring-up",IF(NOT(OR(AK9="Completed",AK9="NA",AK9="Cancelled")),"S7 BOM Procurement","All Stages Closed")))))))</f>
        <v>All Stages Closed</v>
      </c>
      <c r="F9" s="39" t="str">
        <f aca="false">IF(COUNTIF(M9,"Cancelled")+COUNTIF(Q9,"Cancelled")+COUNTIF(U9,"Cancelled")+COUNTIF(Y9,"Cancelled")+COUNTIF(AC9,"Cancelled")+COUNTIF(AG9,"Cancelled")+COUNTIF(AK9,"Cancelled")&gt;0,"Cancelled",IF(E9="All Stages Closed","Completed",IF(E9="S1 Schematic",M9,IF(E9="S2 PCB Layout",Q9,IF(E9="S3 SI &amp; PI",U9,IF(E9="S4 Bare-PCB Fab",Y9,IF(E9="S5 Assembly",AC9,IF(E9="S6 Bring-up",AG9,AK9))))))))</f>
        <v>Completed</v>
      </c>
      <c r="G9" s="40" t="str">
        <f aca="false">IF(E9="All Stages Closed","",IF(E9="S1 Schematic",IF(N9="","Not added",N9),IF(E9="S2 PCB Layout",IF(R9="","Not added",R9),IF(E9="S3 SI &amp; PI",IF(V9="","Not added",V9),IF(E9="S4 Bare-PCB Fab",IF(Z9="","Not added",Z9),IF(E9="S5 Assembly",IF(AD9="","Not added",AD9),IF(E9="S6 Bring-up",IF(AH9="","Not added",AH9),IF(AL9="","Not added",AL9))))))))</f>
        <v/>
      </c>
      <c r="H9" s="39" t="str">
        <f aca="true">IF(OR(F9="Completed",F9="Cancelled"),"",IF(NOT(ISNUMBER(G9)),"Date not added",IF(TODAY()&gt;G9,TODAY()-G9,G9-TODAY()&amp;" days left")))</f>
        <v/>
      </c>
      <c r="I9" s="36" t="n">
        <f aca="false">COUNTIF(M9,"Completed")+COUNTIF(Q9,"Completed")+COUNTIF(U9,"Completed")+COUNTIF(Y9,"Completed")+COUNTIF(AC9,"Completed")+COUNTIF(AG9,"Completed")+COUNTIF(AK9,"Completed")</f>
        <v>5</v>
      </c>
      <c r="J9" s="36" t="n">
        <f aca="false">7-(COUNTIF(M9,"NA")+COUNTIF(Q9,"NA")+COUNTIF(U9,"NA")+COUNTIF(Y9,"NA")+COUNTIF(AC9,"NA")+COUNTIF(AG9,"NA")+COUNTIF(AK9,"NA"))</f>
        <v>5</v>
      </c>
      <c r="K9" s="41" t="n">
        <f aca="false">IFERROR(I9/J9,"")</f>
        <v>1</v>
      </c>
      <c r="L9" s="37" t="s">
        <v>203</v>
      </c>
      <c r="M9" s="36" t="s">
        <v>48</v>
      </c>
      <c r="N9" s="42"/>
      <c r="O9" s="42"/>
      <c r="P9" s="37" t="s">
        <v>203</v>
      </c>
      <c r="Q9" s="36" t="s">
        <v>48</v>
      </c>
      <c r="R9" s="42"/>
      <c r="S9" s="42"/>
      <c r="T9" s="37" t="s">
        <v>89</v>
      </c>
      <c r="U9" s="36" t="s">
        <v>48</v>
      </c>
      <c r="V9" s="42"/>
      <c r="W9" s="42"/>
      <c r="X9" s="37" t="s">
        <v>77</v>
      </c>
      <c r="Y9" s="36" t="s">
        <v>48</v>
      </c>
      <c r="Z9" s="42"/>
      <c r="AA9" s="42"/>
      <c r="AB9" s="37" t="s">
        <v>85</v>
      </c>
      <c r="AC9" s="36" t="s">
        <v>48</v>
      </c>
      <c r="AD9" s="42"/>
      <c r="AE9" s="42"/>
      <c r="AF9" s="37"/>
      <c r="AG9" s="36" t="s">
        <v>53</v>
      </c>
      <c r="AH9" s="42"/>
      <c r="AI9" s="42"/>
      <c r="AJ9" s="37"/>
      <c r="AK9" s="36" t="s">
        <v>53</v>
      </c>
      <c r="AL9" s="42"/>
      <c r="AM9" s="42"/>
      <c r="AN9" s="36" t="s">
        <v>74</v>
      </c>
      <c r="AO9" s="37"/>
      <c r="AP9" s="37"/>
      <c r="AQ9" s="43"/>
      <c r="AR9" s="44" t="str">
        <f aca="false">IF(AN9&lt;&gt;"Yes","",IF(AO9="","SELECT RE-ENTRY STAGE","MOVE TO ACTIVE at "&amp;AO9))</f>
        <v/>
      </c>
      <c r="AS9" s="37" t="str">
        <f aca="false">IF(AN9="Yes",COUNTIF($AN$6:AN9,"Yes"),"")</f>
        <v/>
      </c>
      <c r="AT9" s="37"/>
      <c r="AU9" s="45" t="str">
        <f aca="false">IF(OR(F9="Completed",F9="Cancelled"),"",IF(AND(OR(F9="On Hold",ISNUMBER(H9)),AT9=""),"Reason not given",""))</f>
        <v/>
      </c>
      <c r="AV9" s="46" t="s">
        <v>205</v>
      </c>
      <c r="AW9" s="46"/>
    </row>
    <row r="10" customFormat="false" ht="30" hidden="false" customHeight="true" outlineLevel="0" collapsed="false">
      <c r="A10" s="36" t="n">
        <v>5</v>
      </c>
      <c r="B10" s="37" t="s">
        <v>75</v>
      </c>
      <c r="C10" s="38" t="s">
        <v>206</v>
      </c>
      <c r="D10" s="37" t="s">
        <v>162</v>
      </c>
      <c r="E10" s="36" t="str">
        <f aca="false">IF(NOT(OR(M10="Completed",M10="NA",M10="Cancelled")),"S1 Schematic",IF(NOT(OR(Q10="Completed",Q10="NA",Q10="Cancelled")),"S2 PCB Layout",IF(NOT(OR(U10="Completed",U10="NA",U10="Cancelled")),"S3 SI &amp; PI",IF(NOT(OR(Y10="Completed",Y10="NA",Y10="Cancelled")),"S4 Bare-PCB Fab",IF(NOT(OR(AC10="Completed",AC10="NA",AC10="Cancelled")),"S5 Assembly",IF(NOT(OR(AG10="Completed",AG10="NA",AG10="Cancelled")),"S6 Bring-up",IF(NOT(OR(AK10="Completed",AK10="NA",AK10="Cancelled")),"S7 BOM Procurement","All Stages Closed")))))))</f>
        <v>All Stages Closed</v>
      </c>
      <c r="F10" s="39" t="str">
        <f aca="false">IF(COUNTIF(M10,"Cancelled")+COUNTIF(Q10,"Cancelled")+COUNTIF(U10,"Cancelled")+COUNTIF(Y10,"Cancelled")+COUNTIF(AC10,"Cancelled")+COUNTIF(AG10,"Cancelled")+COUNTIF(AK10,"Cancelled")&gt;0,"Cancelled",IF(E10="All Stages Closed","Completed",IF(E10="S1 Schematic",M10,IF(E10="S2 PCB Layout",Q10,IF(E10="S3 SI &amp; PI",U10,IF(E10="S4 Bare-PCB Fab",Y10,IF(E10="S5 Assembly",AC10,IF(E10="S6 Bring-up",AG10,AK10))))))))</f>
        <v>Completed</v>
      </c>
      <c r="G10" s="40" t="str">
        <f aca="false">IF(E10="All Stages Closed","",IF(E10="S1 Schematic",IF(N10="","Not added",N10),IF(E10="S2 PCB Layout",IF(R10="","Not added",R10),IF(E10="S3 SI &amp; PI",IF(V10="","Not added",V10),IF(E10="S4 Bare-PCB Fab",IF(Z10="","Not added",Z10),IF(E10="S5 Assembly",IF(AD10="","Not added",AD10),IF(E10="S6 Bring-up",IF(AH10="","Not added",AH10),IF(AL10="","Not added",AL10))))))))</f>
        <v/>
      </c>
      <c r="H10" s="39" t="str">
        <f aca="true">IF(OR(F10="Completed",F10="Cancelled"),"",IF(NOT(ISNUMBER(G10)),"Date not added",IF(TODAY()&gt;G10,TODAY()-G10,G10-TODAY()&amp;" days left")))</f>
        <v/>
      </c>
      <c r="I10" s="36" t="n">
        <f aca="false">COUNTIF(M10,"Completed")+COUNTIF(Q10,"Completed")+COUNTIF(U10,"Completed")+COUNTIF(Y10,"Completed")+COUNTIF(AC10,"Completed")+COUNTIF(AG10,"Completed")+COUNTIF(AK10,"Completed")</f>
        <v>5</v>
      </c>
      <c r="J10" s="36" t="n">
        <f aca="false">7-(COUNTIF(M10,"NA")+COUNTIF(Q10,"NA")+COUNTIF(U10,"NA")+COUNTIF(Y10,"NA")+COUNTIF(AC10,"NA")+COUNTIF(AG10,"NA")+COUNTIF(AK10,"NA"))</f>
        <v>5</v>
      </c>
      <c r="K10" s="41" t="n">
        <f aca="false">IFERROR(I10/J10,"")</f>
        <v>1</v>
      </c>
      <c r="L10" s="37" t="s">
        <v>203</v>
      </c>
      <c r="M10" s="36" t="s">
        <v>48</v>
      </c>
      <c r="N10" s="42" t="n">
        <v>46149</v>
      </c>
      <c r="O10" s="42"/>
      <c r="P10" s="37" t="s">
        <v>203</v>
      </c>
      <c r="Q10" s="36" t="s">
        <v>48</v>
      </c>
      <c r="R10" s="42"/>
      <c r="S10" s="42"/>
      <c r="T10" s="37" t="s">
        <v>89</v>
      </c>
      <c r="U10" s="36" t="s">
        <v>48</v>
      </c>
      <c r="V10" s="42"/>
      <c r="W10" s="42"/>
      <c r="X10" s="37" t="s">
        <v>77</v>
      </c>
      <c r="Y10" s="36" t="s">
        <v>48</v>
      </c>
      <c r="Z10" s="42"/>
      <c r="AA10" s="42"/>
      <c r="AB10" s="37" t="s">
        <v>85</v>
      </c>
      <c r="AC10" s="36" t="s">
        <v>48</v>
      </c>
      <c r="AD10" s="42"/>
      <c r="AE10" s="42"/>
      <c r="AF10" s="37"/>
      <c r="AG10" s="36" t="s">
        <v>53</v>
      </c>
      <c r="AH10" s="42"/>
      <c r="AI10" s="42"/>
      <c r="AJ10" s="37"/>
      <c r="AK10" s="36" t="s">
        <v>53</v>
      </c>
      <c r="AL10" s="42"/>
      <c r="AM10" s="42"/>
      <c r="AN10" s="36" t="s">
        <v>74</v>
      </c>
      <c r="AO10" s="37"/>
      <c r="AP10" s="37"/>
      <c r="AQ10" s="43"/>
      <c r="AR10" s="44" t="str">
        <f aca="false">IF(AN10&lt;&gt;"Yes","",IF(AO10="","SELECT RE-ENTRY STAGE","MOVE TO ACTIVE at "&amp;AO10))</f>
        <v/>
      </c>
      <c r="AS10" s="37" t="str">
        <f aca="false">IF(AN10="Yes",COUNTIF($AN$6:AN10,"Yes"),"")</f>
        <v/>
      </c>
      <c r="AT10" s="37"/>
      <c r="AU10" s="45" t="str">
        <f aca="false">IF(OR(F10="Completed",F10="Cancelled"),"",IF(AND(OR(F10="On Hold",ISNUMBER(H10)),AT10=""),"Reason not given",""))</f>
        <v/>
      </c>
      <c r="AV10" s="46" t="s">
        <v>207</v>
      </c>
      <c r="AW10" s="46"/>
    </row>
    <row r="11" customFormat="false" ht="30" hidden="false" customHeight="true" outlineLevel="0" collapsed="false">
      <c r="A11" s="25" t="n">
        <v>6</v>
      </c>
      <c r="B11" s="26" t="s">
        <v>79</v>
      </c>
      <c r="C11" s="27" t="s">
        <v>208</v>
      </c>
      <c r="D11" s="26" t="s">
        <v>72</v>
      </c>
      <c r="E11" s="25" t="str">
        <f aca="false">IF(NOT(OR(M11="Completed",M11="NA",M11="Cancelled")),"S1 Schematic",IF(NOT(OR(Q11="Completed",Q11="NA",Q11="Cancelled")),"S2 PCB Layout",IF(NOT(OR(U11="Completed",U11="NA",U11="Cancelled")),"S3 SI &amp; PI",IF(NOT(OR(Y11="Completed",Y11="NA",Y11="Cancelled")),"S4 Bare-PCB Fab",IF(NOT(OR(AC11="Completed",AC11="NA",AC11="Cancelled")),"S5 Assembly",IF(NOT(OR(AG11="Completed",AG11="NA",AG11="Cancelled")),"S6 Bring-up",IF(NOT(OR(AK11="Completed",AK11="NA",AK11="Cancelled")),"S7 BOM Procurement","All Stages Closed")))))))</f>
        <v>All Stages Closed</v>
      </c>
      <c r="F11" s="28" t="str">
        <f aca="false">IF(COUNTIF(M11,"Cancelled")+COUNTIF(Q11,"Cancelled")+COUNTIF(U11,"Cancelled")+COUNTIF(Y11,"Cancelled")+COUNTIF(AC11,"Cancelled")+COUNTIF(AG11,"Cancelled")+COUNTIF(AK11,"Cancelled")&gt;0,"Cancelled",IF(E11="All Stages Closed","Completed",IF(E11="S1 Schematic",M11,IF(E11="S2 PCB Layout",Q11,IF(E11="S3 SI &amp; PI",U11,IF(E11="S4 Bare-PCB Fab",Y11,IF(E11="S5 Assembly",AC11,IF(E11="S6 Bring-up",AG11,AK11))))))))</f>
        <v>Completed</v>
      </c>
      <c r="G11" s="29" t="str">
        <f aca="false">IF(E11="All Stages Closed","",IF(E11="S1 Schematic",IF(N11="","Not added",N11),IF(E11="S2 PCB Layout",IF(R11="","Not added",R11),IF(E11="S3 SI &amp; PI",IF(V11="","Not added",V11),IF(E11="S4 Bare-PCB Fab",IF(Z11="","Not added",Z11),IF(E11="S5 Assembly",IF(AD11="","Not added",AD11),IF(E11="S6 Bring-up",IF(AH11="","Not added",AH11),IF(AL11="","Not added",AL11))))))))</f>
        <v/>
      </c>
      <c r="H11" s="28" t="str">
        <f aca="true">IF(OR(F11="Completed",F11="Cancelled"),"",IF(NOT(ISNUMBER(G11)),"Date not added",IF(TODAY()&gt;G11,TODAY()-G11,G11-TODAY()&amp;" days left")))</f>
        <v/>
      </c>
      <c r="I11" s="25" t="n">
        <f aca="false">COUNTIF(M11,"Completed")+COUNTIF(Q11,"Completed")+COUNTIF(U11,"Completed")+COUNTIF(Y11,"Completed")+COUNTIF(AC11,"Completed")+COUNTIF(AG11,"Completed")+COUNTIF(AK11,"Completed")</f>
        <v>5</v>
      </c>
      <c r="J11" s="25" t="n">
        <f aca="false">7-(COUNTIF(M11,"NA")+COUNTIF(Q11,"NA")+COUNTIF(U11,"NA")+COUNTIF(Y11,"NA")+COUNTIF(AC11,"NA")+COUNTIF(AG11,"NA")+COUNTIF(AK11,"NA"))</f>
        <v>5</v>
      </c>
      <c r="K11" s="30" t="n">
        <f aca="false">IFERROR(I11/J11,"")</f>
        <v>1</v>
      </c>
      <c r="L11" s="26" t="s">
        <v>101</v>
      </c>
      <c r="M11" s="25" t="s">
        <v>48</v>
      </c>
      <c r="N11" s="31" t="n">
        <v>46254</v>
      </c>
      <c r="O11" s="31"/>
      <c r="P11" s="26" t="s">
        <v>103</v>
      </c>
      <c r="Q11" s="25" t="s">
        <v>48</v>
      </c>
      <c r="R11" s="31"/>
      <c r="S11" s="31"/>
      <c r="T11" s="26" t="s">
        <v>89</v>
      </c>
      <c r="U11" s="25" t="s">
        <v>48</v>
      </c>
      <c r="V11" s="31"/>
      <c r="W11" s="31"/>
      <c r="X11" s="26" t="s">
        <v>77</v>
      </c>
      <c r="Y11" s="25" t="s">
        <v>48</v>
      </c>
      <c r="Z11" s="31"/>
      <c r="AA11" s="31"/>
      <c r="AB11" s="26" t="s">
        <v>85</v>
      </c>
      <c r="AC11" s="25" t="s">
        <v>48</v>
      </c>
      <c r="AD11" s="31"/>
      <c r="AE11" s="31"/>
      <c r="AF11" s="26"/>
      <c r="AG11" s="25" t="s">
        <v>53</v>
      </c>
      <c r="AH11" s="31"/>
      <c r="AI11" s="31"/>
      <c r="AJ11" s="26"/>
      <c r="AK11" s="25" t="s">
        <v>53</v>
      </c>
      <c r="AL11" s="31"/>
      <c r="AM11" s="31"/>
      <c r="AN11" s="25" t="s">
        <v>74</v>
      </c>
      <c r="AO11" s="26"/>
      <c r="AP11" s="26"/>
      <c r="AQ11" s="32"/>
      <c r="AR11" s="33" t="str">
        <f aca="false">IF(AN11&lt;&gt;"Yes","",IF(AO11="","SELECT RE-ENTRY STAGE","MOVE TO ACTIVE at "&amp;AO11))</f>
        <v/>
      </c>
      <c r="AS11" s="26" t="str">
        <f aca="false">IF(AN11="Yes",COUNTIF($AN$6:AN11,"Yes"),"")</f>
        <v/>
      </c>
      <c r="AT11" s="26"/>
      <c r="AU11" s="34" t="str">
        <f aca="false">IF(OR(F11="Completed",F11="Cancelled"),"",IF(AND(OR(F11="On Hold",ISNUMBER(H11)),AT11=""),"Reason not given",""))</f>
        <v/>
      </c>
      <c r="AV11" s="35" t="s">
        <v>209</v>
      </c>
      <c r="AW11" s="35"/>
    </row>
    <row r="12" customFormat="false" ht="30" hidden="false" customHeight="true" outlineLevel="0" collapsed="false">
      <c r="A12" s="25" t="n">
        <v>7</v>
      </c>
      <c r="B12" s="26" t="s">
        <v>79</v>
      </c>
      <c r="C12" s="27" t="s">
        <v>210</v>
      </c>
      <c r="D12" s="26" t="s">
        <v>72</v>
      </c>
      <c r="E12" s="25" t="str">
        <f aca="false">IF(NOT(OR(M12="Completed",M12="NA",M12="Cancelled")),"S1 Schematic",IF(NOT(OR(Q12="Completed",Q12="NA",Q12="Cancelled")),"S2 PCB Layout",IF(NOT(OR(U12="Completed",U12="NA",U12="Cancelled")),"S3 SI &amp; PI",IF(NOT(OR(Y12="Completed",Y12="NA",Y12="Cancelled")),"S4 Bare-PCB Fab",IF(NOT(OR(AC12="Completed",AC12="NA",AC12="Cancelled")),"S5 Assembly",IF(NOT(OR(AG12="Completed",AG12="NA",AG12="Cancelled")),"S6 Bring-up",IF(NOT(OR(AK12="Completed",AK12="NA",AK12="Cancelled")),"S7 BOM Procurement","All Stages Closed")))))))</f>
        <v>All Stages Closed</v>
      </c>
      <c r="F12" s="28" t="str">
        <f aca="false">IF(COUNTIF(M12,"Cancelled")+COUNTIF(Q12,"Cancelled")+COUNTIF(U12,"Cancelled")+COUNTIF(Y12,"Cancelled")+COUNTIF(AC12,"Cancelled")+COUNTIF(AG12,"Cancelled")+COUNTIF(AK12,"Cancelled")&gt;0,"Cancelled",IF(E12="All Stages Closed","Completed",IF(E12="S1 Schematic",M12,IF(E12="S2 PCB Layout",Q12,IF(E12="S3 SI &amp; PI",U12,IF(E12="S4 Bare-PCB Fab",Y12,IF(E12="S5 Assembly",AC12,IF(E12="S6 Bring-up",AG12,AK12))))))))</f>
        <v>Completed</v>
      </c>
      <c r="G12" s="29" t="str">
        <f aca="false">IF(E12="All Stages Closed","",IF(E12="S1 Schematic",IF(N12="","Not added",N12),IF(E12="S2 PCB Layout",IF(R12="","Not added",R12),IF(E12="S3 SI &amp; PI",IF(V12="","Not added",V12),IF(E12="S4 Bare-PCB Fab",IF(Z12="","Not added",Z12),IF(E12="S5 Assembly",IF(AD12="","Not added",AD12),IF(E12="S6 Bring-up",IF(AH12="","Not added",AH12),IF(AL12="","Not added",AL12))))))))</f>
        <v/>
      </c>
      <c r="H12" s="28" t="str">
        <f aca="true">IF(OR(F12="Completed",F12="Cancelled"),"",IF(NOT(ISNUMBER(G12)),"Date not added",IF(TODAY()&gt;G12,TODAY()-G12,G12-TODAY()&amp;" days left")))</f>
        <v/>
      </c>
      <c r="I12" s="25" t="n">
        <f aca="false">COUNTIF(M12,"Completed")+COUNTIF(Q12,"Completed")+COUNTIF(U12,"Completed")+COUNTIF(Y12,"Completed")+COUNTIF(AC12,"Completed")+COUNTIF(AG12,"Completed")+COUNTIF(AK12,"Completed")</f>
        <v>5</v>
      </c>
      <c r="J12" s="25" t="n">
        <f aca="false">7-(COUNTIF(M12,"NA")+COUNTIF(Q12,"NA")+COUNTIF(U12,"NA")+COUNTIF(Y12,"NA")+COUNTIF(AC12,"NA")+COUNTIF(AG12,"NA")+COUNTIF(AK12,"NA"))</f>
        <v>5</v>
      </c>
      <c r="K12" s="30" t="n">
        <f aca="false">IFERROR(I12/J12,"")</f>
        <v>1</v>
      </c>
      <c r="L12" s="26" t="s">
        <v>101</v>
      </c>
      <c r="M12" s="25" t="s">
        <v>48</v>
      </c>
      <c r="N12" s="31" t="n">
        <v>46254</v>
      </c>
      <c r="O12" s="31"/>
      <c r="P12" s="26" t="s">
        <v>103</v>
      </c>
      <c r="Q12" s="25" t="s">
        <v>48</v>
      </c>
      <c r="R12" s="31"/>
      <c r="S12" s="31"/>
      <c r="T12" s="26" t="s">
        <v>53</v>
      </c>
      <c r="U12" s="25" t="s">
        <v>48</v>
      </c>
      <c r="V12" s="31"/>
      <c r="W12" s="31"/>
      <c r="X12" s="26" t="s">
        <v>77</v>
      </c>
      <c r="Y12" s="25" t="s">
        <v>48</v>
      </c>
      <c r="Z12" s="31"/>
      <c r="AA12" s="31"/>
      <c r="AB12" s="26" t="s">
        <v>85</v>
      </c>
      <c r="AC12" s="25" t="s">
        <v>48</v>
      </c>
      <c r="AD12" s="31"/>
      <c r="AE12" s="31"/>
      <c r="AF12" s="26"/>
      <c r="AG12" s="25" t="s">
        <v>53</v>
      </c>
      <c r="AH12" s="31"/>
      <c r="AI12" s="31"/>
      <c r="AJ12" s="26"/>
      <c r="AK12" s="25" t="s">
        <v>53</v>
      </c>
      <c r="AL12" s="31"/>
      <c r="AM12" s="31"/>
      <c r="AN12" s="25" t="s">
        <v>74</v>
      </c>
      <c r="AO12" s="26"/>
      <c r="AP12" s="26"/>
      <c r="AQ12" s="32"/>
      <c r="AR12" s="33" t="str">
        <f aca="false">IF(AN12&lt;&gt;"Yes","",IF(AO12="","SELECT RE-ENTRY STAGE","MOVE TO ACTIVE at "&amp;AO12))</f>
        <v/>
      </c>
      <c r="AS12" s="26" t="str">
        <f aca="false">IF(AN12="Yes",COUNTIF($AN$6:AN12,"Yes"),"")</f>
        <v/>
      </c>
      <c r="AT12" s="26"/>
      <c r="AU12" s="34" t="str">
        <f aca="false">IF(OR(F12="Completed",F12="Cancelled"),"",IF(AND(OR(F12="On Hold",ISNUMBER(H12)),AT12=""),"Reason not given",""))</f>
        <v/>
      </c>
      <c r="AV12" s="35" t="s">
        <v>209</v>
      </c>
      <c r="AW12" s="35"/>
    </row>
    <row r="13" customFormat="false" ht="30" hidden="false" customHeight="true" outlineLevel="0" collapsed="false">
      <c r="A13" s="25" t="n">
        <v>8</v>
      </c>
      <c r="B13" s="26" t="s">
        <v>79</v>
      </c>
      <c r="C13" s="27" t="s">
        <v>211</v>
      </c>
      <c r="D13" s="26" t="s">
        <v>72</v>
      </c>
      <c r="E13" s="25" t="str">
        <f aca="false">IF(NOT(OR(M13="Completed",M13="NA",M13="Cancelled")),"S1 Schematic",IF(NOT(OR(Q13="Completed",Q13="NA",Q13="Cancelled")),"S2 PCB Layout",IF(NOT(OR(U13="Completed",U13="NA",U13="Cancelled")),"S3 SI &amp; PI",IF(NOT(OR(Y13="Completed",Y13="NA",Y13="Cancelled")),"S4 Bare-PCB Fab",IF(NOT(OR(AC13="Completed",AC13="NA",AC13="Cancelled")),"S5 Assembly",IF(NOT(OR(AG13="Completed",AG13="NA",AG13="Cancelled")),"S6 Bring-up",IF(NOT(OR(AK13="Completed",AK13="NA",AK13="Cancelled")),"S7 BOM Procurement","All Stages Closed")))))))</f>
        <v>All Stages Closed</v>
      </c>
      <c r="F13" s="28" t="str">
        <f aca="false">IF(COUNTIF(M13,"Cancelled")+COUNTIF(Q13,"Cancelled")+COUNTIF(U13,"Cancelled")+COUNTIF(Y13,"Cancelled")+COUNTIF(AC13,"Cancelled")+COUNTIF(AG13,"Cancelled")+COUNTIF(AK13,"Cancelled")&gt;0,"Cancelled",IF(E13="All Stages Closed","Completed",IF(E13="S1 Schematic",M13,IF(E13="S2 PCB Layout",Q13,IF(E13="S3 SI &amp; PI",U13,IF(E13="S4 Bare-PCB Fab",Y13,IF(E13="S5 Assembly",AC13,IF(E13="S6 Bring-up",AG13,AK13))))))))</f>
        <v>Completed</v>
      </c>
      <c r="G13" s="29" t="str">
        <f aca="false">IF(E13="All Stages Closed","",IF(E13="S1 Schematic",IF(N13="","Not added",N13),IF(E13="S2 PCB Layout",IF(R13="","Not added",R13),IF(E13="S3 SI &amp; PI",IF(V13="","Not added",V13),IF(E13="S4 Bare-PCB Fab",IF(Z13="","Not added",Z13),IF(E13="S5 Assembly",IF(AD13="","Not added",AD13),IF(E13="S6 Bring-up",IF(AH13="","Not added",AH13),IF(AL13="","Not added",AL13))))))))</f>
        <v/>
      </c>
      <c r="H13" s="28" t="str">
        <f aca="true">IF(OR(F13="Completed",F13="Cancelled"),"",IF(NOT(ISNUMBER(G13)),"Date not added",IF(TODAY()&gt;G13,TODAY()-G13,G13-TODAY()&amp;" days left")))</f>
        <v/>
      </c>
      <c r="I13" s="25" t="n">
        <f aca="false">COUNTIF(M13,"Completed")+COUNTIF(Q13,"Completed")+COUNTIF(U13,"Completed")+COUNTIF(Y13,"Completed")+COUNTIF(AC13,"Completed")+COUNTIF(AG13,"Completed")+COUNTIF(AK13,"Completed")</f>
        <v>5</v>
      </c>
      <c r="J13" s="25" t="n">
        <f aca="false">7-(COUNTIF(M13,"NA")+COUNTIF(Q13,"NA")+COUNTIF(U13,"NA")+COUNTIF(Y13,"NA")+COUNTIF(AC13,"NA")+COUNTIF(AG13,"NA")+COUNTIF(AK13,"NA"))</f>
        <v>5</v>
      </c>
      <c r="K13" s="30" t="n">
        <f aca="false">IFERROR(I13/J13,"")</f>
        <v>1</v>
      </c>
      <c r="L13" s="26" t="s">
        <v>101</v>
      </c>
      <c r="M13" s="25" t="s">
        <v>48</v>
      </c>
      <c r="N13" s="31" t="n">
        <v>46254</v>
      </c>
      <c r="O13" s="31"/>
      <c r="P13" s="26" t="s">
        <v>103</v>
      </c>
      <c r="Q13" s="25" t="s">
        <v>48</v>
      </c>
      <c r="R13" s="31"/>
      <c r="S13" s="31"/>
      <c r="T13" s="26" t="s">
        <v>53</v>
      </c>
      <c r="U13" s="25" t="s">
        <v>48</v>
      </c>
      <c r="V13" s="31"/>
      <c r="W13" s="31"/>
      <c r="X13" s="26" t="s">
        <v>77</v>
      </c>
      <c r="Y13" s="25" t="s">
        <v>48</v>
      </c>
      <c r="Z13" s="31"/>
      <c r="AA13" s="31"/>
      <c r="AB13" s="26" t="s">
        <v>85</v>
      </c>
      <c r="AC13" s="25" t="s">
        <v>48</v>
      </c>
      <c r="AD13" s="31"/>
      <c r="AE13" s="31"/>
      <c r="AF13" s="26"/>
      <c r="AG13" s="25" t="s">
        <v>53</v>
      </c>
      <c r="AH13" s="31"/>
      <c r="AI13" s="31"/>
      <c r="AJ13" s="26"/>
      <c r="AK13" s="25" t="s">
        <v>53</v>
      </c>
      <c r="AL13" s="31"/>
      <c r="AM13" s="31"/>
      <c r="AN13" s="25" t="s">
        <v>74</v>
      </c>
      <c r="AO13" s="26"/>
      <c r="AP13" s="26"/>
      <c r="AQ13" s="32"/>
      <c r="AR13" s="33" t="str">
        <f aca="false">IF(AN13&lt;&gt;"Yes","",IF(AO13="","SELECT RE-ENTRY STAGE","MOVE TO ACTIVE at "&amp;AO13))</f>
        <v/>
      </c>
      <c r="AS13" s="26" t="str">
        <f aca="false">IF(AN13="Yes",COUNTIF($AN$6:AN13,"Yes"),"")</f>
        <v/>
      </c>
      <c r="AT13" s="26"/>
      <c r="AU13" s="34" t="str">
        <f aca="false">IF(OR(F13="Completed",F13="Cancelled"),"",IF(AND(OR(F13="On Hold",ISNUMBER(H13)),AT13=""),"Reason not given",""))</f>
        <v/>
      </c>
      <c r="AV13" s="35"/>
      <c r="AW13" s="35"/>
    </row>
    <row r="14" customFormat="false" ht="30" hidden="false" customHeight="true" outlineLevel="0" collapsed="false">
      <c r="A14" s="36" t="n">
        <v>9</v>
      </c>
      <c r="B14" s="37" t="s">
        <v>83</v>
      </c>
      <c r="C14" s="38" t="s">
        <v>212</v>
      </c>
      <c r="D14" s="37" t="s">
        <v>162</v>
      </c>
      <c r="E14" s="36" t="str">
        <f aca="false">IF(NOT(OR(M14="Completed",M14="NA",M14="Cancelled")),"S1 Schematic",IF(NOT(OR(Q14="Completed",Q14="NA",Q14="Cancelled")),"S2 PCB Layout",IF(NOT(OR(U14="Completed",U14="NA",U14="Cancelled")),"S3 SI &amp; PI",IF(NOT(OR(Y14="Completed",Y14="NA",Y14="Cancelled")),"S4 Bare-PCB Fab",IF(NOT(OR(AC14="Completed",AC14="NA",AC14="Cancelled")),"S5 Assembly",IF(NOT(OR(AG14="Completed",AG14="NA",AG14="Cancelled")),"S6 Bring-up",IF(NOT(OR(AK14="Completed",AK14="NA",AK14="Cancelled")),"S7 BOM Procurement","All Stages Closed")))))))</f>
        <v>All Stages Closed</v>
      </c>
      <c r="F14" s="39" t="str">
        <f aca="false">IF(COUNTIF(M14,"Cancelled")+COUNTIF(Q14,"Cancelled")+COUNTIF(U14,"Cancelled")+COUNTIF(Y14,"Cancelled")+COUNTIF(AC14,"Cancelled")+COUNTIF(AG14,"Cancelled")+COUNTIF(AK14,"Cancelled")&gt;0,"Cancelled",IF(E14="All Stages Closed","Completed",IF(E14="S1 Schematic",M14,IF(E14="S2 PCB Layout",Q14,IF(E14="S3 SI &amp; PI",U14,IF(E14="S4 Bare-PCB Fab",Y14,IF(E14="S5 Assembly",AC14,IF(E14="S6 Bring-up",AG14,AK14))))))))</f>
        <v>Completed</v>
      </c>
      <c r="G14" s="40" t="str">
        <f aca="false">IF(E14="All Stages Closed","",IF(E14="S1 Schematic",IF(N14="","Not added",N14),IF(E14="S2 PCB Layout",IF(R14="","Not added",R14),IF(E14="S3 SI &amp; PI",IF(V14="","Not added",V14),IF(E14="S4 Bare-PCB Fab",IF(Z14="","Not added",Z14),IF(E14="S5 Assembly",IF(AD14="","Not added",AD14),IF(E14="S6 Bring-up",IF(AH14="","Not added",AH14),IF(AL14="","Not added",AL14))))))))</f>
        <v/>
      </c>
      <c r="H14" s="39" t="str">
        <f aca="true">IF(OR(F14="Completed",F14="Cancelled"),"",IF(NOT(ISNUMBER(G14)),"Date not added",IF(TODAY()&gt;G14,TODAY()-G14,G14-TODAY()&amp;" days left")))</f>
        <v/>
      </c>
      <c r="I14" s="36" t="n">
        <f aca="false">COUNTIF(M14,"Completed")+COUNTIF(Q14,"Completed")+COUNTIF(U14,"Completed")+COUNTIF(Y14,"Completed")+COUNTIF(AC14,"Completed")+COUNTIF(AG14,"Completed")+COUNTIF(AK14,"Completed")</f>
        <v>1</v>
      </c>
      <c r="J14" s="36" t="n">
        <f aca="false">7-(COUNTIF(M14,"NA")+COUNTIF(Q14,"NA")+COUNTIF(U14,"NA")+COUNTIF(Y14,"NA")+COUNTIF(AC14,"NA")+COUNTIF(AG14,"NA")+COUNTIF(AK14,"NA"))</f>
        <v>1</v>
      </c>
      <c r="K14" s="41" t="n">
        <f aca="false">IFERROR(I14/J14,"")</f>
        <v>1</v>
      </c>
      <c r="L14" s="37"/>
      <c r="M14" s="36" t="s">
        <v>53</v>
      </c>
      <c r="N14" s="42"/>
      <c r="O14" s="42"/>
      <c r="P14" s="37" t="s">
        <v>89</v>
      </c>
      <c r="Q14" s="36" t="s">
        <v>48</v>
      </c>
      <c r="R14" s="42" t="n">
        <v>46254</v>
      </c>
      <c r="S14" s="42"/>
      <c r="T14" s="37"/>
      <c r="U14" s="36" t="s">
        <v>53</v>
      </c>
      <c r="V14" s="42"/>
      <c r="W14" s="42"/>
      <c r="X14" s="37"/>
      <c r="Y14" s="36" t="s">
        <v>53</v>
      </c>
      <c r="Z14" s="42"/>
      <c r="AA14" s="42"/>
      <c r="AB14" s="37"/>
      <c r="AC14" s="36" t="s">
        <v>53</v>
      </c>
      <c r="AD14" s="42"/>
      <c r="AE14" s="42"/>
      <c r="AF14" s="37"/>
      <c r="AG14" s="36" t="s">
        <v>53</v>
      </c>
      <c r="AH14" s="42"/>
      <c r="AI14" s="42"/>
      <c r="AJ14" s="37"/>
      <c r="AK14" s="36" t="s">
        <v>53</v>
      </c>
      <c r="AL14" s="42"/>
      <c r="AM14" s="42"/>
      <c r="AN14" s="36" t="s">
        <v>74</v>
      </c>
      <c r="AO14" s="37"/>
      <c r="AP14" s="37"/>
      <c r="AQ14" s="43"/>
      <c r="AR14" s="44" t="str">
        <f aca="false">IF(AN14&lt;&gt;"Yes","",IF(AO14="","SELECT RE-ENTRY STAGE","MOVE TO ACTIVE at "&amp;AO14))</f>
        <v/>
      </c>
      <c r="AS14" s="37" t="str">
        <f aca="false">IF(AN14="Yes",COUNTIF($AN$6:AN14,"Yes"),"")</f>
        <v/>
      </c>
      <c r="AT14" s="37"/>
      <c r="AU14" s="45" t="str">
        <f aca="false">IF(OR(F14="Completed",F14="Cancelled"),"",IF(AND(OR(F14="On Hold",ISNUMBER(H14)),AT14=""),"Reason not given",""))</f>
        <v/>
      </c>
      <c r="AV14" s="46" t="s">
        <v>85</v>
      </c>
      <c r="AW14" s="46" t="s">
        <v>48</v>
      </c>
    </row>
    <row r="15" customFormat="false" ht="30" hidden="false" customHeight="true" outlineLevel="0" collapsed="false">
      <c r="A15" s="36" t="n">
        <v>10</v>
      </c>
      <c r="B15" s="37" t="s">
        <v>83</v>
      </c>
      <c r="C15" s="38" t="s">
        <v>213</v>
      </c>
      <c r="D15" s="37" t="s">
        <v>214</v>
      </c>
      <c r="E15" s="36" t="str">
        <f aca="false">IF(NOT(OR(M15="Completed",M15="NA",M15="Cancelled")),"S1 Schematic",IF(NOT(OR(Q15="Completed",Q15="NA",Q15="Cancelled")),"S2 PCB Layout",IF(NOT(OR(U15="Completed",U15="NA",U15="Cancelled")),"S3 SI &amp; PI",IF(NOT(OR(Y15="Completed",Y15="NA",Y15="Cancelled")),"S4 Bare-PCB Fab",IF(NOT(OR(AC15="Completed",AC15="NA",AC15="Cancelled")),"S5 Assembly",IF(NOT(OR(AG15="Completed",AG15="NA",AG15="Cancelled")),"S6 Bring-up",IF(NOT(OR(AK15="Completed",AK15="NA",AK15="Cancelled")),"S7 BOM Procurement","All Stages Closed")))))))</f>
        <v>All Stages Closed</v>
      </c>
      <c r="F15" s="39" t="str">
        <f aca="false">IF(COUNTIF(M15,"Cancelled")+COUNTIF(Q15,"Cancelled")+COUNTIF(U15,"Cancelled")+COUNTIF(Y15,"Cancelled")+COUNTIF(AC15,"Cancelled")+COUNTIF(AG15,"Cancelled")+COUNTIF(AK15,"Cancelled")&gt;0,"Cancelled",IF(E15="All Stages Closed","Completed",IF(E15="S1 Schematic",M15,IF(E15="S2 PCB Layout",Q15,IF(E15="S3 SI &amp; PI",U15,IF(E15="S4 Bare-PCB Fab",Y15,IF(E15="S5 Assembly",AC15,IF(E15="S6 Bring-up",AG15,AK15))))))))</f>
        <v>Completed</v>
      </c>
      <c r="G15" s="40" t="str">
        <f aca="false">IF(E15="All Stages Closed","",IF(E15="S1 Schematic",IF(N15="","Not added",N15),IF(E15="S2 PCB Layout",IF(R15="","Not added",R15),IF(E15="S3 SI &amp; PI",IF(V15="","Not added",V15),IF(E15="S4 Bare-PCB Fab",IF(Z15="","Not added",Z15),IF(E15="S5 Assembly",IF(AD15="","Not added",AD15),IF(E15="S6 Bring-up",IF(AH15="","Not added",AH15),IF(AL15="","Not added",AL15))))))))</f>
        <v/>
      </c>
      <c r="H15" s="39" t="str">
        <f aca="true">IF(OR(F15="Completed",F15="Cancelled"),"",IF(NOT(ISNUMBER(G15)),"Date not added",IF(TODAY()&gt;G15,TODAY()-G15,G15-TODAY()&amp;" days left")))</f>
        <v/>
      </c>
      <c r="I15" s="36" t="n">
        <f aca="false">COUNTIF(M15,"Completed")+COUNTIF(Q15,"Completed")+COUNTIF(U15,"Completed")+COUNTIF(Y15,"Completed")+COUNTIF(AC15,"Completed")+COUNTIF(AG15,"Completed")+COUNTIF(AK15,"Completed")</f>
        <v>1</v>
      </c>
      <c r="J15" s="36" t="n">
        <f aca="false">7-(COUNTIF(M15,"NA")+COUNTIF(Q15,"NA")+COUNTIF(U15,"NA")+COUNTIF(Y15,"NA")+COUNTIF(AC15,"NA")+COUNTIF(AG15,"NA")+COUNTIF(AK15,"NA"))</f>
        <v>1</v>
      </c>
      <c r="K15" s="41" t="n">
        <f aca="false">IFERROR(I15/J15,"")</f>
        <v>1</v>
      </c>
      <c r="L15" s="37"/>
      <c r="M15" s="36" t="s">
        <v>53</v>
      </c>
      <c r="N15" s="42"/>
      <c r="O15" s="42"/>
      <c r="P15" s="37" t="s">
        <v>108</v>
      </c>
      <c r="Q15" s="36" t="s">
        <v>48</v>
      </c>
      <c r="R15" s="42" t="n">
        <v>46241</v>
      </c>
      <c r="S15" s="42"/>
      <c r="T15" s="37"/>
      <c r="U15" s="36" t="s">
        <v>53</v>
      </c>
      <c r="V15" s="42"/>
      <c r="W15" s="42"/>
      <c r="X15" s="37"/>
      <c r="Y15" s="36" t="s">
        <v>53</v>
      </c>
      <c r="Z15" s="42"/>
      <c r="AA15" s="42"/>
      <c r="AB15" s="37"/>
      <c r="AC15" s="36" t="s">
        <v>53</v>
      </c>
      <c r="AD15" s="42"/>
      <c r="AE15" s="42"/>
      <c r="AF15" s="37"/>
      <c r="AG15" s="36" t="s">
        <v>53</v>
      </c>
      <c r="AH15" s="42"/>
      <c r="AI15" s="42"/>
      <c r="AJ15" s="37"/>
      <c r="AK15" s="36" t="s">
        <v>53</v>
      </c>
      <c r="AL15" s="42"/>
      <c r="AM15" s="42"/>
      <c r="AN15" s="36" t="s">
        <v>74</v>
      </c>
      <c r="AO15" s="37"/>
      <c r="AP15" s="37"/>
      <c r="AQ15" s="43"/>
      <c r="AR15" s="44" t="str">
        <f aca="false">IF(AN15&lt;&gt;"Yes","",IF(AO15="","SELECT RE-ENTRY STAGE","MOVE TO ACTIVE at "&amp;AO15))</f>
        <v/>
      </c>
      <c r="AS15" s="37" t="str">
        <f aca="false">IF(AN15="Yes",COUNTIF($AN$6:AN15,"Yes"),"")</f>
        <v/>
      </c>
      <c r="AT15" s="37"/>
      <c r="AU15" s="45" t="str">
        <f aca="false">IF(OR(F15="Completed",F15="Cancelled"),"",IF(AND(OR(F15="On Hold",ISNUMBER(H15)),AT15=""),"Reason not given",""))</f>
        <v/>
      </c>
      <c r="AV15" s="46" t="s">
        <v>215</v>
      </c>
      <c r="AW15" s="46"/>
    </row>
    <row r="16" customFormat="false" ht="30" hidden="false" customHeight="true" outlineLevel="0" collapsed="false">
      <c r="A16" s="25" t="n">
        <v>11</v>
      </c>
      <c r="B16" s="26" t="s">
        <v>87</v>
      </c>
      <c r="C16" s="27" t="s">
        <v>216</v>
      </c>
      <c r="D16" s="26" t="s">
        <v>162</v>
      </c>
      <c r="E16" s="25" t="str">
        <f aca="false">IF(NOT(OR(M16="Completed",M16="NA",M16="Cancelled")),"S1 Schematic",IF(NOT(OR(Q16="Completed",Q16="NA",Q16="Cancelled")),"S2 PCB Layout",IF(NOT(OR(U16="Completed",U16="NA",U16="Cancelled")),"S3 SI &amp; PI",IF(NOT(OR(Y16="Completed",Y16="NA",Y16="Cancelled")),"S4 Bare-PCB Fab",IF(NOT(OR(AC16="Completed",AC16="NA",AC16="Cancelled")),"S5 Assembly",IF(NOT(OR(AG16="Completed",AG16="NA",AG16="Cancelled")),"S6 Bring-up",IF(NOT(OR(AK16="Completed",AK16="NA",AK16="Cancelled")),"S7 BOM Procurement","All Stages Closed")))))))</f>
        <v>All Stages Closed</v>
      </c>
      <c r="F16" s="28" t="str">
        <f aca="false">IF(COUNTIF(M16,"Cancelled")+COUNTIF(Q16,"Cancelled")+COUNTIF(U16,"Cancelled")+COUNTIF(Y16,"Cancelled")+COUNTIF(AC16,"Cancelled")+COUNTIF(AG16,"Cancelled")+COUNTIF(AK16,"Cancelled")&gt;0,"Cancelled",IF(E16="All Stages Closed","Completed",IF(E16="S1 Schematic",M16,IF(E16="S2 PCB Layout",Q16,IF(E16="S3 SI &amp; PI",U16,IF(E16="S4 Bare-PCB Fab",Y16,IF(E16="S5 Assembly",AC16,IF(E16="S6 Bring-up",AG16,AK16))))))))</f>
        <v>Completed</v>
      </c>
      <c r="G16" s="29" t="str">
        <f aca="false">IF(E16="All Stages Closed","",IF(E16="S1 Schematic",IF(N16="","Not added",N16),IF(E16="S2 PCB Layout",IF(R16="","Not added",R16),IF(E16="S3 SI &amp; PI",IF(V16="","Not added",V16),IF(E16="S4 Bare-PCB Fab",IF(Z16="","Not added",Z16),IF(E16="S5 Assembly",IF(AD16="","Not added",AD16),IF(E16="S6 Bring-up",IF(AH16="","Not added",AH16),IF(AL16="","Not added",AL16))))))))</f>
        <v/>
      </c>
      <c r="H16" s="28" t="str">
        <f aca="true">IF(OR(F16="Completed",F16="Cancelled"),"",IF(NOT(ISNUMBER(G16)),"Date not added",IF(TODAY()&gt;G16,TODAY()-G16,G16-TODAY()&amp;" days left")))</f>
        <v/>
      </c>
      <c r="I16" s="25" t="n">
        <f aca="false">COUNTIF(M16,"Completed")+COUNTIF(Q16,"Completed")+COUNTIF(U16,"Completed")+COUNTIF(Y16,"Completed")+COUNTIF(AC16,"Completed")+COUNTIF(AG16,"Completed")+COUNTIF(AK16,"Completed")</f>
        <v>5</v>
      </c>
      <c r="J16" s="25" t="n">
        <f aca="false">7-(COUNTIF(M16,"NA")+COUNTIF(Q16,"NA")+COUNTIF(U16,"NA")+COUNTIF(Y16,"NA")+COUNTIF(AC16,"NA")+COUNTIF(AG16,"NA")+COUNTIF(AK16,"NA"))</f>
        <v>5</v>
      </c>
      <c r="K16" s="30" t="n">
        <f aca="false">IFERROR(I16/J16,"")</f>
        <v>1</v>
      </c>
      <c r="L16" s="26" t="s">
        <v>105</v>
      </c>
      <c r="M16" s="25" t="s">
        <v>48</v>
      </c>
      <c r="N16" s="31" t="n">
        <v>46198</v>
      </c>
      <c r="O16" s="31"/>
      <c r="P16" s="26" t="s">
        <v>77</v>
      </c>
      <c r="Q16" s="25" t="s">
        <v>48</v>
      </c>
      <c r="R16" s="31" t="n">
        <v>46208</v>
      </c>
      <c r="S16" s="31"/>
      <c r="T16" s="26" t="s">
        <v>89</v>
      </c>
      <c r="U16" s="25" t="s">
        <v>48</v>
      </c>
      <c r="V16" s="31" t="n">
        <v>46209</v>
      </c>
      <c r="W16" s="31"/>
      <c r="X16" s="26" t="s">
        <v>111</v>
      </c>
      <c r="Y16" s="25" t="s">
        <v>48</v>
      </c>
      <c r="Z16" s="31" t="n">
        <v>46218</v>
      </c>
      <c r="AA16" s="31"/>
      <c r="AB16" s="26"/>
      <c r="AC16" s="25" t="s">
        <v>48</v>
      </c>
      <c r="AD16" s="31"/>
      <c r="AE16" s="31"/>
      <c r="AF16" s="26"/>
      <c r="AG16" s="25" t="s">
        <v>53</v>
      </c>
      <c r="AH16" s="31"/>
      <c r="AI16" s="31"/>
      <c r="AJ16" s="26"/>
      <c r="AK16" s="25" t="s">
        <v>53</v>
      </c>
      <c r="AL16" s="31"/>
      <c r="AM16" s="31"/>
      <c r="AN16" s="25" t="s">
        <v>74</v>
      </c>
      <c r="AO16" s="26"/>
      <c r="AP16" s="26"/>
      <c r="AQ16" s="32"/>
      <c r="AR16" s="33" t="str">
        <f aca="false">IF(AN16&lt;&gt;"Yes","",IF(AO16="","SELECT RE-ENTRY STAGE","MOVE TO ACTIVE at "&amp;AO16))</f>
        <v/>
      </c>
      <c r="AS16" s="26" t="str">
        <f aca="false">IF(AN16="Yes",COUNTIF($AN$6:AN16,"Yes"),"")</f>
        <v/>
      </c>
      <c r="AT16" s="26"/>
      <c r="AU16" s="34" t="str">
        <f aca="false">IF(OR(F16="Completed",F16="Cancelled"),"",IF(AND(OR(F16="On Hold",ISNUMBER(H16)),AT16=""),"Reason not given",""))</f>
        <v/>
      </c>
      <c r="AV16" s="35" t="s">
        <v>217</v>
      </c>
      <c r="AW16" s="35"/>
    </row>
    <row r="17" customFormat="false" ht="30" hidden="false" customHeight="true" outlineLevel="0" collapsed="false">
      <c r="A17" s="25" t="n">
        <v>12</v>
      </c>
      <c r="B17" s="26" t="s">
        <v>87</v>
      </c>
      <c r="C17" s="27" t="s">
        <v>218</v>
      </c>
      <c r="D17" s="26" t="s">
        <v>219</v>
      </c>
      <c r="E17" s="25" t="str">
        <f aca="false">IF(NOT(OR(M17="Completed",M17="NA",M17="Cancelled")),"S1 Schematic",IF(NOT(OR(Q17="Completed",Q17="NA",Q17="Cancelled")),"S2 PCB Layout",IF(NOT(OR(U17="Completed",U17="NA",U17="Cancelled")),"S3 SI &amp; PI",IF(NOT(OR(Y17="Completed",Y17="NA",Y17="Cancelled")),"S4 Bare-PCB Fab",IF(NOT(OR(AC17="Completed",AC17="NA",AC17="Cancelled")),"S5 Assembly",IF(NOT(OR(AG17="Completed",AG17="NA",AG17="Cancelled")),"S6 Bring-up",IF(NOT(OR(AK17="Completed",AK17="NA",AK17="Cancelled")),"S7 BOM Procurement","All Stages Closed")))))))</f>
        <v>All Stages Closed</v>
      </c>
      <c r="F17" s="28" t="str">
        <f aca="false">IF(COUNTIF(M17,"Cancelled")+COUNTIF(Q17,"Cancelled")+COUNTIF(U17,"Cancelled")+COUNTIF(Y17,"Cancelled")+COUNTIF(AC17,"Cancelled")+COUNTIF(AG17,"Cancelled")+COUNTIF(AK17,"Cancelled")&gt;0,"Cancelled",IF(E17="All Stages Closed","Completed",IF(E17="S1 Schematic",M17,IF(E17="S2 PCB Layout",Q17,IF(E17="S3 SI &amp; PI",U17,IF(E17="S4 Bare-PCB Fab",Y17,IF(E17="S5 Assembly",AC17,IF(E17="S6 Bring-up",AG17,AK17))))))))</f>
        <v>Completed</v>
      </c>
      <c r="G17" s="29" t="str">
        <f aca="false">IF(E17="All Stages Closed","",IF(E17="S1 Schematic",IF(N17="","Not added",N17),IF(E17="S2 PCB Layout",IF(R17="","Not added",R17),IF(E17="S3 SI &amp; PI",IF(V17="","Not added",V17),IF(E17="S4 Bare-PCB Fab",IF(Z17="","Not added",Z17),IF(E17="S5 Assembly",IF(AD17="","Not added",AD17),IF(E17="S6 Bring-up",IF(AH17="","Not added",AH17),IF(AL17="","Not added",AL17))))))))</f>
        <v/>
      </c>
      <c r="H17" s="28" t="str">
        <f aca="true">IF(OR(F17="Completed",F17="Cancelled"),"",IF(NOT(ISNUMBER(G17)),"Date not added",IF(TODAY()&gt;G17,TODAY()-G17,G17-TODAY()&amp;" days left")))</f>
        <v/>
      </c>
      <c r="I17" s="25" t="n">
        <f aca="false">COUNTIF(M17,"Completed")+COUNTIF(Q17,"Completed")+COUNTIF(U17,"Completed")+COUNTIF(Y17,"Completed")+COUNTIF(AC17,"Completed")+COUNTIF(AG17,"Completed")+COUNTIF(AK17,"Completed")</f>
        <v>5</v>
      </c>
      <c r="J17" s="25" t="n">
        <f aca="false">7-(COUNTIF(M17,"NA")+COUNTIF(Q17,"NA")+COUNTIF(U17,"NA")+COUNTIF(Y17,"NA")+COUNTIF(AC17,"NA")+COUNTIF(AG17,"NA")+COUNTIF(AK17,"NA"))</f>
        <v>5</v>
      </c>
      <c r="K17" s="30" t="n">
        <f aca="false">IFERROR(I17/J17,"")</f>
        <v>1</v>
      </c>
      <c r="L17" s="26" t="s">
        <v>105</v>
      </c>
      <c r="M17" s="25" t="s">
        <v>48</v>
      </c>
      <c r="N17" s="31"/>
      <c r="O17" s="31"/>
      <c r="P17" s="26" t="s">
        <v>72</v>
      </c>
      <c r="Q17" s="25" t="s">
        <v>48</v>
      </c>
      <c r="R17" s="31" t="n">
        <v>46209</v>
      </c>
      <c r="S17" s="31"/>
      <c r="T17" s="26" t="s">
        <v>89</v>
      </c>
      <c r="U17" s="25" t="s">
        <v>48</v>
      </c>
      <c r="V17" s="31"/>
      <c r="W17" s="31"/>
      <c r="X17" s="26" t="s">
        <v>77</v>
      </c>
      <c r="Y17" s="25" t="s">
        <v>48</v>
      </c>
      <c r="Z17" s="31"/>
      <c r="AA17" s="31"/>
      <c r="AB17" s="26" t="s">
        <v>85</v>
      </c>
      <c r="AC17" s="25" t="s">
        <v>48</v>
      </c>
      <c r="AD17" s="31"/>
      <c r="AE17" s="31"/>
      <c r="AF17" s="26"/>
      <c r="AG17" s="25" t="s">
        <v>53</v>
      </c>
      <c r="AH17" s="31"/>
      <c r="AI17" s="31"/>
      <c r="AJ17" s="26"/>
      <c r="AK17" s="25" t="s">
        <v>53</v>
      </c>
      <c r="AL17" s="31"/>
      <c r="AM17" s="31"/>
      <c r="AN17" s="25" t="s">
        <v>74</v>
      </c>
      <c r="AO17" s="26"/>
      <c r="AP17" s="26"/>
      <c r="AQ17" s="32"/>
      <c r="AR17" s="33" t="str">
        <f aca="false">IF(AN17&lt;&gt;"Yes","",IF(AO17="","SELECT RE-ENTRY STAGE","MOVE TO ACTIVE at "&amp;AO17))</f>
        <v/>
      </c>
      <c r="AS17" s="26" t="str">
        <f aca="false">IF(AN17="Yes",COUNTIF($AN$6:AN17,"Yes"),"")</f>
        <v/>
      </c>
      <c r="AT17" s="26"/>
      <c r="AU17" s="34" t="str">
        <f aca="false">IF(OR(F17="Completed",F17="Cancelled"),"",IF(AND(OR(F17="On Hold",ISNUMBER(H17)),AT17=""),"Reason not given",""))</f>
        <v/>
      </c>
      <c r="AV17" s="35" t="s">
        <v>220</v>
      </c>
      <c r="AW17" s="35" t="s">
        <v>221</v>
      </c>
    </row>
    <row r="18" customFormat="false" ht="30" hidden="false" customHeight="true" outlineLevel="0" collapsed="false">
      <c r="A18" s="25" t="n">
        <v>13</v>
      </c>
      <c r="B18" s="26" t="s">
        <v>87</v>
      </c>
      <c r="C18" s="27" t="s">
        <v>222</v>
      </c>
      <c r="D18" s="26" t="s">
        <v>162</v>
      </c>
      <c r="E18" s="25" t="str">
        <f aca="false">IF(NOT(OR(M18="Completed",M18="NA",M18="Cancelled")),"S1 Schematic",IF(NOT(OR(Q18="Completed",Q18="NA",Q18="Cancelled")),"S2 PCB Layout",IF(NOT(OR(U18="Completed",U18="NA",U18="Cancelled")),"S3 SI &amp; PI",IF(NOT(OR(Y18="Completed",Y18="NA",Y18="Cancelled")),"S4 Bare-PCB Fab",IF(NOT(OR(AC18="Completed",AC18="NA",AC18="Cancelled")),"S5 Assembly",IF(NOT(OR(AG18="Completed",AG18="NA",AG18="Cancelled")),"S6 Bring-up",IF(NOT(OR(AK18="Completed",AK18="NA",AK18="Cancelled")),"S7 BOM Procurement","All Stages Closed")))))))</f>
        <v>All Stages Closed</v>
      </c>
      <c r="F18" s="28" t="str">
        <f aca="false">IF(COUNTIF(M18,"Cancelled")+COUNTIF(Q18,"Cancelled")+COUNTIF(U18,"Cancelled")+COUNTIF(Y18,"Cancelled")+COUNTIF(AC18,"Cancelled")+COUNTIF(AG18,"Cancelled")+COUNTIF(AK18,"Cancelled")&gt;0,"Cancelled",IF(E18="All Stages Closed","Completed",IF(E18="S1 Schematic",M18,IF(E18="S2 PCB Layout",Q18,IF(E18="S3 SI &amp; PI",U18,IF(E18="S4 Bare-PCB Fab",Y18,IF(E18="S5 Assembly",AC18,IF(E18="S6 Bring-up",AG18,AK18))))))))</f>
        <v>Completed</v>
      </c>
      <c r="G18" s="29" t="str">
        <f aca="false">IF(E18="All Stages Closed","",IF(E18="S1 Schematic",IF(N18="","Not added",N18),IF(E18="S2 PCB Layout",IF(R18="","Not added",R18),IF(E18="S3 SI &amp; PI",IF(V18="","Not added",V18),IF(E18="S4 Bare-PCB Fab",IF(Z18="","Not added",Z18),IF(E18="S5 Assembly",IF(AD18="","Not added",AD18),IF(E18="S6 Bring-up",IF(AH18="","Not added",AH18),IF(AL18="","Not added",AL18))))))))</f>
        <v/>
      </c>
      <c r="H18" s="28" t="str">
        <f aca="true">IF(OR(F18="Completed",F18="Cancelled"),"",IF(NOT(ISNUMBER(G18)),"Date not added",IF(TODAY()&gt;G18,TODAY()-G18,G18-TODAY()&amp;" days left")))</f>
        <v/>
      </c>
      <c r="I18" s="25" t="n">
        <f aca="false">COUNTIF(M18,"Completed")+COUNTIF(Q18,"Completed")+COUNTIF(U18,"Completed")+COUNTIF(Y18,"Completed")+COUNTIF(AC18,"Completed")+COUNTIF(AG18,"Completed")+COUNTIF(AK18,"Completed")</f>
        <v>5</v>
      </c>
      <c r="J18" s="25" t="n">
        <f aca="false">7-(COUNTIF(M18,"NA")+COUNTIF(Q18,"NA")+COUNTIF(U18,"NA")+COUNTIF(Y18,"NA")+COUNTIF(AC18,"NA")+COUNTIF(AG18,"NA")+COUNTIF(AK18,"NA"))</f>
        <v>5</v>
      </c>
      <c r="K18" s="30" t="n">
        <f aca="false">IFERROR(I18/J18,"")</f>
        <v>1</v>
      </c>
      <c r="L18" s="26" t="s">
        <v>105</v>
      </c>
      <c r="M18" s="25" t="s">
        <v>48</v>
      </c>
      <c r="N18" s="31"/>
      <c r="O18" s="31"/>
      <c r="P18" s="26" t="s">
        <v>72</v>
      </c>
      <c r="Q18" s="25" t="s">
        <v>48</v>
      </c>
      <c r="R18" s="31"/>
      <c r="S18" s="31"/>
      <c r="T18" s="26" t="s">
        <v>89</v>
      </c>
      <c r="U18" s="25" t="s">
        <v>48</v>
      </c>
      <c r="V18" s="31"/>
      <c r="W18" s="31"/>
      <c r="X18" s="26" t="s">
        <v>77</v>
      </c>
      <c r="Y18" s="25" t="s">
        <v>48</v>
      </c>
      <c r="Z18" s="31"/>
      <c r="AA18" s="31"/>
      <c r="AB18" s="26" t="s">
        <v>85</v>
      </c>
      <c r="AC18" s="25" t="s">
        <v>48</v>
      </c>
      <c r="AD18" s="31"/>
      <c r="AE18" s="31"/>
      <c r="AF18" s="26"/>
      <c r="AG18" s="25" t="s">
        <v>53</v>
      </c>
      <c r="AH18" s="31"/>
      <c r="AI18" s="31"/>
      <c r="AJ18" s="26"/>
      <c r="AK18" s="25" t="s">
        <v>53</v>
      </c>
      <c r="AL18" s="31"/>
      <c r="AM18" s="31"/>
      <c r="AN18" s="25" t="s">
        <v>74</v>
      </c>
      <c r="AO18" s="26"/>
      <c r="AP18" s="26"/>
      <c r="AQ18" s="32"/>
      <c r="AR18" s="33" t="str">
        <f aca="false">IF(AN18&lt;&gt;"Yes","",IF(AO18="","SELECT RE-ENTRY STAGE","MOVE TO ACTIVE at "&amp;AO18))</f>
        <v/>
      </c>
      <c r="AS18" s="26" t="str">
        <f aca="false">IF(AN18="Yes",COUNTIF($AN$6:AN18,"Yes"),"")</f>
        <v/>
      </c>
      <c r="AT18" s="26"/>
      <c r="AU18" s="34" t="str">
        <f aca="false">IF(OR(F18="Completed",F18="Cancelled"),"",IF(AND(OR(F18="On Hold",ISNUMBER(H18)),AT18=""),"Reason not given",""))</f>
        <v/>
      </c>
      <c r="AV18" s="35" t="s">
        <v>223</v>
      </c>
      <c r="AW18" s="35" t="s">
        <v>224</v>
      </c>
    </row>
    <row r="19" customFormat="false" ht="30" hidden="false" customHeight="true" outlineLevel="0" collapsed="false">
      <c r="A19" s="25" t="n">
        <v>14</v>
      </c>
      <c r="B19" s="26" t="s">
        <v>87</v>
      </c>
      <c r="C19" s="27" t="s">
        <v>225</v>
      </c>
      <c r="D19" s="26" t="s">
        <v>162</v>
      </c>
      <c r="E19" s="25" t="str">
        <f aca="false">IF(NOT(OR(M19="Completed",M19="NA",M19="Cancelled")),"S1 Schematic",IF(NOT(OR(Q19="Completed",Q19="NA",Q19="Cancelled")),"S2 PCB Layout",IF(NOT(OR(U19="Completed",U19="NA",U19="Cancelled")),"S3 SI &amp; PI",IF(NOT(OR(Y19="Completed",Y19="NA",Y19="Cancelled")),"S4 Bare-PCB Fab",IF(NOT(OR(AC19="Completed",AC19="NA",AC19="Cancelled")),"S5 Assembly",IF(NOT(OR(AG19="Completed",AG19="NA",AG19="Cancelled")),"S6 Bring-up",IF(NOT(OR(AK19="Completed",AK19="NA",AK19="Cancelled")),"S7 BOM Procurement","All Stages Closed")))))))</f>
        <v>All Stages Closed</v>
      </c>
      <c r="F19" s="28" t="str">
        <f aca="false">IF(COUNTIF(M19,"Cancelled")+COUNTIF(Q19,"Cancelled")+COUNTIF(U19,"Cancelled")+COUNTIF(Y19,"Cancelled")+COUNTIF(AC19,"Cancelled")+COUNTIF(AG19,"Cancelled")+COUNTIF(AK19,"Cancelled")&gt;0,"Cancelled",IF(E19="All Stages Closed","Completed",IF(E19="S1 Schematic",M19,IF(E19="S2 PCB Layout",Q19,IF(E19="S3 SI &amp; PI",U19,IF(E19="S4 Bare-PCB Fab",Y19,IF(E19="S5 Assembly",AC19,IF(E19="S6 Bring-up",AG19,AK19))))))))</f>
        <v>Completed</v>
      </c>
      <c r="G19" s="29" t="str">
        <f aca="false">IF(E19="All Stages Closed","",IF(E19="S1 Schematic",IF(N19="","Not added",N19),IF(E19="S2 PCB Layout",IF(R19="","Not added",R19),IF(E19="S3 SI &amp; PI",IF(V19="","Not added",V19),IF(E19="S4 Bare-PCB Fab",IF(Z19="","Not added",Z19),IF(E19="S5 Assembly",IF(AD19="","Not added",AD19),IF(E19="S6 Bring-up",IF(AH19="","Not added",AH19),IF(AL19="","Not added",AL19))))))))</f>
        <v/>
      </c>
      <c r="H19" s="28" t="str">
        <f aca="true">IF(OR(F19="Completed",F19="Cancelled"),"",IF(NOT(ISNUMBER(G19)),"Date not added",IF(TODAY()&gt;G19,TODAY()-G19,G19-TODAY()&amp;" days left")))</f>
        <v/>
      </c>
      <c r="I19" s="25" t="n">
        <f aca="false">COUNTIF(M19,"Completed")+COUNTIF(Q19,"Completed")+COUNTIF(U19,"Completed")+COUNTIF(Y19,"Completed")+COUNTIF(AC19,"Completed")+COUNTIF(AG19,"Completed")+COUNTIF(AK19,"Completed")</f>
        <v>5</v>
      </c>
      <c r="J19" s="25" t="n">
        <f aca="false">7-(COUNTIF(M19,"NA")+COUNTIF(Q19,"NA")+COUNTIF(U19,"NA")+COUNTIF(Y19,"NA")+COUNTIF(AC19,"NA")+COUNTIF(AG19,"NA")+COUNTIF(AK19,"NA"))</f>
        <v>5</v>
      </c>
      <c r="K19" s="30" t="n">
        <f aca="false">IFERROR(I19/J19,"")</f>
        <v>1</v>
      </c>
      <c r="L19" s="26" t="s">
        <v>105</v>
      </c>
      <c r="M19" s="25" t="s">
        <v>48</v>
      </c>
      <c r="N19" s="31" t="n">
        <v>46203</v>
      </c>
      <c r="O19" s="31"/>
      <c r="P19" s="26" t="s">
        <v>72</v>
      </c>
      <c r="Q19" s="25" t="s">
        <v>48</v>
      </c>
      <c r="R19" s="31"/>
      <c r="S19" s="31"/>
      <c r="T19" s="26" t="s">
        <v>89</v>
      </c>
      <c r="U19" s="25" t="s">
        <v>48</v>
      </c>
      <c r="V19" s="31"/>
      <c r="W19" s="31"/>
      <c r="X19" s="26" t="s">
        <v>77</v>
      </c>
      <c r="Y19" s="25" t="s">
        <v>48</v>
      </c>
      <c r="Z19" s="31"/>
      <c r="AA19" s="31"/>
      <c r="AB19" s="26" t="s">
        <v>85</v>
      </c>
      <c r="AC19" s="25" t="s">
        <v>48</v>
      </c>
      <c r="AD19" s="31"/>
      <c r="AE19" s="31"/>
      <c r="AF19" s="26"/>
      <c r="AG19" s="25" t="s">
        <v>53</v>
      </c>
      <c r="AH19" s="31"/>
      <c r="AI19" s="31"/>
      <c r="AJ19" s="26"/>
      <c r="AK19" s="25" t="s">
        <v>53</v>
      </c>
      <c r="AL19" s="31"/>
      <c r="AM19" s="31"/>
      <c r="AN19" s="25" t="s">
        <v>74</v>
      </c>
      <c r="AO19" s="26"/>
      <c r="AP19" s="26"/>
      <c r="AQ19" s="32"/>
      <c r="AR19" s="33" t="str">
        <f aca="false">IF(AN19&lt;&gt;"Yes","",IF(AO19="","SELECT RE-ENTRY STAGE","MOVE TO ACTIVE at "&amp;AO19))</f>
        <v/>
      </c>
      <c r="AS19" s="26" t="str">
        <f aca="false">IF(AN19="Yes",COUNTIF($AN$6:AN19,"Yes"),"")</f>
        <v/>
      </c>
      <c r="AT19" s="26"/>
      <c r="AU19" s="34" t="str">
        <f aca="false">IF(OR(F19="Completed",F19="Cancelled"),"",IF(AND(OR(F19="On Hold",ISNUMBER(H19)),AT19=""),"Reason not given",""))</f>
        <v/>
      </c>
      <c r="AV19" s="35"/>
      <c r="AW19" s="35"/>
    </row>
    <row r="20" customFormat="false" ht="30" hidden="false" customHeight="true" outlineLevel="0" collapsed="false">
      <c r="A20" s="25" t="n">
        <v>15</v>
      </c>
      <c r="B20" s="26" t="s">
        <v>87</v>
      </c>
      <c r="C20" s="27" t="s">
        <v>226</v>
      </c>
      <c r="D20" s="26" t="s">
        <v>162</v>
      </c>
      <c r="E20" s="25" t="str">
        <f aca="false">IF(NOT(OR(M20="Completed",M20="NA",M20="Cancelled")),"S1 Schematic",IF(NOT(OR(Q20="Completed",Q20="NA",Q20="Cancelled")),"S2 PCB Layout",IF(NOT(OR(U20="Completed",U20="NA",U20="Cancelled")),"S3 SI &amp; PI",IF(NOT(OR(Y20="Completed",Y20="NA",Y20="Cancelled")),"S4 Bare-PCB Fab",IF(NOT(OR(AC20="Completed",AC20="NA",AC20="Cancelled")),"S5 Assembly",IF(NOT(OR(AG20="Completed",AG20="NA",AG20="Cancelled")),"S6 Bring-up",IF(NOT(OR(AK20="Completed",AK20="NA",AK20="Cancelled")),"S7 BOM Procurement","All Stages Closed")))))))</f>
        <v>All Stages Closed</v>
      </c>
      <c r="F20" s="28" t="str">
        <f aca="false">IF(COUNTIF(M20,"Cancelled")+COUNTIF(Q20,"Cancelled")+COUNTIF(U20,"Cancelled")+COUNTIF(Y20,"Cancelled")+COUNTIF(AC20,"Cancelled")+COUNTIF(AG20,"Cancelled")+COUNTIF(AK20,"Cancelled")&gt;0,"Cancelled",IF(E20="All Stages Closed","Completed",IF(E20="S1 Schematic",M20,IF(E20="S2 PCB Layout",Q20,IF(E20="S3 SI &amp; PI",U20,IF(E20="S4 Bare-PCB Fab",Y20,IF(E20="S5 Assembly",AC20,IF(E20="S6 Bring-up",AG20,AK20))))))))</f>
        <v>Completed</v>
      </c>
      <c r="G20" s="29" t="str">
        <f aca="false">IF(E20="All Stages Closed","",IF(E20="S1 Schematic",IF(N20="","Not added",N20),IF(E20="S2 PCB Layout",IF(R20="","Not added",R20),IF(E20="S3 SI &amp; PI",IF(V20="","Not added",V20),IF(E20="S4 Bare-PCB Fab",IF(Z20="","Not added",Z20),IF(E20="S5 Assembly",IF(AD20="","Not added",AD20),IF(E20="S6 Bring-up",IF(AH20="","Not added",AH20),IF(AL20="","Not added",AL20))))))))</f>
        <v/>
      </c>
      <c r="H20" s="28" t="str">
        <f aca="true">IF(OR(F20="Completed",F20="Cancelled"),"",IF(NOT(ISNUMBER(G20)),"Date not added",IF(TODAY()&gt;G20,TODAY()-G20,G20-TODAY()&amp;" days left")))</f>
        <v/>
      </c>
      <c r="I20" s="25" t="n">
        <f aca="false">COUNTIF(M20,"Completed")+COUNTIF(Q20,"Completed")+COUNTIF(U20,"Completed")+COUNTIF(Y20,"Completed")+COUNTIF(AC20,"Completed")+COUNTIF(AG20,"Completed")+COUNTIF(AK20,"Completed")</f>
        <v>5</v>
      </c>
      <c r="J20" s="25" t="n">
        <f aca="false">7-(COUNTIF(M20,"NA")+COUNTIF(Q20,"NA")+COUNTIF(U20,"NA")+COUNTIF(Y20,"NA")+COUNTIF(AC20,"NA")+COUNTIF(AG20,"NA")+COUNTIF(AK20,"NA"))</f>
        <v>5</v>
      </c>
      <c r="K20" s="30" t="n">
        <f aca="false">IFERROR(I20/J20,"")</f>
        <v>1</v>
      </c>
      <c r="L20" s="26" t="s">
        <v>105</v>
      </c>
      <c r="M20" s="25" t="s">
        <v>48</v>
      </c>
      <c r="N20" s="31" t="n">
        <v>46203</v>
      </c>
      <c r="O20" s="31"/>
      <c r="P20" s="26" t="s">
        <v>72</v>
      </c>
      <c r="Q20" s="25" t="s">
        <v>48</v>
      </c>
      <c r="R20" s="31"/>
      <c r="S20" s="31"/>
      <c r="T20" s="26" t="s">
        <v>89</v>
      </c>
      <c r="U20" s="25" t="s">
        <v>48</v>
      </c>
      <c r="V20" s="31"/>
      <c r="W20" s="31"/>
      <c r="X20" s="26" t="s">
        <v>77</v>
      </c>
      <c r="Y20" s="25" t="s">
        <v>48</v>
      </c>
      <c r="Z20" s="31"/>
      <c r="AA20" s="31"/>
      <c r="AB20" s="26" t="s">
        <v>85</v>
      </c>
      <c r="AC20" s="25" t="s">
        <v>48</v>
      </c>
      <c r="AD20" s="31"/>
      <c r="AE20" s="31"/>
      <c r="AF20" s="26"/>
      <c r="AG20" s="25" t="s">
        <v>53</v>
      </c>
      <c r="AH20" s="31"/>
      <c r="AI20" s="31"/>
      <c r="AJ20" s="26"/>
      <c r="AK20" s="25" t="s">
        <v>53</v>
      </c>
      <c r="AL20" s="31"/>
      <c r="AM20" s="31"/>
      <c r="AN20" s="25" t="s">
        <v>74</v>
      </c>
      <c r="AO20" s="26"/>
      <c r="AP20" s="26"/>
      <c r="AQ20" s="32"/>
      <c r="AR20" s="33" t="str">
        <f aca="false">IF(AN20&lt;&gt;"Yes","",IF(AO20="","SELECT RE-ENTRY STAGE","MOVE TO ACTIVE at "&amp;AO20))</f>
        <v/>
      </c>
      <c r="AS20" s="26" t="str">
        <f aca="false">IF(AN20="Yes",COUNTIF($AN$6:AN20,"Yes"),"")</f>
        <v/>
      </c>
      <c r="AT20" s="26"/>
      <c r="AU20" s="34" t="str">
        <f aca="false">IF(OR(F20="Completed",F20="Cancelled"),"",IF(AND(OR(F20="On Hold",ISNUMBER(H20)),AT20=""),"Reason not given",""))</f>
        <v/>
      </c>
      <c r="AV20" s="35"/>
      <c r="AW20" s="35"/>
    </row>
    <row r="21" customFormat="false" ht="30" hidden="false" customHeight="true" outlineLevel="0" collapsed="false">
      <c r="A21" s="25" t="n">
        <v>16</v>
      </c>
      <c r="B21" s="26" t="s">
        <v>87</v>
      </c>
      <c r="C21" s="27" t="s">
        <v>227</v>
      </c>
      <c r="D21" s="26" t="s">
        <v>219</v>
      </c>
      <c r="E21" s="25" t="str">
        <f aca="false">IF(NOT(OR(M21="Completed",M21="NA",M21="Cancelled")),"S1 Schematic",IF(NOT(OR(Q21="Completed",Q21="NA",Q21="Cancelled")),"S2 PCB Layout",IF(NOT(OR(U21="Completed",U21="NA",U21="Cancelled")),"S3 SI &amp; PI",IF(NOT(OR(Y21="Completed",Y21="NA",Y21="Cancelled")),"S4 Bare-PCB Fab",IF(NOT(OR(AC21="Completed",AC21="NA",AC21="Cancelled")),"S5 Assembly",IF(NOT(OR(AG21="Completed",AG21="NA",AG21="Cancelled")),"S6 Bring-up",IF(NOT(OR(AK21="Completed",AK21="NA",AK21="Cancelled")),"S7 BOM Procurement","All Stages Closed")))))))</f>
        <v>All Stages Closed</v>
      </c>
      <c r="F21" s="28" t="str">
        <f aca="false">IF(COUNTIF(M21,"Cancelled")+COUNTIF(Q21,"Cancelled")+COUNTIF(U21,"Cancelled")+COUNTIF(Y21,"Cancelled")+COUNTIF(AC21,"Cancelled")+COUNTIF(AG21,"Cancelled")+COUNTIF(AK21,"Cancelled")&gt;0,"Cancelled",IF(E21="All Stages Closed","Completed",IF(E21="S1 Schematic",M21,IF(E21="S2 PCB Layout",Q21,IF(E21="S3 SI &amp; PI",U21,IF(E21="S4 Bare-PCB Fab",Y21,IF(E21="S5 Assembly",AC21,IF(E21="S6 Bring-up",AG21,AK21))))))))</f>
        <v>Completed</v>
      </c>
      <c r="G21" s="29" t="str">
        <f aca="false">IF(E21="All Stages Closed","",IF(E21="S1 Schematic",IF(N21="","Not added",N21),IF(E21="S2 PCB Layout",IF(R21="","Not added",R21),IF(E21="S3 SI &amp; PI",IF(V21="","Not added",V21),IF(E21="S4 Bare-PCB Fab",IF(Z21="","Not added",Z21),IF(E21="S5 Assembly",IF(AD21="","Not added",AD21),IF(E21="S6 Bring-up",IF(AH21="","Not added",AH21),IF(AL21="","Not added",AL21))))))))</f>
        <v/>
      </c>
      <c r="H21" s="28" t="str">
        <f aca="true">IF(OR(F21="Completed",F21="Cancelled"),"",IF(NOT(ISNUMBER(G21)),"Date not added",IF(TODAY()&gt;G21,TODAY()-G21,G21-TODAY()&amp;" days left")))</f>
        <v/>
      </c>
      <c r="I21" s="25" t="n">
        <f aca="false">COUNTIF(M21,"Completed")+COUNTIF(Q21,"Completed")+COUNTIF(U21,"Completed")+COUNTIF(Y21,"Completed")+COUNTIF(AC21,"Completed")+COUNTIF(AG21,"Completed")+COUNTIF(AK21,"Completed")</f>
        <v>5</v>
      </c>
      <c r="J21" s="25" t="n">
        <f aca="false">7-(COUNTIF(M21,"NA")+COUNTIF(Q21,"NA")+COUNTIF(U21,"NA")+COUNTIF(Y21,"NA")+COUNTIF(AC21,"NA")+COUNTIF(AG21,"NA")+COUNTIF(AK21,"NA"))</f>
        <v>5</v>
      </c>
      <c r="K21" s="30" t="n">
        <f aca="false">IFERROR(I21/J21,"")</f>
        <v>1</v>
      </c>
      <c r="L21" s="26" t="s">
        <v>105</v>
      </c>
      <c r="M21" s="25" t="s">
        <v>48</v>
      </c>
      <c r="N21" s="31" t="n">
        <v>46202</v>
      </c>
      <c r="O21" s="31"/>
      <c r="P21" s="26" t="s">
        <v>72</v>
      </c>
      <c r="Q21" s="25" t="s">
        <v>48</v>
      </c>
      <c r="R21" s="31"/>
      <c r="S21" s="31"/>
      <c r="T21" s="26" t="s">
        <v>89</v>
      </c>
      <c r="U21" s="25" t="s">
        <v>48</v>
      </c>
      <c r="V21" s="31"/>
      <c r="W21" s="31"/>
      <c r="X21" s="26" t="s">
        <v>228</v>
      </c>
      <c r="Y21" s="25" t="s">
        <v>48</v>
      </c>
      <c r="Z21" s="31" t="n">
        <v>46213</v>
      </c>
      <c r="AA21" s="31"/>
      <c r="AB21" s="26" t="s">
        <v>85</v>
      </c>
      <c r="AC21" s="25" t="s">
        <v>48</v>
      </c>
      <c r="AD21" s="31"/>
      <c r="AE21" s="31"/>
      <c r="AF21" s="26"/>
      <c r="AG21" s="25" t="s">
        <v>53</v>
      </c>
      <c r="AH21" s="31"/>
      <c r="AI21" s="31"/>
      <c r="AJ21" s="26"/>
      <c r="AK21" s="25" t="s">
        <v>53</v>
      </c>
      <c r="AL21" s="31"/>
      <c r="AM21" s="31"/>
      <c r="AN21" s="25" t="s">
        <v>74</v>
      </c>
      <c r="AO21" s="26"/>
      <c r="AP21" s="26"/>
      <c r="AQ21" s="32"/>
      <c r="AR21" s="33" t="str">
        <f aca="false">IF(AN21&lt;&gt;"Yes","",IF(AO21="","SELECT RE-ENTRY STAGE","MOVE TO ACTIVE at "&amp;AO21))</f>
        <v/>
      </c>
      <c r="AS21" s="26" t="str">
        <f aca="false">IF(AN21="Yes",COUNTIF($AN$6:AN21,"Yes"),"")</f>
        <v/>
      </c>
      <c r="AT21" s="26"/>
      <c r="AU21" s="34" t="str">
        <f aca="false">IF(OR(F21="Completed",F21="Cancelled"),"",IF(AND(OR(F21="On Hold",ISNUMBER(H21)),AT21=""),"Reason not given",""))</f>
        <v/>
      </c>
      <c r="AV21" s="35" t="s">
        <v>220</v>
      </c>
      <c r="AW21" s="35" t="s">
        <v>229</v>
      </c>
    </row>
    <row r="22" customFormat="false" ht="30" hidden="false" customHeight="true" outlineLevel="0" collapsed="false">
      <c r="A22" s="25" t="n">
        <v>17</v>
      </c>
      <c r="B22" s="26" t="s">
        <v>87</v>
      </c>
      <c r="C22" s="27" t="s">
        <v>230</v>
      </c>
      <c r="D22" s="26" t="s">
        <v>219</v>
      </c>
      <c r="E22" s="25" t="str">
        <f aca="false">IF(NOT(OR(M22="Completed",M22="NA",M22="Cancelled")),"S1 Schematic",IF(NOT(OR(Q22="Completed",Q22="NA",Q22="Cancelled")),"S2 PCB Layout",IF(NOT(OR(U22="Completed",U22="NA",U22="Cancelled")),"S3 SI &amp; PI",IF(NOT(OR(Y22="Completed",Y22="NA",Y22="Cancelled")),"S4 Bare-PCB Fab",IF(NOT(OR(AC22="Completed",AC22="NA",AC22="Cancelled")),"S5 Assembly",IF(NOT(OR(AG22="Completed",AG22="NA",AG22="Cancelled")),"S6 Bring-up",IF(NOT(OR(AK22="Completed",AK22="NA",AK22="Cancelled")),"S7 BOM Procurement","All Stages Closed")))))))</f>
        <v>All Stages Closed</v>
      </c>
      <c r="F22" s="28" t="str">
        <f aca="false">IF(COUNTIF(M22,"Cancelled")+COUNTIF(Q22,"Cancelled")+COUNTIF(U22,"Cancelled")+COUNTIF(Y22,"Cancelled")+COUNTIF(AC22,"Cancelled")+COUNTIF(AG22,"Cancelled")+COUNTIF(AK22,"Cancelled")&gt;0,"Cancelled",IF(E22="All Stages Closed","Completed",IF(E22="S1 Schematic",M22,IF(E22="S2 PCB Layout",Q22,IF(E22="S3 SI &amp; PI",U22,IF(E22="S4 Bare-PCB Fab",Y22,IF(E22="S5 Assembly",AC22,IF(E22="S6 Bring-up",AG22,AK22))))))))</f>
        <v>Completed</v>
      </c>
      <c r="G22" s="29" t="str">
        <f aca="false">IF(E22="All Stages Closed","",IF(E22="S1 Schematic",IF(N22="","Not added",N22),IF(E22="S2 PCB Layout",IF(R22="","Not added",R22),IF(E22="S3 SI &amp; PI",IF(V22="","Not added",V22),IF(E22="S4 Bare-PCB Fab",IF(Z22="","Not added",Z22),IF(E22="S5 Assembly",IF(AD22="","Not added",AD22),IF(E22="S6 Bring-up",IF(AH22="","Not added",AH22),IF(AL22="","Not added",AL22))))))))</f>
        <v/>
      </c>
      <c r="H22" s="28" t="str">
        <f aca="true">IF(OR(F22="Completed",F22="Cancelled"),"",IF(NOT(ISNUMBER(G22)),"Date not added",IF(TODAY()&gt;G22,TODAY()-G22,G22-TODAY()&amp;" days left")))</f>
        <v/>
      </c>
      <c r="I22" s="25" t="n">
        <f aca="false">COUNTIF(M22,"Completed")+COUNTIF(Q22,"Completed")+COUNTIF(U22,"Completed")+COUNTIF(Y22,"Completed")+COUNTIF(AC22,"Completed")+COUNTIF(AG22,"Completed")+COUNTIF(AK22,"Completed")</f>
        <v>5</v>
      </c>
      <c r="J22" s="25" t="n">
        <f aca="false">7-(COUNTIF(M22,"NA")+COUNTIF(Q22,"NA")+COUNTIF(U22,"NA")+COUNTIF(Y22,"NA")+COUNTIF(AC22,"NA")+COUNTIF(AG22,"NA")+COUNTIF(AK22,"NA"))</f>
        <v>5</v>
      </c>
      <c r="K22" s="30" t="n">
        <f aca="false">IFERROR(I22/J22,"")</f>
        <v>1</v>
      </c>
      <c r="L22" s="26" t="s">
        <v>105</v>
      </c>
      <c r="M22" s="25" t="s">
        <v>48</v>
      </c>
      <c r="N22" s="31" t="n">
        <v>46199</v>
      </c>
      <c r="O22" s="31"/>
      <c r="P22" s="26" t="s">
        <v>72</v>
      </c>
      <c r="Q22" s="25" t="s">
        <v>48</v>
      </c>
      <c r="R22" s="31"/>
      <c r="S22" s="31"/>
      <c r="T22" s="26" t="s">
        <v>89</v>
      </c>
      <c r="U22" s="25" t="s">
        <v>48</v>
      </c>
      <c r="V22" s="31"/>
      <c r="W22" s="31"/>
      <c r="X22" s="26" t="s">
        <v>228</v>
      </c>
      <c r="Y22" s="25" t="s">
        <v>48</v>
      </c>
      <c r="Z22" s="31" t="n">
        <v>46213</v>
      </c>
      <c r="AA22" s="31"/>
      <c r="AB22" s="26" t="s">
        <v>85</v>
      </c>
      <c r="AC22" s="25" t="s">
        <v>48</v>
      </c>
      <c r="AD22" s="31"/>
      <c r="AE22" s="31"/>
      <c r="AF22" s="26"/>
      <c r="AG22" s="25" t="s">
        <v>53</v>
      </c>
      <c r="AH22" s="31"/>
      <c r="AI22" s="31"/>
      <c r="AJ22" s="26"/>
      <c r="AK22" s="25" t="s">
        <v>53</v>
      </c>
      <c r="AL22" s="31"/>
      <c r="AM22" s="31"/>
      <c r="AN22" s="25" t="s">
        <v>74</v>
      </c>
      <c r="AO22" s="26"/>
      <c r="AP22" s="26"/>
      <c r="AQ22" s="32"/>
      <c r="AR22" s="33" t="str">
        <f aca="false">IF(AN22&lt;&gt;"Yes","",IF(AO22="","SELECT RE-ENTRY STAGE","MOVE TO ACTIVE at "&amp;AO22))</f>
        <v/>
      </c>
      <c r="AS22" s="26" t="str">
        <f aca="false">IF(AN22="Yes",COUNTIF($AN$6:AN22,"Yes"),"")</f>
        <v/>
      </c>
      <c r="AT22" s="26"/>
      <c r="AU22" s="34" t="str">
        <f aca="false">IF(OR(F22="Completed",F22="Cancelled"),"",IF(AND(OR(F22="On Hold",ISNUMBER(H22)),AT22=""),"Reason not given",""))</f>
        <v/>
      </c>
      <c r="AV22" s="35" t="s">
        <v>220</v>
      </c>
      <c r="AW22" s="35" t="s">
        <v>231</v>
      </c>
    </row>
    <row r="23" customFormat="false" ht="30" hidden="false" customHeight="true" outlineLevel="0" collapsed="false">
      <c r="A23" s="25" t="n">
        <v>18</v>
      </c>
      <c r="B23" s="26" t="s">
        <v>87</v>
      </c>
      <c r="C23" s="27" t="s">
        <v>232</v>
      </c>
      <c r="D23" s="26" t="s">
        <v>219</v>
      </c>
      <c r="E23" s="25" t="str">
        <f aca="false">IF(NOT(OR(M23="Completed",M23="NA",M23="Cancelled")),"S1 Schematic",IF(NOT(OR(Q23="Completed",Q23="NA",Q23="Cancelled")),"S2 PCB Layout",IF(NOT(OR(U23="Completed",U23="NA",U23="Cancelled")),"S3 SI &amp; PI",IF(NOT(OR(Y23="Completed",Y23="NA",Y23="Cancelled")),"S4 Bare-PCB Fab",IF(NOT(OR(AC23="Completed",AC23="NA",AC23="Cancelled")),"S5 Assembly",IF(NOT(OR(AG23="Completed",AG23="NA",AG23="Cancelled")),"S6 Bring-up",IF(NOT(OR(AK23="Completed",AK23="NA",AK23="Cancelled")),"S7 BOM Procurement","All Stages Closed")))))))</f>
        <v>All Stages Closed</v>
      </c>
      <c r="F23" s="28" t="str">
        <f aca="false">IF(COUNTIF(M23,"Cancelled")+COUNTIF(Q23,"Cancelled")+COUNTIF(U23,"Cancelled")+COUNTIF(Y23,"Cancelled")+COUNTIF(AC23,"Cancelled")+COUNTIF(AG23,"Cancelled")+COUNTIF(AK23,"Cancelled")&gt;0,"Cancelled",IF(E23="All Stages Closed","Completed",IF(E23="S1 Schematic",M23,IF(E23="S2 PCB Layout",Q23,IF(E23="S3 SI &amp; PI",U23,IF(E23="S4 Bare-PCB Fab",Y23,IF(E23="S5 Assembly",AC23,IF(E23="S6 Bring-up",AG23,AK23))))))))</f>
        <v>Completed</v>
      </c>
      <c r="G23" s="29" t="str">
        <f aca="false">IF(E23="All Stages Closed","",IF(E23="S1 Schematic",IF(N23="","Not added",N23),IF(E23="S2 PCB Layout",IF(R23="","Not added",R23),IF(E23="S3 SI &amp; PI",IF(V23="","Not added",V23),IF(E23="S4 Bare-PCB Fab",IF(Z23="","Not added",Z23),IF(E23="S5 Assembly",IF(AD23="","Not added",AD23),IF(E23="S6 Bring-up",IF(AH23="","Not added",AH23),IF(AL23="","Not added",AL23))))))))</f>
        <v/>
      </c>
      <c r="H23" s="28" t="str">
        <f aca="true">IF(OR(F23="Completed",F23="Cancelled"),"",IF(NOT(ISNUMBER(G23)),"Date not added",IF(TODAY()&gt;G23,TODAY()-G23,G23-TODAY()&amp;" days left")))</f>
        <v/>
      </c>
      <c r="I23" s="25" t="n">
        <f aca="false">COUNTIF(M23,"Completed")+COUNTIF(Q23,"Completed")+COUNTIF(U23,"Completed")+COUNTIF(Y23,"Completed")+COUNTIF(AC23,"Completed")+COUNTIF(AG23,"Completed")+COUNTIF(AK23,"Completed")</f>
        <v>5</v>
      </c>
      <c r="J23" s="25" t="n">
        <f aca="false">7-(COUNTIF(M23,"NA")+COUNTIF(Q23,"NA")+COUNTIF(U23,"NA")+COUNTIF(Y23,"NA")+COUNTIF(AC23,"NA")+COUNTIF(AG23,"NA")+COUNTIF(AK23,"NA"))</f>
        <v>5</v>
      </c>
      <c r="K23" s="30" t="n">
        <f aca="false">IFERROR(I23/J23,"")</f>
        <v>1</v>
      </c>
      <c r="L23" s="26" t="s">
        <v>105</v>
      </c>
      <c r="M23" s="25" t="s">
        <v>48</v>
      </c>
      <c r="N23" s="31"/>
      <c r="O23" s="31"/>
      <c r="P23" s="26" t="s">
        <v>72</v>
      </c>
      <c r="Q23" s="25" t="s">
        <v>48</v>
      </c>
      <c r="R23" s="31"/>
      <c r="S23" s="31"/>
      <c r="T23" s="26" t="s">
        <v>89</v>
      </c>
      <c r="U23" s="25" t="s">
        <v>48</v>
      </c>
      <c r="V23" s="31"/>
      <c r="W23" s="31"/>
      <c r="X23" s="26" t="s">
        <v>77</v>
      </c>
      <c r="Y23" s="25" t="s">
        <v>48</v>
      </c>
      <c r="Z23" s="31"/>
      <c r="AA23" s="31"/>
      <c r="AB23" s="26" t="s">
        <v>85</v>
      </c>
      <c r="AC23" s="25" t="s">
        <v>48</v>
      </c>
      <c r="AD23" s="31"/>
      <c r="AE23" s="31"/>
      <c r="AF23" s="26"/>
      <c r="AG23" s="25" t="s">
        <v>53</v>
      </c>
      <c r="AH23" s="31"/>
      <c r="AI23" s="31"/>
      <c r="AJ23" s="26"/>
      <c r="AK23" s="25" t="s">
        <v>53</v>
      </c>
      <c r="AL23" s="31"/>
      <c r="AM23" s="31"/>
      <c r="AN23" s="25" t="s">
        <v>74</v>
      </c>
      <c r="AO23" s="26"/>
      <c r="AP23" s="26"/>
      <c r="AQ23" s="32"/>
      <c r="AR23" s="33" t="str">
        <f aca="false">IF(AN23&lt;&gt;"Yes","",IF(AO23="","SELECT RE-ENTRY STAGE","MOVE TO ACTIVE at "&amp;AO23))</f>
        <v/>
      </c>
      <c r="AS23" s="26" t="str">
        <f aca="false">IF(AN23="Yes",COUNTIF($AN$6:AN23,"Yes"),"")</f>
        <v/>
      </c>
      <c r="AT23" s="26"/>
      <c r="AU23" s="34" t="str">
        <f aca="false">IF(OR(F23="Completed",F23="Cancelled"),"",IF(AND(OR(F23="On Hold",ISNUMBER(H23)),AT23=""),"Reason not given",""))</f>
        <v/>
      </c>
      <c r="AV23" s="35" t="s">
        <v>233</v>
      </c>
      <c r="AW23" s="35"/>
    </row>
    <row r="24" customFormat="false" ht="30" hidden="false" customHeight="true" outlineLevel="0" collapsed="false">
      <c r="A24" s="25" t="n">
        <v>19</v>
      </c>
      <c r="B24" s="26" t="s">
        <v>87</v>
      </c>
      <c r="C24" s="27" t="s">
        <v>234</v>
      </c>
      <c r="D24" s="26" t="s">
        <v>219</v>
      </c>
      <c r="E24" s="25" t="str">
        <f aca="false">IF(NOT(OR(M24="Completed",M24="NA",M24="Cancelled")),"S1 Schematic",IF(NOT(OR(Q24="Completed",Q24="NA",Q24="Cancelled")),"S2 PCB Layout",IF(NOT(OR(U24="Completed",U24="NA",U24="Cancelled")),"S3 SI &amp; PI",IF(NOT(OR(Y24="Completed",Y24="NA",Y24="Cancelled")),"S4 Bare-PCB Fab",IF(NOT(OR(AC24="Completed",AC24="NA",AC24="Cancelled")),"S5 Assembly",IF(NOT(OR(AG24="Completed",AG24="NA",AG24="Cancelled")),"S6 Bring-up",IF(NOT(OR(AK24="Completed",AK24="NA",AK24="Cancelled")),"S7 BOM Procurement","All Stages Closed")))))))</f>
        <v>All Stages Closed</v>
      </c>
      <c r="F24" s="28" t="str">
        <f aca="false">IF(COUNTIF(M24,"Cancelled")+COUNTIF(Q24,"Cancelled")+COUNTIF(U24,"Cancelled")+COUNTIF(Y24,"Cancelled")+COUNTIF(AC24,"Cancelled")+COUNTIF(AG24,"Cancelled")+COUNTIF(AK24,"Cancelled")&gt;0,"Cancelled",IF(E24="All Stages Closed","Completed",IF(E24="S1 Schematic",M24,IF(E24="S2 PCB Layout",Q24,IF(E24="S3 SI &amp; PI",U24,IF(E24="S4 Bare-PCB Fab",Y24,IF(E24="S5 Assembly",AC24,IF(E24="S6 Bring-up",AG24,AK24))))))))</f>
        <v>Completed</v>
      </c>
      <c r="G24" s="29" t="str">
        <f aca="false">IF(E24="All Stages Closed","",IF(E24="S1 Schematic",IF(N24="","Not added",N24),IF(E24="S2 PCB Layout",IF(R24="","Not added",R24),IF(E24="S3 SI &amp; PI",IF(V24="","Not added",V24),IF(E24="S4 Bare-PCB Fab",IF(Z24="","Not added",Z24),IF(E24="S5 Assembly",IF(AD24="","Not added",AD24),IF(E24="S6 Bring-up",IF(AH24="","Not added",AH24),IF(AL24="","Not added",AL24))))))))</f>
        <v/>
      </c>
      <c r="H24" s="28" t="str">
        <f aca="true">IF(OR(F24="Completed",F24="Cancelled"),"",IF(NOT(ISNUMBER(G24)),"Date not added",IF(TODAY()&gt;G24,TODAY()-G24,G24-TODAY()&amp;" days left")))</f>
        <v/>
      </c>
      <c r="I24" s="25" t="n">
        <f aca="false">COUNTIF(M24,"Completed")+COUNTIF(Q24,"Completed")+COUNTIF(U24,"Completed")+COUNTIF(Y24,"Completed")+COUNTIF(AC24,"Completed")+COUNTIF(AG24,"Completed")+COUNTIF(AK24,"Completed")</f>
        <v>5</v>
      </c>
      <c r="J24" s="25" t="n">
        <f aca="false">7-(COUNTIF(M24,"NA")+COUNTIF(Q24,"NA")+COUNTIF(U24,"NA")+COUNTIF(Y24,"NA")+COUNTIF(AC24,"NA")+COUNTIF(AG24,"NA")+COUNTIF(AK24,"NA"))</f>
        <v>5</v>
      </c>
      <c r="K24" s="30" t="n">
        <f aca="false">IFERROR(I24/J24,"")</f>
        <v>1</v>
      </c>
      <c r="L24" s="26" t="s">
        <v>105</v>
      </c>
      <c r="M24" s="25" t="s">
        <v>48</v>
      </c>
      <c r="N24" s="31" t="n">
        <v>46203</v>
      </c>
      <c r="O24" s="31"/>
      <c r="P24" s="26" t="s">
        <v>72</v>
      </c>
      <c r="Q24" s="25" t="s">
        <v>48</v>
      </c>
      <c r="R24" s="31" t="n">
        <v>46209</v>
      </c>
      <c r="S24" s="31"/>
      <c r="T24" s="26" t="s">
        <v>89</v>
      </c>
      <c r="U24" s="25" t="s">
        <v>48</v>
      </c>
      <c r="V24" s="31"/>
      <c r="W24" s="31"/>
      <c r="X24" s="26" t="s">
        <v>228</v>
      </c>
      <c r="Y24" s="25" t="s">
        <v>48</v>
      </c>
      <c r="Z24" s="31" t="n">
        <v>46213</v>
      </c>
      <c r="AA24" s="31"/>
      <c r="AB24" s="26" t="s">
        <v>85</v>
      </c>
      <c r="AC24" s="25" t="s">
        <v>48</v>
      </c>
      <c r="AD24" s="31"/>
      <c r="AE24" s="31"/>
      <c r="AF24" s="26"/>
      <c r="AG24" s="25" t="s">
        <v>53</v>
      </c>
      <c r="AH24" s="31"/>
      <c r="AI24" s="31"/>
      <c r="AJ24" s="26"/>
      <c r="AK24" s="25" t="s">
        <v>53</v>
      </c>
      <c r="AL24" s="31"/>
      <c r="AM24" s="31"/>
      <c r="AN24" s="25" t="s">
        <v>74</v>
      </c>
      <c r="AO24" s="26"/>
      <c r="AP24" s="26"/>
      <c r="AQ24" s="32"/>
      <c r="AR24" s="33" t="str">
        <f aca="false">IF(AN24&lt;&gt;"Yes","",IF(AO24="","SELECT RE-ENTRY STAGE","MOVE TO ACTIVE at "&amp;AO24))</f>
        <v/>
      </c>
      <c r="AS24" s="26" t="str">
        <f aca="false">IF(AN24="Yes",COUNTIF($AN$6:AN24,"Yes"),"")</f>
        <v/>
      </c>
      <c r="AT24" s="26"/>
      <c r="AU24" s="34" t="str">
        <f aca="false">IF(OR(F24="Completed",F24="Cancelled"),"",IF(AND(OR(F24="On Hold",ISNUMBER(H24)),AT24=""),"Reason not given",""))</f>
        <v/>
      </c>
      <c r="AV24" s="35" t="s">
        <v>220</v>
      </c>
      <c r="AW24" s="35" t="s">
        <v>235</v>
      </c>
    </row>
    <row r="25" customFormat="false" ht="30" hidden="false" customHeight="true" outlineLevel="0" collapsed="false">
      <c r="A25" s="25" t="n">
        <v>20</v>
      </c>
      <c r="B25" s="26" t="s">
        <v>87</v>
      </c>
      <c r="C25" s="27" t="s">
        <v>236</v>
      </c>
      <c r="D25" s="26" t="s">
        <v>162</v>
      </c>
      <c r="E25" s="25" t="str">
        <f aca="false">IF(NOT(OR(M25="Completed",M25="NA",M25="Cancelled")),"S1 Schematic",IF(NOT(OR(Q25="Completed",Q25="NA",Q25="Cancelled")),"S2 PCB Layout",IF(NOT(OR(U25="Completed",U25="NA",U25="Cancelled")),"S3 SI &amp; PI",IF(NOT(OR(Y25="Completed",Y25="NA",Y25="Cancelled")),"S4 Bare-PCB Fab",IF(NOT(OR(AC25="Completed",AC25="NA",AC25="Cancelled")),"S5 Assembly",IF(NOT(OR(AG25="Completed",AG25="NA",AG25="Cancelled")),"S6 Bring-up",IF(NOT(OR(AK25="Completed",AK25="NA",AK25="Cancelled")),"S7 BOM Procurement","All Stages Closed")))))))</f>
        <v>All Stages Closed</v>
      </c>
      <c r="F25" s="28" t="str">
        <f aca="false">IF(COUNTIF(M25,"Cancelled")+COUNTIF(Q25,"Cancelled")+COUNTIF(U25,"Cancelled")+COUNTIF(Y25,"Cancelled")+COUNTIF(AC25,"Cancelled")+COUNTIF(AG25,"Cancelled")+COUNTIF(AK25,"Cancelled")&gt;0,"Cancelled",IF(E25="All Stages Closed","Completed",IF(E25="S1 Schematic",M25,IF(E25="S2 PCB Layout",Q25,IF(E25="S3 SI &amp; PI",U25,IF(E25="S4 Bare-PCB Fab",Y25,IF(E25="S5 Assembly",AC25,IF(E25="S6 Bring-up",AG25,AK25))))))))</f>
        <v>Completed</v>
      </c>
      <c r="G25" s="29" t="str">
        <f aca="false">IF(E25="All Stages Closed","",IF(E25="S1 Schematic",IF(N25="","Not added",N25),IF(E25="S2 PCB Layout",IF(R25="","Not added",R25),IF(E25="S3 SI &amp; PI",IF(V25="","Not added",V25),IF(E25="S4 Bare-PCB Fab",IF(Z25="","Not added",Z25),IF(E25="S5 Assembly",IF(AD25="","Not added",AD25),IF(E25="S6 Bring-up",IF(AH25="","Not added",AH25),IF(AL25="","Not added",AL25))))))))</f>
        <v/>
      </c>
      <c r="H25" s="28" t="str">
        <f aca="true">IF(OR(F25="Completed",F25="Cancelled"),"",IF(NOT(ISNUMBER(G25)),"Date not added",IF(TODAY()&gt;G25,TODAY()-G25,G25-TODAY()&amp;" days left")))</f>
        <v/>
      </c>
      <c r="I25" s="25" t="n">
        <f aca="false">COUNTIF(M25,"Completed")+COUNTIF(Q25,"Completed")+COUNTIF(U25,"Completed")+COUNTIF(Y25,"Completed")+COUNTIF(AC25,"Completed")+COUNTIF(AG25,"Completed")+COUNTIF(AK25,"Completed")</f>
        <v>5</v>
      </c>
      <c r="J25" s="25" t="n">
        <f aca="false">7-(COUNTIF(M25,"NA")+COUNTIF(Q25,"NA")+COUNTIF(U25,"NA")+COUNTIF(Y25,"NA")+COUNTIF(AC25,"NA")+COUNTIF(AG25,"NA")+COUNTIF(AK25,"NA"))</f>
        <v>5</v>
      </c>
      <c r="K25" s="30" t="n">
        <f aca="false">IFERROR(I25/J25,"")</f>
        <v>1</v>
      </c>
      <c r="L25" s="26" t="s">
        <v>93</v>
      </c>
      <c r="M25" s="25" t="s">
        <v>48</v>
      </c>
      <c r="N25" s="31" t="n">
        <v>46191</v>
      </c>
      <c r="O25" s="31"/>
      <c r="P25" s="26" t="s">
        <v>108</v>
      </c>
      <c r="Q25" s="25" t="s">
        <v>48</v>
      </c>
      <c r="R25" s="31" t="n">
        <v>46199</v>
      </c>
      <c r="S25" s="31"/>
      <c r="T25" s="26" t="s">
        <v>89</v>
      </c>
      <c r="U25" s="25" t="s">
        <v>48</v>
      </c>
      <c r="V25" s="31" t="n">
        <v>46201</v>
      </c>
      <c r="W25" s="31"/>
      <c r="X25" s="26"/>
      <c r="Y25" s="25" t="s">
        <v>48</v>
      </c>
      <c r="Z25" s="31"/>
      <c r="AA25" s="31"/>
      <c r="AB25" s="26"/>
      <c r="AC25" s="25" t="s">
        <v>48</v>
      </c>
      <c r="AD25" s="31"/>
      <c r="AE25" s="31"/>
      <c r="AF25" s="26"/>
      <c r="AG25" s="25" t="s">
        <v>53</v>
      </c>
      <c r="AH25" s="31"/>
      <c r="AI25" s="31"/>
      <c r="AJ25" s="26"/>
      <c r="AK25" s="25" t="s">
        <v>53</v>
      </c>
      <c r="AL25" s="31"/>
      <c r="AM25" s="31"/>
      <c r="AN25" s="25" t="s">
        <v>74</v>
      </c>
      <c r="AO25" s="26"/>
      <c r="AP25" s="26"/>
      <c r="AQ25" s="32"/>
      <c r="AR25" s="33" t="str">
        <f aca="false">IF(AN25&lt;&gt;"Yes","",IF(AO25="","SELECT RE-ENTRY STAGE","MOVE TO ACTIVE at "&amp;AO25))</f>
        <v/>
      </c>
      <c r="AS25" s="26" t="str">
        <f aca="false">IF(AN25="Yes",COUNTIF($AN$6:AN25,"Yes"),"")</f>
        <v/>
      </c>
      <c r="AT25" s="26"/>
      <c r="AU25" s="34" t="str">
        <f aca="false">IF(OR(F25="Completed",F25="Cancelled"),"",IF(AND(OR(F25="On Hold",ISNUMBER(H25)),AT25=""),"Reason not given",""))</f>
        <v/>
      </c>
      <c r="AV25" s="35" t="s">
        <v>237</v>
      </c>
      <c r="AW25" s="35"/>
    </row>
    <row r="26" customFormat="false" ht="30" hidden="false" customHeight="true" outlineLevel="0" collapsed="false">
      <c r="A26" s="36" t="n">
        <v>21</v>
      </c>
      <c r="B26" s="37" t="s">
        <v>91</v>
      </c>
      <c r="C26" s="38" t="s">
        <v>238</v>
      </c>
      <c r="D26" s="37"/>
      <c r="E26" s="36" t="str">
        <f aca="false">IF(NOT(OR(M26="Completed",M26="NA",M26="Cancelled")),"S1 Schematic",IF(NOT(OR(Q26="Completed",Q26="NA",Q26="Cancelled")),"S2 PCB Layout",IF(NOT(OR(U26="Completed",U26="NA",U26="Cancelled")),"S3 SI &amp; PI",IF(NOT(OR(Y26="Completed",Y26="NA",Y26="Cancelled")),"S4 Bare-PCB Fab",IF(NOT(OR(AC26="Completed",AC26="NA",AC26="Cancelled")),"S5 Assembly",IF(NOT(OR(AG26="Completed",AG26="NA",AG26="Cancelled")),"S6 Bring-up",IF(NOT(OR(AK26="Completed",AK26="NA",AK26="Cancelled")),"S7 BOM Procurement","All Stages Closed")))))))</f>
        <v>All Stages Closed</v>
      </c>
      <c r="F26" s="39" t="str">
        <f aca="false">IF(COUNTIF(M26,"Cancelled")+COUNTIF(Q26,"Cancelled")+COUNTIF(U26,"Cancelled")+COUNTIF(Y26,"Cancelled")+COUNTIF(AC26,"Cancelled")+COUNTIF(AG26,"Cancelled")+COUNTIF(AK26,"Cancelled")&gt;0,"Cancelled",IF(E26="All Stages Closed","Completed",IF(E26="S1 Schematic",M26,IF(E26="S2 PCB Layout",Q26,IF(E26="S3 SI &amp; PI",U26,IF(E26="S4 Bare-PCB Fab",Y26,IF(E26="S5 Assembly",AC26,IF(E26="S6 Bring-up",AG26,AK26))))))))</f>
        <v>Completed</v>
      </c>
      <c r="G26" s="40" t="str">
        <f aca="false">IF(E26="All Stages Closed","",IF(E26="S1 Schematic",IF(N26="","Not added",N26),IF(E26="S2 PCB Layout",IF(R26="","Not added",R26),IF(E26="S3 SI &amp; PI",IF(V26="","Not added",V26),IF(E26="S4 Bare-PCB Fab",IF(Z26="","Not added",Z26),IF(E26="S5 Assembly",IF(AD26="","Not added",AD26),IF(E26="S6 Bring-up",IF(AH26="","Not added",AH26),IF(AL26="","Not added",AL26))))))))</f>
        <v/>
      </c>
      <c r="H26" s="39" t="str">
        <f aca="true">IF(OR(F26="Completed",F26="Cancelled"),"",IF(NOT(ISNUMBER(G26)),"Date not added",IF(TODAY()&gt;G26,TODAY()-G26,G26-TODAY()&amp;" days left")))</f>
        <v/>
      </c>
      <c r="I26" s="36" t="n">
        <f aca="false">COUNTIF(M26,"Completed")+COUNTIF(Q26,"Completed")+COUNTIF(U26,"Completed")+COUNTIF(Y26,"Completed")+COUNTIF(AC26,"Completed")+COUNTIF(AG26,"Completed")+COUNTIF(AK26,"Completed")</f>
        <v>5</v>
      </c>
      <c r="J26" s="36" t="n">
        <f aca="false">7-(COUNTIF(M26,"NA")+COUNTIF(Q26,"NA")+COUNTIF(U26,"NA")+COUNTIF(Y26,"NA")+COUNTIF(AC26,"NA")+COUNTIF(AG26,"NA")+COUNTIF(AK26,"NA"))</f>
        <v>5</v>
      </c>
      <c r="K26" s="41" t="n">
        <f aca="false">IFERROR(I26/J26,"")</f>
        <v>1</v>
      </c>
      <c r="L26" s="37"/>
      <c r="M26" s="36" t="s">
        <v>48</v>
      </c>
      <c r="N26" s="42"/>
      <c r="O26" s="42"/>
      <c r="P26" s="37"/>
      <c r="Q26" s="36" t="s">
        <v>48</v>
      </c>
      <c r="R26" s="42"/>
      <c r="S26" s="42"/>
      <c r="T26" s="37"/>
      <c r="U26" s="36" t="s">
        <v>48</v>
      </c>
      <c r="V26" s="42"/>
      <c r="W26" s="42"/>
      <c r="X26" s="37" t="s">
        <v>111</v>
      </c>
      <c r="Y26" s="36" t="s">
        <v>48</v>
      </c>
      <c r="Z26" s="42" t="n">
        <v>46255</v>
      </c>
      <c r="AA26" s="42"/>
      <c r="AB26" s="37"/>
      <c r="AC26" s="36" t="s">
        <v>48</v>
      </c>
      <c r="AD26" s="42"/>
      <c r="AE26" s="42"/>
      <c r="AF26" s="37"/>
      <c r="AG26" s="36" t="s">
        <v>53</v>
      </c>
      <c r="AH26" s="42"/>
      <c r="AI26" s="42"/>
      <c r="AJ26" s="37"/>
      <c r="AK26" s="36" t="s">
        <v>53</v>
      </c>
      <c r="AL26" s="42"/>
      <c r="AM26" s="42"/>
      <c r="AN26" s="36" t="s">
        <v>74</v>
      </c>
      <c r="AO26" s="37"/>
      <c r="AP26" s="37"/>
      <c r="AQ26" s="43"/>
      <c r="AR26" s="44" t="str">
        <f aca="false">IF(AN26&lt;&gt;"Yes","",IF(AO26="","SELECT RE-ENTRY STAGE","MOVE TO ACTIVE at "&amp;AO26))</f>
        <v/>
      </c>
      <c r="AS26" s="37" t="str">
        <f aca="false">IF(AN26="Yes",COUNTIF($AN$6:AN26,"Yes"),"")</f>
        <v/>
      </c>
      <c r="AT26" s="37"/>
      <c r="AU26" s="45" t="str">
        <f aca="false">IF(OR(F26="Completed",F26="Cancelled"),"",IF(AND(OR(F26="On Hold",ISNUMBER(H26)),AT26=""),"Reason not given",""))</f>
        <v/>
      </c>
      <c r="AV26" s="46"/>
      <c r="AW26" s="46" t="s">
        <v>239</v>
      </c>
    </row>
    <row r="27" customFormat="false" ht="30" hidden="false" customHeight="true" outlineLevel="0" collapsed="false">
      <c r="A27" s="36" t="n">
        <v>22</v>
      </c>
      <c r="B27" s="37" t="s">
        <v>91</v>
      </c>
      <c r="C27" s="38" t="s">
        <v>240</v>
      </c>
      <c r="D27" s="37"/>
      <c r="E27" s="36" t="str">
        <f aca="false">IF(NOT(OR(M27="Completed",M27="NA",M27="Cancelled")),"S1 Schematic",IF(NOT(OR(Q27="Completed",Q27="NA",Q27="Cancelled")),"S2 PCB Layout",IF(NOT(OR(U27="Completed",U27="NA",U27="Cancelled")),"S3 SI &amp; PI",IF(NOT(OR(Y27="Completed",Y27="NA",Y27="Cancelled")),"S4 Bare-PCB Fab",IF(NOT(OR(AC27="Completed",AC27="NA",AC27="Cancelled")),"S5 Assembly",IF(NOT(OR(AG27="Completed",AG27="NA",AG27="Cancelled")),"S6 Bring-up",IF(NOT(OR(AK27="Completed",AK27="NA",AK27="Cancelled")),"S7 BOM Procurement","All Stages Closed")))))))</f>
        <v>All Stages Closed</v>
      </c>
      <c r="F27" s="39" t="str">
        <f aca="false">IF(COUNTIF(M27,"Cancelled")+COUNTIF(Q27,"Cancelled")+COUNTIF(U27,"Cancelled")+COUNTIF(Y27,"Cancelled")+COUNTIF(AC27,"Cancelled")+COUNTIF(AG27,"Cancelled")+COUNTIF(AK27,"Cancelled")&gt;0,"Cancelled",IF(E27="All Stages Closed","Completed",IF(E27="S1 Schematic",M27,IF(E27="S2 PCB Layout",Q27,IF(E27="S3 SI &amp; PI",U27,IF(E27="S4 Bare-PCB Fab",Y27,IF(E27="S5 Assembly",AC27,IF(E27="S6 Bring-up",AG27,AK27))))))))</f>
        <v>Completed</v>
      </c>
      <c r="G27" s="40" t="str">
        <f aca="false">IF(E27="All Stages Closed","",IF(E27="S1 Schematic",IF(N27="","Not added",N27),IF(E27="S2 PCB Layout",IF(R27="","Not added",R27),IF(E27="S3 SI &amp; PI",IF(V27="","Not added",V27),IF(E27="S4 Bare-PCB Fab",IF(Z27="","Not added",Z27),IF(E27="S5 Assembly",IF(AD27="","Not added",AD27),IF(E27="S6 Bring-up",IF(AH27="","Not added",AH27),IF(AL27="","Not added",AL27))))))))</f>
        <v/>
      </c>
      <c r="H27" s="39" t="str">
        <f aca="true">IF(OR(F27="Completed",F27="Cancelled"),"",IF(NOT(ISNUMBER(G27)),"Date not added",IF(TODAY()&gt;G27,TODAY()-G27,G27-TODAY()&amp;" days left")))</f>
        <v/>
      </c>
      <c r="I27" s="36" t="n">
        <f aca="false">COUNTIF(M27,"Completed")+COUNTIF(Q27,"Completed")+COUNTIF(U27,"Completed")+COUNTIF(Y27,"Completed")+COUNTIF(AC27,"Completed")+COUNTIF(AG27,"Completed")+COUNTIF(AK27,"Completed")</f>
        <v>6</v>
      </c>
      <c r="J27" s="36" t="n">
        <f aca="false">7-(COUNTIF(M27,"NA")+COUNTIF(Q27,"NA")+COUNTIF(U27,"NA")+COUNTIF(Y27,"NA")+COUNTIF(AC27,"NA")+COUNTIF(AG27,"NA")+COUNTIF(AK27,"NA"))</f>
        <v>6</v>
      </c>
      <c r="K27" s="41" t="n">
        <f aca="false">IFERROR(I27/J27,"")</f>
        <v>1</v>
      </c>
      <c r="L27" s="37"/>
      <c r="M27" s="36" t="s">
        <v>48</v>
      </c>
      <c r="N27" s="42"/>
      <c r="O27" s="42"/>
      <c r="P27" s="37"/>
      <c r="Q27" s="36" t="s">
        <v>48</v>
      </c>
      <c r="R27" s="42"/>
      <c r="S27" s="42"/>
      <c r="T27" s="37"/>
      <c r="U27" s="36" t="s">
        <v>48</v>
      </c>
      <c r="V27" s="42"/>
      <c r="W27" s="42"/>
      <c r="X27" s="37" t="s">
        <v>111</v>
      </c>
      <c r="Y27" s="36" t="s">
        <v>48</v>
      </c>
      <c r="Z27" s="42" t="n">
        <v>46252</v>
      </c>
      <c r="AA27" s="42"/>
      <c r="AB27" s="37"/>
      <c r="AC27" s="36" t="s">
        <v>48</v>
      </c>
      <c r="AD27" s="42"/>
      <c r="AE27" s="42"/>
      <c r="AF27" s="37"/>
      <c r="AG27" s="36" t="s">
        <v>48</v>
      </c>
      <c r="AH27" s="42"/>
      <c r="AI27" s="42"/>
      <c r="AJ27" s="37"/>
      <c r="AK27" s="36" t="s">
        <v>53</v>
      </c>
      <c r="AL27" s="42"/>
      <c r="AM27" s="42"/>
      <c r="AN27" s="36" t="s">
        <v>69</v>
      </c>
      <c r="AO27" s="37"/>
      <c r="AP27" s="37"/>
      <c r="AQ27" s="43"/>
      <c r="AR27" s="44" t="str">
        <f aca="false">IF(AN27&lt;&gt;"Yes","",IF(AO27="","SELECT RE-ENTRY STAGE","MOVE TO ACTIVE at "&amp;AO27))</f>
        <v>SELECT RE-ENTRY STAGE</v>
      </c>
      <c r="AS27" s="37" t="n">
        <f aca="false">IF(AN27="Yes",COUNTIF($AN$6:AN27,"Yes"),"")</f>
        <v>1</v>
      </c>
      <c r="AT27" s="37"/>
      <c r="AU27" s="45" t="str">
        <f aca="false">IF(OR(F27="Completed",F27="Cancelled"),"",IF(AND(OR(F27="On Hold",ISNUMBER(H27)),AT27=""),"Reason not given",""))</f>
        <v/>
      </c>
      <c r="AV27" s="46"/>
      <c r="AW27" s="46" t="s">
        <v>241</v>
      </c>
    </row>
    <row r="28" customFormat="false" ht="30" hidden="false" customHeight="true" outlineLevel="0" collapsed="false">
      <c r="A28" s="25" t="n">
        <v>23</v>
      </c>
      <c r="B28" s="26" t="s">
        <v>95</v>
      </c>
      <c r="C28" s="27" t="s">
        <v>242</v>
      </c>
      <c r="D28" s="26" t="s">
        <v>243</v>
      </c>
      <c r="E28" s="25" t="str">
        <f aca="false">IF(NOT(OR(M28="Completed",M28="NA",M28="Cancelled")),"S1 Schematic",IF(NOT(OR(Q28="Completed",Q28="NA",Q28="Cancelled")),"S2 PCB Layout",IF(NOT(OR(U28="Completed",U28="NA",U28="Cancelled")),"S3 SI &amp; PI",IF(NOT(OR(Y28="Completed",Y28="NA",Y28="Cancelled")),"S4 Bare-PCB Fab",IF(NOT(OR(AC28="Completed",AC28="NA",AC28="Cancelled")),"S5 Assembly",IF(NOT(OR(AG28="Completed",AG28="NA",AG28="Cancelled")),"S6 Bring-up",IF(NOT(OR(AK28="Completed",AK28="NA",AK28="Cancelled")),"S7 BOM Procurement","All Stages Closed")))))))</f>
        <v>All Stages Closed</v>
      </c>
      <c r="F28" s="28" t="str">
        <f aca="false">IF(COUNTIF(M28,"Cancelled")+COUNTIF(Q28,"Cancelled")+COUNTIF(U28,"Cancelled")+COUNTIF(Y28,"Cancelled")+COUNTIF(AC28,"Cancelled")+COUNTIF(AG28,"Cancelled")+COUNTIF(AK28,"Cancelled")&gt;0,"Cancelled",IF(E28="All Stages Closed","Completed",IF(E28="S1 Schematic",M28,IF(E28="S2 PCB Layout",Q28,IF(E28="S3 SI &amp; PI",U28,IF(E28="S4 Bare-PCB Fab",Y28,IF(E28="S5 Assembly",AC28,IF(E28="S6 Bring-up",AG28,AK28))))))))</f>
        <v>Cancelled</v>
      </c>
      <c r="G28" s="29" t="str">
        <f aca="false">IF(E28="All Stages Closed","",IF(E28="S1 Schematic",IF(N28="","Not added",N28),IF(E28="S2 PCB Layout",IF(R28="","Not added",R28),IF(E28="S3 SI &amp; PI",IF(V28="","Not added",V28),IF(E28="S4 Bare-PCB Fab",IF(Z28="","Not added",Z28),IF(E28="S5 Assembly",IF(AD28="","Not added",AD28),IF(E28="S6 Bring-up",IF(AH28="","Not added",AH28),IF(AL28="","Not added",AL28))))))))</f>
        <v/>
      </c>
      <c r="H28" s="28" t="str">
        <f aca="true">IF(OR(F28="Completed",F28="Cancelled"),"",IF(NOT(ISNUMBER(G28)),"Date not added",IF(TODAY()&gt;G28,TODAY()-G28,G28-TODAY()&amp;" days left")))</f>
        <v/>
      </c>
      <c r="I28" s="25" t="n">
        <f aca="false">COUNTIF(M28,"Completed")+COUNTIF(Q28,"Completed")+COUNTIF(U28,"Completed")+COUNTIF(Y28,"Completed")+COUNTIF(AC28,"Completed")+COUNTIF(AG28,"Completed")+COUNTIF(AK28,"Completed")</f>
        <v>0</v>
      </c>
      <c r="J28" s="25" t="n">
        <f aca="false">7-(COUNTIF(M28,"NA")+COUNTIF(Q28,"NA")+COUNTIF(U28,"NA")+COUNTIF(Y28,"NA")+COUNTIF(AC28,"NA")+COUNTIF(AG28,"NA")+COUNTIF(AK28,"NA"))</f>
        <v>5</v>
      </c>
      <c r="K28" s="30" t="n">
        <f aca="false">IFERROR(I28/J28,"")</f>
        <v>0</v>
      </c>
      <c r="L28" s="26"/>
      <c r="M28" s="25" t="s">
        <v>52</v>
      </c>
      <c r="N28" s="31"/>
      <c r="O28" s="31"/>
      <c r="P28" s="26" t="s">
        <v>72</v>
      </c>
      <c r="Q28" s="25" t="s">
        <v>52</v>
      </c>
      <c r="R28" s="31"/>
      <c r="S28" s="31"/>
      <c r="T28" s="26"/>
      <c r="U28" s="25" t="s">
        <v>52</v>
      </c>
      <c r="V28" s="31"/>
      <c r="W28" s="31"/>
      <c r="X28" s="26"/>
      <c r="Y28" s="25" t="s">
        <v>52</v>
      </c>
      <c r="Z28" s="31"/>
      <c r="AA28" s="31"/>
      <c r="AB28" s="26"/>
      <c r="AC28" s="25" t="s">
        <v>52</v>
      </c>
      <c r="AD28" s="31"/>
      <c r="AE28" s="31"/>
      <c r="AF28" s="26"/>
      <c r="AG28" s="25" t="s">
        <v>53</v>
      </c>
      <c r="AH28" s="31"/>
      <c r="AI28" s="31"/>
      <c r="AJ28" s="26"/>
      <c r="AK28" s="25" t="s">
        <v>53</v>
      </c>
      <c r="AL28" s="31"/>
      <c r="AM28" s="31"/>
      <c r="AN28" s="25" t="s">
        <v>74</v>
      </c>
      <c r="AO28" s="26"/>
      <c r="AP28" s="26"/>
      <c r="AQ28" s="32"/>
      <c r="AR28" s="33" t="str">
        <f aca="false">IF(AN28&lt;&gt;"Yes","",IF(AO28="","SELECT RE-ENTRY STAGE","MOVE TO ACTIVE at "&amp;AO28))</f>
        <v/>
      </c>
      <c r="AS28" s="26" t="str">
        <f aca="false">IF(AN28="Yes",COUNTIF($AN$6:AN28,"Yes"),"")</f>
        <v/>
      </c>
      <c r="AT28" s="26"/>
      <c r="AU28" s="34" t="str">
        <f aca="false">IF(OR(F28="Completed",F28="Cancelled"),"",IF(AND(OR(F28="On Hold",ISNUMBER(H28)),AT28=""),"Reason not given",""))</f>
        <v/>
      </c>
      <c r="AV28" s="35" t="s">
        <v>244</v>
      </c>
      <c r="AW28" s="35"/>
    </row>
    <row r="29" customFormat="false" ht="30" hidden="false" customHeight="true" outlineLevel="0" collapsed="false">
      <c r="A29" s="36" t="n">
        <v>24</v>
      </c>
      <c r="B29" s="37" t="s">
        <v>99</v>
      </c>
      <c r="C29" s="38" t="s">
        <v>245</v>
      </c>
      <c r="D29" s="37" t="s">
        <v>72</v>
      </c>
      <c r="E29" s="36" t="str">
        <f aca="false">IF(NOT(OR(M29="Completed",M29="NA",M29="Cancelled")),"S1 Schematic",IF(NOT(OR(Q29="Completed",Q29="NA",Q29="Cancelled")),"S2 PCB Layout",IF(NOT(OR(U29="Completed",U29="NA",U29="Cancelled")),"S3 SI &amp; PI",IF(NOT(OR(Y29="Completed",Y29="NA",Y29="Cancelled")),"S4 Bare-PCB Fab",IF(NOT(OR(AC29="Completed",AC29="NA",AC29="Cancelled")),"S5 Assembly",IF(NOT(OR(AG29="Completed",AG29="NA",AG29="Cancelled")),"S6 Bring-up",IF(NOT(OR(AK29="Completed",AK29="NA",AK29="Cancelled")),"S7 BOM Procurement","All Stages Closed")))))))</f>
        <v>All Stages Closed</v>
      </c>
      <c r="F29" s="39" t="str">
        <f aca="false">IF(COUNTIF(M29,"Cancelled")+COUNTIF(Q29,"Cancelled")+COUNTIF(U29,"Cancelled")+COUNTIF(Y29,"Cancelled")+COUNTIF(AC29,"Cancelled")+COUNTIF(AG29,"Cancelled")+COUNTIF(AK29,"Cancelled")&gt;0,"Cancelled",IF(E29="All Stages Closed","Completed",IF(E29="S1 Schematic",M29,IF(E29="S2 PCB Layout",Q29,IF(E29="S3 SI &amp; PI",U29,IF(E29="S4 Bare-PCB Fab",Y29,IF(E29="S5 Assembly",AC29,IF(E29="S6 Bring-up",AG29,AK29))))))))</f>
        <v>Completed</v>
      </c>
      <c r="G29" s="40" t="str">
        <f aca="false">IF(E29="All Stages Closed","",IF(E29="S1 Schematic",IF(N29="","Not added",N29),IF(E29="S2 PCB Layout",IF(R29="","Not added",R29),IF(E29="S3 SI &amp; PI",IF(V29="","Not added",V29),IF(E29="S4 Bare-PCB Fab",IF(Z29="","Not added",Z29),IF(E29="S5 Assembly",IF(AD29="","Not added",AD29),IF(E29="S6 Bring-up",IF(AH29="","Not added",AH29),IF(AL29="","Not added",AL29))))))))</f>
        <v/>
      </c>
      <c r="H29" s="39" t="str">
        <f aca="true">IF(OR(F29="Completed",F29="Cancelled"),"",IF(NOT(ISNUMBER(G29)),"Date not added",IF(TODAY()&gt;G29,TODAY()-G29,G29-TODAY()&amp;" days left")))</f>
        <v/>
      </c>
      <c r="I29" s="36" t="n">
        <f aca="false">COUNTIF(M29,"Completed")+COUNTIF(Q29,"Completed")+COUNTIF(U29,"Completed")+COUNTIF(Y29,"Completed")+COUNTIF(AC29,"Completed")+COUNTIF(AG29,"Completed")+COUNTIF(AK29,"Completed")</f>
        <v>1</v>
      </c>
      <c r="J29" s="36" t="n">
        <f aca="false">7-(COUNTIF(M29,"NA")+COUNTIF(Q29,"NA")+COUNTIF(U29,"NA")+COUNTIF(Y29,"NA")+COUNTIF(AC29,"NA")+COUNTIF(AG29,"NA")+COUNTIF(AK29,"NA"))</f>
        <v>1</v>
      </c>
      <c r="K29" s="41" t="n">
        <f aca="false">IFERROR(I29/J29,"")</f>
        <v>1</v>
      </c>
      <c r="L29" s="37"/>
      <c r="M29" s="36" t="s">
        <v>53</v>
      </c>
      <c r="N29" s="42"/>
      <c r="O29" s="42"/>
      <c r="P29" s="37"/>
      <c r="Q29" s="36" t="s">
        <v>53</v>
      </c>
      <c r="R29" s="42"/>
      <c r="S29" s="42"/>
      <c r="T29" s="37"/>
      <c r="U29" s="36" t="s">
        <v>53</v>
      </c>
      <c r="V29" s="42"/>
      <c r="W29" s="42"/>
      <c r="X29" s="37"/>
      <c r="Y29" s="36" t="s">
        <v>53</v>
      </c>
      <c r="Z29" s="42"/>
      <c r="AA29" s="42"/>
      <c r="AB29" s="37"/>
      <c r="AC29" s="36" t="s">
        <v>53</v>
      </c>
      <c r="AD29" s="42"/>
      <c r="AE29" s="42"/>
      <c r="AF29" s="37"/>
      <c r="AG29" s="36" t="s">
        <v>53</v>
      </c>
      <c r="AH29" s="42"/>
      <c r="AI29" s="42"/>
      <c r="AJ29" s="37"/>
      <c r="AK29" s="36" t="s">
        <v>48</v>
      </c>
      <c r="AL29" s="42"/>
      <c r="AM29" s="42"/>
      <c r="AN29" s="36" t="s">
        <v>74</v>
      </c>
      <c r="AO29" s="37"/>
      <c r="AP29" s="37"/>
      <c r="AQ29" s="43"/>
      <c r="AR29" s="44" t="str">
        <f aca="false">IF(AN29&lt;&gt;"Yes","",IF(AO29="","SELECT RE-ENTRY STAGE","MOVE TO ACTIVE at "&amp;AO29))</f>
        <v/>
      </c>
      <c r="AS29" s="37" t="str">
        <f aca="false">IF(AN29="Yes",COUNTIF($AN$6:AN29,"Yes"),"")</f>
        <v/>
      </c>
      <c r="AT29" s="37"/>
      <c r="AU29" s="45" t="str">
        <f aca="false">IF(OR(F29="Completed",F29="Cancelled"),"",IF(AND(OR(F29="On Hold",ISNUMBER(H29)),AT29=""),"Reason not given",""))</f>
        <v/>
      </c>
      <c r="AV29" s="46"/>
      <c r="AW29" s="46"/>
    </row>
    <row r="30" customFormat="false" ht="30" hidden="false" customHeight="true" outlineLevel="0" collapsed="false">
      <c r="A30" s="25" t="n">
        <v>25</v>
      </c>
      <c r="B30" s="26" t="s">
        <v>102</v>
      </c>
      <c r="C30" s="27" t="s">
        <v>246</v>
      </c>
      <c r="D30" s="26" t="s">
        <v>247</v>
      </c>
      <c r="E30" s="25" t="str">
        <f aca="false">IF(NOT(OR(M30="Completed",M30="NA",M30="Cancelled")),"S1 Schematic",IF(NOT(OR(Q30="Completed",Q30="NA",Q30="Cancelled")),"S2 PCB Layout",IF(NOT(OR(U30="Completed",U30="NA",U30="Cancelled")),"S3 SI &amp; PI",IF(NOT(OR(Y30="Completed",Y30="NA",Y30="Cancelled")),"S4 Bare-PCB Fab",IF(NOT(OR(AC30="Completed",AC30="NA",AC30="Cancelled")),"S5 Assembly",IF(NOT(OR(AG30="Completed",AG30="NA",AG30="Cancelled")),"S6 Bring-up",IF(NOT(OR(AK30="Completed",AK30="NA",AK30="Cancelled")),"S7 BOM Procurement","All Stages Closed")))))))</f>
        <v>All Stages Closed</v>
      </c>
      <c r="F30" s="28" t="str">
        <f aca="false">IF(COUNTIF(M30,"Cancelled")+COUNTIF(Q30,"Cancelled")+COUNTIF(U30,"Cancelled")+COUNTIF(Y30,"Cancelled")+COUNTIF(AC30,"Cancelled")+COUNTIF(AG30,"Cancelled")+COUNTIF(AK30,"Cancelled")&gt;0,"Cancelled",IF(E30="All Stages Closed","Completed",IF(E30="S1 Schematic",M30,IF(E30="S2 PCB Layout",Q30,IF(E30="S3 SI &amp; PI",U30,IF(E30="S4 Bare-PCB Fab",Y30,IF(E30="S5 Assembly",AC30,IF(E30="S6 Bring-up",AG30,AK30))))))))</f>
        <v>Completed</v>
      </c>
      <c r="G30" s="29" t="str">
        <f aca="false">IF(E30="All Stages Closed","",IF(E30="S1 Schematic",IF(N30="","Not added",N30),IF(E30="S2 PCB Layout",IF(R30="","Not added",R30),IF(E30="S3 SI &amp; PI",IF(V30="","Not added",V30),IF(E30="S4 Bare-PCB Fab",IF(Z30="","Not added",Z30),IF(E30="S5 Assembly",IF(AD30="","Not added",AD30),IF(E30="S6 Bring-up",IF(AH30="","Not added",AH30),IF(AL30="","Not added",AL30))))))))</f>
        <v/>
      </c>
      <c r="H30" s="28" t="str">
        <f aca="true">IF(OR(F30="Completed",F30="Cancelled"),"",IF(NOT(ISNUMBER(G30)),"Date not added",IF(TODAY()&gt;G30,TODAY()-G30,G30-TODAY()&amp;" days left")))</f>
        <v/>
      </c>
      <c r="I30" s="25" t="n">
        <f aca="false">COUNTIF(M30,"Completed")+COUNTIF(Q30,"Completed")+COUNTIF(U30,"Completed")+COUNTIF(Y30,"Completed")+COUNTIF(AC30,"Completed")+COUNTIF(AG30,"Completed")+COUNTIF(AK30,"Completed")</f>
        <v>2</v>
      </c>
      <c r="J30" s="25" t="n">
        <f aca="false">7-(COUNTIF(M30,"NA")+COUNTIF(Q30,"NA")+COUNTIF(U30,"NA")+COUNTIF(Y30,"NA")+COUNTIF(AC30,"NA")+COUNTIF(AG30,"NA")+COUNTIF(AK30,"NA"))</f>
        <v>2</v>
      </c>
      <c r="K30" s="30" t="n">
        <f aca="false">IFERROR(I30/J30,"")</f>
        <v>1</v>
      </c>
      <c r="L30" s="26" t="s">
        <v>101</v>
      </c>
      <c r="M30" s="25" t="s">
        <v>48</v>
      </c>
      <c r="N30" s="31"/>
      <c r="O30" s="31"/>
      <c r="P30" s="26" t="s">
        <v>103</v>
      </c>
      <c r="Q30" s="25" t="s">
        <v>48</v>
      </c>
      <c r="R30" s="31" t="n">
        <v>46245</v>
      </c>
      <c r="S30" s="31"/>
      <c r="T30" s="26"/>
      <c r="U30" s="25" t="s">
        <v>53</v>
      </c>
      <c r="V30" s="31"/>
      <c r="W30" s="31"/>
      <c r="X30" s="26"/>
      <c r="Y30" s="25" t="s">
        <v>53</v>
      </c>
      <c r="Z30" s="31"/>
      <c r="AA30" s="31"/>
      <c r="AB30" s="26"/>
      <c r="AC30" s="25" t="s">
        <v>53</v>
      </c>
      <c r="AD30" s="31"/>
      <c r="AE30" s="31"/>
      <c r="AF30" s="26"/>
      <c r="AG30" s="25" t="s">
        <v>53</v>
      </c>
      <c r="AH30" s="31"/>
      <c r="AI30" s="31"/>
      <c r="AJ30" s="26"/>
      <c r="AK30" s="25" t="s">
        <v>53</v>
      </c>
      <c r="AL30" s="31"/>
      <c r="AM30" s="31"/>
      <c r="AN30" s="25" t="s">
        <v>74</v>
      </c>
      <c r="AO30" s="26"/>
      <c r="AP30" s="26"/>
      <c r="AQ30" s="32"/>
      <c r="AR30" s="33" t="str">
        <f aca="false">IF(AN30&lt;&gt;"Yes","",IF(AO30="","SELECT RE-ENTRY STAGE","MOVE TO ACTIVE at "&amp;AO30))</f>
        <v/>
      </c>
      <c r="AS30" s="26" t="str">
        <f aca="false">IF(AN30="Yes",COUNTIF($AN$6:AN30,"Yes"),"")</f>
        <v/>
      </c>
      <c r="AT30" s="26"/>
      <c r="AU30" s="34" t="str">
        <f aca="false">IF(OR(F30="Completed",F30="Cancelled"),"",IF(AND(OR(F30="On Hold",ISNUMBER(H30)),AT30=""),"Reason not given",""))</f>
        <v/>
      </c>
      <c r="AV30" s="35" t="s">
        <v>233</v>
      </c>
      <c r="AW30" s="35" t="s">
        <v>248</v>
      </c>
    </row>
    <row r="31" customFormat="false" ht="30" hidden="false" customHeight="true" outlineLevel="0" collapsed="false">
      <c r="A31" s="25" t="n">
        <v>26</v>
      </c>
      <c r="B31" s="26" t="s">
        <v>102</v>
      </c>
      <c r="C31" s="27" t="s">
        <v>249</v>
      </c>
      <c r="D31" s="26" t="s">
        <v>162</v>
      </c>
      <c r="E31" s="25" t="str">
        <f aca="false">IF(NOT(OR(M31="Completed",M31="NA",M31="Cancelled")),"S1 Schematic",IF(NOT(OR(Q31="Completed",Q31="NA",Q31="Cancelled")),"S2 PCB Layout",IF(NOT(OR(U31="Completed",U31="NA",U31="Cancelled")),"S3 SI &amp; PI",IF(NOT(OR(Y31="Completed",Y31="NA",Y31="Cancelled")),"S4 Bare-PCB Fab",IF(NOT(OR(AC31="Completed",AC31="NA",AC31="Cancelled")),"S5 Assembly",IF(NOT(OR(AG31="Completed",AG31="NA",AG31="Cancelled")),"S6 Bring-up",IF(NOT(OR(AK31="Completed",AK31="NA",AK31="Cancelled")),"S7 BOM Procurement","All Stages Closed")))))))</f>
        <v>All Stages Closed</v>
      </c>
      <c r="F31" s="28" t="str">
        <f aca="false">IF(COUNTIF(M31,"Cancelled")+COUNTIF(Q31,"Cancelled")+COUNTIF(U31,"Cancelled")+COUNTIF(Y31,"Cancelled")+COUNTIF(AC31,"Cancelled")+COUNTIF(AG31,"Cancelled")+COUNTIF(AK31,"Cancelled")&gt;0,"Cancelled",IF(E31="All Stages Closed","Completed",IF(E31="S1 Schematic",M31,IF(E31="S2 PCB Layout",Q31,IF(E31="S3 SI &amp; PI",U31,IF(E31="S4 Bare-PCB Fab",Y31,IF(E31="S5 Assembly",AC31,IF(E31="S6 Bring-up",AG31,AK31))))))))</f>
        <v>Completed</v>
      </c>
      <c r="G31" s="29" t="str">
        <f aca="false">IF(E31="All Stages Closed","",IF(E31="S1 Schematic",IF(N31="","Not added",N31),IF(E31="S2 PCB Layout",IF(R31="","Not added",R31),IF(E31="S3 SI &amp; PI",IF(V31="","Not added",V31),IF(E31="S4 Bare-PCB Fab",IF(Z31="","Not added",Z31),IF(E31="S5 Assembly",IF(AD31="","Not added",AD31),IF(E31="S6 Bring-up",IF(AH31="","Not added",AH31),IF(AL31="","Not added",AL31))))))))</f>
        <v/>
      </c>
      <c r="H31" s="28" t="str">
        <f aca="true">IF(OR(F31="Completed",F31="Cancelled"),"",IF(NOT(ISNUMBER(G31)),"Date not added",IF(TODAY()&gt;G31,TODAY()-G31,G31-TODAY()&amp;" days left")))</f>
        <v/>
      </c>
      <c r="I31" s="25" t="n">
        <f aca="false">COUNTIF(M31,"Completed")+COUNTIF(Q31,"Completed")+COUNTIF(U31,"Completed")+COUNTIF(Y31,"Completed")+COUNTIF(AC31,"Completed")+COUNTIF(AG31,"Completed")+COUNTIF(AK31,"Completed")</f>
        <v>5</v>
      </c>
      <c r="J31" s="25" t="n">
        <f aca="false">7-(COUNTIF(M31,"NA")+COUNTIF(Q31,"NA")+COUNTIF(U31,"NA")+COUNTIF(Y31,"NA")+COUNTIF(AC31,"NA")+COUNTIF(AG31,"NA")+COUNTIF(AK31,"NA"))</f>
        <v>5</v>
      </c>
      <c r="K31" s="30" t="n">
        <f aca="false">IFERROR(I31/J31,"")</f>
        <v>1</v>
      </c>
      <c r="L31" s="26" t="s">
        <v>101</v>
      </c>
      <c r="M31" s="25" t="s">
        <v>48</v>
      </c>
      <c r="N31" s="31" t="n">
        <v>46254</v>
      </c>
      <c r="O31" s="31"/>
      <c r="P31" s="26"/>
      <c r="Q31" s="25" t="s">
        <v>48</v>
      </c>
      <c r="R31" s="31"/>
      <c r="S31" s="31"/>
      <c r="T31" s="26"/>
      <c r="U31" s="25" t="s">
        <v>48</v>
      </c>
      <c r="V31" s="31"/>
      <c r="W31" s="31"/>
      <c r="X31" s="26"/>
      <c r="Y31" s="25" t="s">
        <v>48</v>
      </c>
      <c r="Z31" s="31"/>
      <c r="AA31" s="31"/>
      <c r="AB31" s="26"/>
      <c r="AC31" s="25" t="s">
        <v>48</v>
      </c>
      <c r="AD31" s="31"/>
      <c r="AE31" s="31"/>
      <c r="AF31" s="26"/>
      <c r="AG31" s="25" t="s">
        <v>53</v>
      </c>
      <c r="AH31" s="31"/>
      <c r="AI31" s="31"/>
      <c r="AJ31" s="26"/>
      <c r="AK31" s="25" t="s">
        <v>53</v>
      </c>
      <c r="AL31" s="31"/>
      <c r="AM31" s="31"/>
      <c r="AN31" s="25" t="s">
        <v>74</v>
      </c>
      <c r="AO31" s="26"/>
      <c r="AP31" s="26"/>
      <c r="AQ31" s="32"/>
      <c r="AR31" s="33" t="str">
        <f aca="false">IF(AN31&lt;&gt;"Yes","",IF(AO31="","SELECT RE-ENTRY STAGE","MOVE TO ACTIVE at "&amp;AO31))</f>
        <v/>
      </c>
      <c r="AS31" s="26" t="str">
        <f aca="false">IF(AN31="Yes",COUNTIF($AN$6:AN31,"Yes"),"")</f>
        <v/>
      </c>
      <c r="AT31" s="26"/>
      <c r="AU31" s="34" t="str">
        <f aca="false">IF(OR(F31="Completed",F31="Cancelled"),"",IF(AND(OR(F31="On Hold",ISNUMBER(H31)),AT31=""),"Reason not given",""))</f>
        <v/>
      </c>
      <c r="AV31" s="35"/>
      <c r="AW31" s="35"/>
    </row>
    <row r="32" customFormat="false" ht="30" hidden="false" customHeight="true" outlineLevel="0" collapsed="false">
      <c r="A32" s="25" t="n">
        <v>27</v>
      </c>
      <c r="B32" s="26" t="s">
        <v>102</v>
      </c>
      <c r="C32" s="27" t="s">
        <v>250</v>
      </c>
      <c r="D32" s="26" t="s">
        <v>162</v>
      </c>
      <c r="E32" s="25" t="str">
        <f aca="false">IF(NOT(OR(M32="Completed",M32="NA",M32="Cancelled")),"S1 Schematic",IF(NOT(OR(Q32="Completed",Q32="NA",Q32="Cancelled")),"S2 PCB Layout",IF(NOT(OR(U32="Completed",U32="NA",U32="Cancelled")),"S3 SI &amp; PI",IF(NOT(OR(Y32="Completed",Y32="NA",Y32="Cancelled")),"S4 Bare-PCB Fab",IF(NOT(OR(AC32="Completed",AC32="NA",AC32="Cancelled")),"S5 Assembly",IF(NOT(OR(AG32="Completed",AG32="NA",AG32="Cancelled")),"S6 Bring-up",IF(NOT(OR(AK32="Completed",AK32="NA",AK32="Cancelled")),"S7 BOM Procurement","All Stages Closed")))))))</f>
        <v>All Stages Closed</v>
      </c>
      <c r="F32" s="28" t="str">
        <f aca="false">IF(COUNTIF(M32,"Cancelled")+COUNTIF(Q32,"Cancelled")+COUNTIF(U32,"Cancelled")+COUNTIF(Y32,"Cancelled")+COUNTIF(AC32,"Cancelled")+COUNTIF(AG32,"Cancelled")+COUNTIF(AK32,"Cancelled")&gt;0,"Cancelled",IF(E32="All Stages Closed","Completed",IF(E32="S1 Schematic",M32,IF(E32="S2 PCB Layout",Q32,IF(E32="S3 SI &amp; PI",U32,IF(E32="S4 Bare-PCB Fab",Y32,IF(E32="S5 Assembly",AC32,IF(E32="S6 Bring-up",AG32,AK32))))))))</f>
        <v>Completed</v>
      </c>
      <c r="G32" s="29" t="str">
        <f aca="false">IF(E32="All Stages Closed","",IF(E32="S1 Schematic",IF(N32="","Not added",N32),IF(E32="S2 PCB Layout",IF(R32="","Not added",R32),IF(E32="S3 SI &amp; PI",IF(V32="","Not added",V32),IF(E32="S4 Bare-PCB Fab",IF(Z32="","Not added",Z32),IF(E32="S5 Assembly",IF(AD32="","Not added",AD32),IF(E32="S6 Bring-up",IF(AH32="","Not added",AH32),IF(AL32="","Not added",AL32))))))))</f>
        <v/>
      </c>
      <c r="H32" s="28" t="str">
        <f aca="true">IF(OR(F32="Completed",F32="Cancelled"),"",IF(NOT(ISNUMBER(G32)),"Date not added",IF(TODAY()&gt;G32,TODAY()-G32,G32-TODAY()&amp;" days left")))</f>
        <v/>
      </c>
      <c r="I32" s="25" t="n">
        <f aca="false">COUNTIF(M32,"Completed")+COUNTIF(Q32,"Completed")+COUNTIF(U32,"Completed")+COUNTIF(Y32,"Completed")+COUNTIF(AC32,"Completed")+COUNTIF(AG32,"Completed")+COUNTIF(AK32,"Completed")</f>
        <v>5</v>
      </c>
      <c r="J32" s="25" t="n">
        <f aca="false">7-(COUNTIF(M32,"NA")+COUNTIF(Q32,"NA")+COUNTIF(U32,"NA")+COUNTIF(Y32,"NA")+COUNTIF(AC32,"NA")+COUNTIF(AG32,"NA")+COUNTIF(AK32,"NA"))</f>
        <v>5</v>
      </c>
      <c r="K32" s="30" t="n">
        <f aca="false">IFERROR(I32/J32,"")</f>
        <v>1</v>
      </c>
      <c r="L32" s="26" t="s">
        <v>101</v>
      </c>
      <c r="M32" s="25" t="s">
        <v>48</v>
      </c>
      <c r="N32" s="31" t="n">
        <v>46254</v>
      </c>
      <c r="O32" s="31"/>
      <c r="P32" s="26"/>
      <c r="Q32" s="25" t="s">
        <v>48</v>
      </c>
      <c r="R32" s="31"/>
      <c r="S32" s="31"/>
      <c r="T32" s="26"/>
      <c r="U32" s="25" t="s">
        <v>48</v>
      </c>
      <c r="V32" s="31"/>
      <c r="W32" s="31"/>
      <c r="X32" s="26"/>
      <c r="Y32" s="25" t="s">
        <v>48</v>
      </c>
      <c r="Z32" s="31"/>
      <c r="AA32" s="31"/>
      <c r="AB32" s="26"/>
      <c r="AC32" s="25" t="s">
        <v>48</v>
      </c>
      <c r="AD32" s="31"/>
      <c r="AE32" s="31"/>
      <c r="AF32" s="26"/>
      <c r="AG32" s="25" t="s">
        <v>53</v>
      </c>
      <c r="AH32" s="31"/>
      <c r="AI32" s="31"/>
      <c r="AJ32" s="26"/>
      <c r="AK32" s="25" t="s">
        <v>53</v>
      </c>
      <c r="AL32" s="31"/>
      <c r="AM32" s="31"/>
      <c r="AN32" s="25" t="s">
        <v>74</v>
      </c>
      <c r="AO32" s="26"/>
      <c r="AP32" s="26"/>
      <c r="AQ32" s="32"/>
      <c r="AR32" s="33" t="str">
        <f aca="false">IF(AN32&lt;&gt;"Yes","",IF(AO32="","SELECT RE-ENTRY STAGE","MOVE TO ACTIVE at "&amp;AO32))</f>
        <v/>
      </c>
      <c r="AS32" s="26" t="str">
        <f aca="false">IF(AN32="Yes",COUNTIF($AN$6:AN32,"Yes"),"")</f>
        <v/>
      </c>
      <c r="AT32" s="26"/>
      <c r="AU32" s="34" t="str">
        <f aca="false">IF(OR(F32="Completed",F32="Cancelled"),"",IF(AND(OR(F32="On Hold",ISNUMBER(H32)),AT32=""),"Reason not given",""))</f>
        <v/>
      </c>
      <c r="AV32" s="35"/>
      <c r="AW32" s="35"/>
    </row>
    <row r="33" customFormat="false" ht="30" hidden="false" customHeight="true" outlineLevel="0" collapsed="false">
      <c r="A33" s="25" t="n">
        <v>28</v>
      </c>
      <c r="B33" s="26" t="s">
        <v>102</v>
      </c>
      <c r="C33" s="27" t="s">
        <v>251</v>
      </c>
      <c r="D33" s="26" t="s">
        <v>162</v>
      </c>
      <c r="E33" s="25" t="str">
        <f aca="false">IF(NOT(OR(M33="Completed",M33="NA",M33="Cancelled")),"S1 Schematic",IF(NOT(OR(Q33="Completed",Q33="NA",Q33="Cancelled")),"S2 PCB Layout",IF(NOT(OR(U33="Completed",U33="NA",U33="Cancelled")),"S3 SI &amp; PI",IF(NOT(OR(Y33="Completed",Y33="NA",Y33="Cancelled")),"S4 Bare-PCB Fab",IF(NOT(OR(AC33="Completed",AC33="NA",AC33="Cancelled")),"S5 Assembly",IF(NOT(OR(AG33="Completed",AG33="NA",AG33="Cancelled")),"S6 Bring-up",IF(NOT(OR(AK33="Completed",AK33="NA",AK33="Cancelled")),"S7 BOM Procurement","All Stages Closed")))))))</f>
        <v>All Stages Closed</v>
      </c>
      <c r="F33" s="28" t="str">
        <f aca="false">IF(COUNTIF(M33,"Cancelled")+COUNTIF(Q33,"Cancelled")+COUNTIF(U33,"Cancelled")+COUNTIF(Y33,"Cancelled")+COUNTIF(AC33,"Cancelled")+COUNTIF(AG33,"Cancelled")+COUNTIF(AK33,"Cancelled")&gt;0,"Cancelled",IF(E33="All Stages Closed","Completed",IF(E33="S1 Schematic",M33,IF(E33="S2 PCB Layout",Q33,IF(E33="S3 SI &amp; PI",U33,IF(E33="S4 Bare-PCB Fab",Y33,IF(E33="S5 Assembly",AC33,IF(E33="S6 Bring-up",AG33,AK33))))))))</f>
        <v>Completed</v>
      </c>
      <c r="G33" s="29" t="str">
        <f aca="false">IF(E33="All Stages Closed","",IF(E33="S1 Schematic",IF(N33="","Not added",N33),IF(E33="S2 PCB Layout",IF(R33="","Not added",R33),IF(E33="S3 SI &amp; PI",IF(V33="","Not added",V33),IF(E33="S4 Bare-PCB Fab",IF(Z33="","Not added",Z33),IF(E33="S5 Assembly",IF(AD33="","Not added",AD33),IF(E33="S6 Bring-up",IF(AH33="","Not added",AH33),IF(AL33="","Not added",AL33))))))))</f>
        <v/>
      </c>
      <c r="H33" s="28" t="str">
        <f aca="true">IF(OR(F33="Completed",F33="Cancelled"),"",IF(NOT(ISNUMBER(G33)),"Date not added",IF(TODAY()&gt;G33,TODAY()-G33,G33-TODAY()&amp;" days left")))</f>
        <v/>
      </c>
      <c r="I33" s="25" t="n">
        <f aca="false">COUNTIF(M33,"Completed")+COUNTIF(Q33,"Completed")+COUNTIF(U33,"Completed")+COUNTIF(Y33,"Completed")+COUNTIF(AC33,"Completed")+COUNTIF(AG33,"Completed")+COUNTIF(AK33,"Completed")</f>
        <v>5</v>
      </c>
      <c r="J33" s="25" t="n">
        <f aca="false">7-(COUNTIF(M33,"NA")+COUNTIF(Q33,"NA")+COUNTIF(U33,"NA")+COUNTIF(Y33,"NA")+COUNTIF(AC33,"NA")+COUNTIF(AG33,"NA")+COUNTIF(AK33,"NA"))</f>
        <v>5</v>
      </c>
      <c r="K33" s="30" t="n">
        <f aca="false">IFERROR(I33/J33,"")</f>
        <v>1</v>
      </c>
      <c r="L33" s="26" t="s">
        <v>101</v>
      </c>
      <c r="M33" s="25" t="s">
        <v>48</v>
      </c>
      <c r="N33" s="31" t="n">
        <v>46254</v>
      </c>
      <c r="O33" s="31"/>
      <c r="P33" s="26"/>
      <c r="Q33" s="25" t="s">
        <v>48</v>
      </c>
      <c r="R33" s="31"/>
      <c r="S33" s="31"/>
      <c r="T33" s="26"/>
      <c r="U33" s="25" t="s">
        <v>48</v>
      </c>
      <c r="V33" s="31"/>
      <c r="W33" s="31"/>
      <c r="X33" s="26"/>
      <c r="Y33" s="25" t="s">
        <v>48</v>
      </c>
      <c r="Z33" s="31"/>
      <c r="AA33" s="31"/>
      <c r="AB33" s="26"/>
      <c r="AC33" s="25" t="s">
        <v>48</v>
      </c>
      <c r="AD33" s="31"/>
      <c r="AE33" s="31"/>
      <c r="AF33" s="26"/>
      <c r="AG33" s="25" t="s">
        <v>53</v>
      </c>
      <c r="AH33" s="31"/>
      <c r="AI33" s="31"/>
      <c r="AJ33" s="26"/>
      <c r="AK33" s="25" t="s">
        <v>53</v>
      </c>
      <c r="AL33" s="31"/>
      <c r="AM33" s="31"/>
      <c r="AN33" s="25" t="s">
        <v>74</v>
      </c>
      <c r="AO33" s="26"/>
      <c r="AP33" s="26"/>
      <c r="AQ33" s="32"/>
      <c r="AR33" s="33" t="str">
        <f aca="false">IF(AN33&lt;&gt;"Yes","",IF(AO33="","SELECT RE-ENTRY STAGE","MOVE TO ACTIVE at "&amp;AO33))</f>
        <v/>
      </c>
      <c r="AS33" s="26" t="str">
        <f aca="false">IF(AN33="Yes",COUNTIF($AN$6:AN33,"Yes"),"")</f>
        <v/>
      </c>
      <c r="AT33" s="26"/>
      <c r="AU33" s="34" t="str">
        <f aca="false">IF(OR(F33="Completed",F33="Cancelled"),"",IF(AND(OR(F33="On Hold",ISNUMBER(H33)),AT33=""),"Reason not given",""))</f>
        <v/>
      </c>
      <c r="AV33" s="35"/>
      <c r="AW33" s="35"/>
    </row>
    <row r="34" customFormat="false" ht="30" hidden="false" customHeight="true" outlineLevel="0" collapsed="false">
      <c r="A34" s="25" t="n">
        <v>29</v>
      </c>
      <c r="B34" s="26" t="s">
        <v>102</v>
      </c>
      <c r="C34" s="27" t="s">
        <v>252</v>
      </c>
      <c r="D34" s="26" t="s">
        <v>162</v>
      </c>
      <c r="E34" s="25" t="str">
        <f aca="false">IF(NOT(OR(M34="Completed",M34="NA",M34="Cancelled")),"S1 Schematic",IF(NOT(OR(Q34="Completed",Q34="NA",Q34="Cancelled")),"S2 PCB Layout",IF(NOT(OR(U34="Completed",U34="NA",U34="Cancelled")),"S3 SI &amp; PI",IF(NOT(OR(Y34="Completed",Y34="NA",Y34="Cancelled")),"S4 Bare-PCB Fab",IF(NOT(OR(AC34="Completed",AC34="NA",AC34="Cancelled")),"S5 Assembly",IF(NOT(OR(AG34="Completed",AG34="NA",AG34="Cancelled")),"S6 Bring-up",IF(NOT(OR(AK34="Completed",AK34="NA",AK34="Cancelled")),"S7 BOM Procurement","All Stages Closed")))))))</f>
        <v>All Stages Closed</v>
      </c>
      <c r="F34" s="28" t="str">
        <f aca="false">IF(COUNTIF(M34,"Cancelled")+COUNTIF(Q34,"Cancelled")+COUNTIF(U34,"Cancelled")+COUNTIF(Y34,"Cancelled")+COUNTIF(AC34,"Cancelled")+COUNTIF(AG34,"Cancelled")+COUNTIF(AK34,"Cancelled")&gt;0,"Cancelled",IF(E34="All Stages Closed","Completed",IF(E34="S1 Schematic",M34,IF(E34="S2 PCB Layout",Q34,IF(E34="S3 SI &amp; PI",U34,IF(E34="S4 Bare-PCB Fab",Y34,IF(E34="S5 Assembly",AC34,IF(E34="S6 Bring-up",AG34,AK34))))))))</f>
        <v>Completed</v>
      </c>
      <c r="G34" s="29" t="str">
        <f aca="false">IF(E34="All Stages Closed","",IF(E34="S1 Schematic",IF(N34="","Not added",N34),IF(E34="S2 PCB Layout",IF(R34="","Not added",R34),IF(E34="S3 SI &amp; PI",IF(V34="","Not added",V34),IF(E34="S4 Bare-PCB Fab",IF(Z34="","Not added",Z34),IF(E34="S5 Assembly",IF(AD34="","Not added",AD34),IF(E34="S6 Bring-up",IF(AH34="","Not added",AH34),IF(AL34="","Not added",AL34))))))))</f>
        <v/>
      </c>
      <c r="H34" s="28" t="str">
        <f aca="true">IF(OR(F34="Completed",F34="Cancelled"),"",IF(NOT(ISNUMBER(G34)),"Date not added",IF(TODAY()&gt;G34,TODAY()-G34,G34-TODAY()&amp;" days left")))</f>
        <v/>
      </c>
      <c r="I34" s="25" t="n">
        <f aca="false">COUNTIF(M34,"Completed")+COUNTIF(Q34,"Completed")+COUNTIF(U34,"Completed")+COUNTIF(Y34,"Completed")+COUNTIF(AC34,"Completed")+COUNTIF(AG34,"Completed")+COUNTIF(AK34,"Completed")</f>
        <v>5</v>
      </c>
      <c r="J34" s="25" t="n">
        <f aca="false">7-(COUNTIF(M34,"NA")+COUNTIF(Q34,"NA")+COUNTIF(U34,"NA")+COUNTIF(Y34,"NA")+COUNTIF(AC34,"NA")+COUNTIF(AG34,"NA")+COUNTIF(AK34,"NA"))</f>
        <v>5</v>
      </c>
      <c r="K34" s="30" t="n">
        <f aca="false">IFERROR(I34/J34,"")</f>
        <v>1</v>
      </c>
      <c r="L34" s="26" t="s">
        <v>101</v>
      </c>
      <c r="M34" s="25" t="s">
        <v>48</v>
      </c>
      <c r="N34" s="31" t="n">
        <v>46254</v>
      </c>
      <c r="O34" s="31"/>
      <c r="P34" s="26"/>
      <c r="Q34" s="25" t="s">
        <v>48</v>
      </c>
      <c r="R34" s="31"/>
      <c r="S34" s="31"/>
      <c r="T34" s="26"/>
      <c r="U34" s="25" t="s">
        <v>48</v>
      </c>
      <c r="V34" s="31"/>
      <c r="W34" s="31"/>
      <c r="X34" s="26"/>
      <c r="Y34" s="25" t="s">
        <v>48</v>
      </c>
      <c r="Z34" s="31"/>
      <c r="AA34" s="31"/>
      <c r="AB34" s="26"/>
      <c r="AC34" s="25" t="s">
        <v>48</v>
      </c>
      <c r="AD34" s="31"/>
      <c r="AE34" s="31"/>
      <c r="AF34" s="26"/>
      <c r="AG34" s="25" t="s">
        <v>53</v>
      </c>
      <c r="AH34" s="31"/>
      <c r="AI34" s="31"/>
      <c r="AJ34" s="26"/>
      <c r="AK34" s="25" t="s">
        <v>53</v>
      </c>
      <c r="AL34" s="31"/>
      <c r="AM34" s="31"/>
      <c r="AN34" s="25" t="s">
        <v>74</v>
      </c>
      <c r="AO34" s="26"/>
      <c r="AP34" s="26"/>
      <c r="AQ34" s="32"/>
      <c r="AR34" s="33" t="str">
        <f aca="false">IF(AN34&lt;&gt;"Yes","",IF(AO34="","SELECT RE-ENTRY STAGE","MOVE TO ACTIVE at "&amp;AO34))</f>
        <v/>
      </c>
      <c r="AS34" s="26" t="str">
        <f aca="false">IF(AN34="Yes",COUNTIF($AN$6:AN34,"Yes"),"")</f>
        <v/>
      </c>
      <c r="AT34" s="26"/>
      <c r="AU34" s="34" t="str">
        <f aca="false">IF(OR(F34="Completed",F34="Cancelled"),"",IF(AND(OR(F34="On Hold",ISNUMBER(H34)),AT34=""),"Reason not given",""))</f>
        <v/>
      </c>
      <c r="AV34" s="35" t="s">
        <v>209</v>
      </c>
      <c r="AW34" s="35"/>
    </row>
    <row r="35" customFormat="false" ht="30" hidden="false" customHeight="true" outlineLevel="0" collapsed="false">
      <c r="A35" s="25" t="n">
        <v>30</v>
      </c>
      <c r="B35" s="26" t="s">
        <v>102</v>
      </c>
      <c r="C35" s="27" t="s">
        <v>253</v>
      </c>
      <c r="D35" s="26" t="s">
        <v>162</v>
      </c>
      <c r="E35" s="25" t="str">
        <f aca="false">IF(NOT(OR(M35="Completed",M35="NA",M35="Cancelled")),"S1 Schematic",IF(NOT(OR(Q35="Completed",Q35="NA",Q35="Cancelled")),"S2 PCB Layout",IF(NOT(OR(U35="Completed",U35="NA",U35="Cancelled")),"S3 SI &amp; PI",IF(NOT(OR(Y35="Completed",Y35="NA",Y35="Cancelled")),"S4 Bare-PCB Fab",IF(NOT(OR(AC35="Completed",AC35="NA",AC35="Cancelled")),"S5 Assembly",IF(NOT(OR(AG35="Completed",AG35="NA",AG35="Cancelled")),"S6 Bring-up",IF(NOT(OR(AK35="Completed",AK35="NA",AK35="Cancelled")),"S7 BOM Procurement","All Stages Closed")))))))</f>
        <v>All Stages Closed</v>
      </c>
      <c r="F35" s="28" t="str">
        <f aca="false">IF(COUNTIF(M35,"Cancelled")+COUNTIF(Q35,"Cancelled")+COUNTIF(U35,"Cancelled")+COUNTIF(Y35,"Cancelled")+COUNTIF(AC35,"Cancelled")+COUNTIF(AG35,"Cancelled")+COUNTIF(AK35,"Cancelled")&gt;0,"Cancelled",IF(E35="All Stages Closed","Completed",IF(E35="S1 Schematic",M35,IF(E35="S2 PCB Layout",Q35,IF(E35="S3 SI &amp; PI",U35,IF(E35="S4 Bare-PCB Fab",Y35,IF(E35="S5 Assembly",AC35,IF(E35="S6 Bring-up",AG35,AK35))))))))</f>
        <v>Completed</v>
      </c>
      <c r="G35" s="29" t="str">
        <f aca="false">IF(E35="All Stages Closed","",IF(E35="S1 Schematic",IF(N35="","Not added",N35),IF(E35="S2 PCB Layout",IF(R35="","Not added",R35),IF(E35="S3 SI &amp; PI",IF(V35="","Not added",V35),IF(E35="S4 Bare-PCB Fab",IF(Z35="","Not added",Z35),IF(E35="S5 Assembly",IF(AD35="","Not added",AD35),IF(E35="S6 Bring-up",IF(AH35="","Not added",AH35),IF(AL35="","Not added",AL35))))))))</f>
        <v/>
      </c>
      <c r="H35" s="28" t="str">
        <f aca="true">IF(OR(F35="Completed",F35="Cancelled"),"",IF(NOT(ISNUMBER(G35)),"Date not added",IF(TODAY()&gt;G35,TODAY()-G35,G35-TODAY()&amp;" days left")))</f>
        <v/>
      </c>
      <c r="I35" s="25" t="n">
        <f aca="false">COUNTIF(M35,"Completed")+COUNTIF(Q35,"Completed")+COUNTIF(U35,"Completed")+COUNTIF(Y35,"Completed")+COUNTIF(AC35,"Completed")+COUNTIF(AG35,"Completed")+COUNTIF(AK35,"Completed")</f>
        <v>5</v>
      </c>
      <c r="J35" s="25" t="n">
        <f aca="false">7-(COUNTIF(M35,"NA")+COUNTIF(Q35,"NA")+COUNTIF(U35,"NA")+COUNTIF(Y35,"NA")+COUNTIF(AC35,"NA")+COUNTIF(AG35,"NA")+COUNTIF(AK35,"NA"))</f>
        <v>5</v>
      </c>
      <c r="K35" s="30" t="n">
        <f aca="false">IFERROR(I35/J35,"")</f>
        <v>1</v>
      </c>
      <c r="L35" s="26" t="s">
        <v>101</v>
      </c>
      <c r="M35" s="25" t="s">
        <v>48</v>
      </c>
      <c r="N35" s="31" t="n">
        <v>46254</v>
      </c>
      <c r="O35" s="31"/>
      <c r="P35" s="26"/>
      <c r="Q35" s="25" t="s">
        <v>48</v>
      </c>
      <c r="R35" s="31"/>
      <c r="S35" s="31"/>
      <c r="T35" s="26"/>
      <c r="U35" s="25" t="s">
        <v>48</v>
      </c>
      <c r="V35" s="31"/>
      <c r="W35" s="31"/>
      <c r="X35" s="26"/>
      <c r="Y35" s="25" t="s">
        <v>48</v>
      </c>
      <c r="Z35" s="31"/>
      <c r="AA35" s="31"/>
      <c r="AB35" s="26"/>
      <c r="AC35" s="25" t="s">
        <v>48</v>
      </c>
      <c r="AD35" s="31"/>
      <c r="AE35" s="31"/>
      <c r="AF35" s="26"/>
      <c r="AG35" s="25" t="s">
        <v>53</v>
      </c>
      <c r="AH35" s="31"/>
      <c r="AI35" s="31"/>
      <c r="AJ35" s="26"/>
      <c r="AK35" s="25" t="s">
        <v>53</v>
      </c>
      <c r="AL35" s="31"/>
      <c r="AM35" s="31"/>
      <c r="AN35" s="25" t="s">
        <v>74</v>
      </c>
      <c r="AO35" s="26"/>
      <c r="AP35" s="26"/>
      <c r="AQ35" s="32"/>
      <c r="AR35" s="33" t="str">
        <f aca="false">IF(AN35&lt;&gt;"Yes","",IF(AO35="","SELECT RE-ENTRY STAGE","MOVE TO ACTIVE at "&amp;AO35))</f>
        <v/>
      </c>
      <c r="AS35" s="26" t="str">
        <f aca="false">IF(AN35="Yes",COUNTIF($AN$6:AN35,"Yes"),"")</f>
        <v/>
      </c>
      <c r="AT35" s="26"/>
      <c r="AU35" s="34" t="str">
        <f aca="false">IF(OR(F35="Completed",F35="Cancelled"),"",IF(AND(OR(F35="On Hold",ISNUMBER(H35)),AT35=""),"Reason not given",""))</f>
        <v/>
      </c>
      <c r="AV35" s="35"/>
      <c r="AW35" s="35"/>
    </row>
    <row r="36" customFormat="false" ht="30" hidden="false" customHeight="true" outlineLevel="0" collapsed="false">
      <c r="A36" s="25" t="n">
        <v>31</v>
      </c>
      <c r="B36" s="26" t="s">
        <v>102</v>
      </c>
      <c r="C36" s="27" t="s">
        <v>254</v>
      </c>
      <c r="D36" s="26" t="s">
        <v>162</v>
      </c>
      <c r="E36" s="25" t="str">
        <f aca="false">IF(NOT(OR(M36="Completed",M36="NA",M36="Cancelled")),"S1 Schematic",IF(NOT(OR(Q36="Completed",Q36="NA",Q36="Cancelled")),"S2 PCB Layout",IF(NOT(OR(U36="Completed",U36="NA",U36="Cancelled")),"S3 SI &amp; PI",IF(NOT(OR(Y36="Completed",Y36="NA",Y36="Cancelled")),"S4 Bare-PCB Fab",IF(NOT(OR(AC36="Completed",AC36="NA",AC36="Cancelled")),"S5 Assembly",IF(NOT(OR(AG36="Completed",AG36="NA",AG36="Cancelled")),"S6 Bring-up",IF(NOT(OR(AK36="Completed",AK36="NA",AK36="Cancelled")),"S7 BOM Procurement","All Stages Closed")))))))</f>
        <v>All Stages Closed</v>
      </c>
      <c r="F36" s="28" t="str">
        <f aca="false">IF(COUNTIF(M36,"Cancelled")+COUNTIF(Q36,"Cancelled")+COUNTIF(U36,"Cancelled")+COUNTIF(Y36,"Cancelled")+COUNTIF(AC36,"Cancelled")+COUNTIF(AG36,"Cancelled")+COUNTIF(AK36,"Cancelled")&gt;0,"Cancelled",IF(E36="All Stages Closed","Completed",IF(E36="S1 Schematic",M36,IF(E36="S2 PCB Layout",Q36,IF(E36="S3 SI &amp; PI",U36,IF(E36="S4 Bare-PCB Fab",Y36,IF(E36="S5 Assembly",AC36,IF(E36="S6 Bring-up",AG36,AK36))))))))</f>
        <v>Completed</v>
      </c>
      <c r="G36" s="29" t="str">
        <f aca="false">IF(E36="All Stages Closed","",IF(E36="S1 Schematic",IF(N36="","Not added",N36),IF(E36="S2 PCB Layout",IF(R36="","Not added",R36),IF(E36="S3 SI &amp; PI",IF(V36="","Not added",V36),IF(E36="S4 Bare-PCB Fab",IF(Z36="","Not added",Z36),IF(E36="S5 Assembly",IF(AD36="","Not added",AD36),IF(E36="S6 Bring-up",IF(AH36="","Not added",AH36),IF(AL36="","Not added",AL36))))))))</f>
        <v/>
      </c>
      <c r="H36" s="28" t="str">
        <f aca="true">IF(OR(F36="Completed",F36="Cancelled"),"",IF(NOT(ISNUMBER(G36)),"Date not added",IF(TODAY()&gt;G36,TODAY()-G36,G36-TODAY()&amp;" days left")))</f>
        <v/>
      </c>
      <c r="I36" s="25" t="n">
        <f aca="false">COUNTIF(M36,"Completed")+COUNTIF(Q36,"Completed")+COUNTIF(U36,"Completed")+COUNTIF(Y36,"Completed")+COUNTIF(AC36,"Completed")+COUNTIF(AG36,"Completed")+COUNTIF(AK36,"Completed")</f>
        <v>5</v>
      </c>
      <c r="J36" s="25" t="n">
        <f aca="false">7-(COUNTIF(M36,"NA")+COUNTIF(Q36,"NA")+COUNTIF(U36,"NA")+COUNTIF(Y36,"NA")+COUNTIF(AC36,"NA")+COUNTIF(AG36,"NA")+COUNTIF(AK36,"NA"))</f>
        <v>5</v>
      </c>
      <c r="K36" s="30" t="n">
        <f aca="false">IFERROR(I36/J36,"")</f>
        <v>1</v>
      </c>
      <c r="L36" s="26" t="s">
        <v>101</v>
      </c>
      <c r="M36" s="25" t="s">
        <v>48</v>
      </c>
      <c r="N36" s="31" t="n">
        <v>46254</v>
      </c>
      <c r="O36" s="31"/>
      <c r="P36" s="26"/>
      <c r="Q36" s="25" t="s">
        <v>48</v>
      </c>
      <c r="R36" s="31"/>
      <c r="S36" s="31"/>
      <c r="T36" s="26"/>
      <c r="U36" s="25" t="s">
        <v>48</v>
      </c>
      <c r="V36" s="31"/>
      <c r="W36" s="31"/>
      <c r="X36" s="26"/>
      <c r="Y36" s="25" t="s">
        <v>48</v>
      </c>
      <c r="Z36" s="31"/>
      <c r="AA36" s="31"/>
      <c r="AB36" s="26"/>
      <c r="AC36" s="25" t="s">
        <v>48</v>
      </c>
      <c r="AD36" s="31"/>
      <c r="AE36" s="31"/>
      <c r="AF36" s="26"/>
      <c r="AG36" s="25" t="s">
        <v>53</v>
      </c>
      <c r="AH36" s="31"/>
      <c r="AI36" s="31"/>
      <c r="AJ36" s="26"/>
      <c r="AK36" s="25" t="s">
        <v>53</v>
      </c>
      <c r="AL36" s="31"/>
      <c r="AM36" s="31"/>
      <c r="AN36" s="25" t="s">
        <v>74</v>
      </c>
      <c r="AO36" s="26"/>
      <c r="AP36" s="26"/>
      <c r="AQ36" s="32"/>
      <c r="AR36" s="33" t="str">
        <f aca="false">IF(AN36&lt;&gt;"Yes","",IF(AO36="","SELECT RE-ENTRY STAGE","MOVE TO ACTIVE at "&amp;AO36))</f>
        <v/>
      </c>
      <c r="AS36" s="26" t="str">
        <f aca="false">IF(AN36="Yes",COUNTIF($AN$6:AN36,"Yes"),"")</f>
        <v/>
      </c>
      <c r="AT36" s="26"/>
      <c r="AU36" s="34" t="str">
        <f aca="false">IF(OR(F36="Completed",F36="Cancelled"),"",IF(AND(OR(F36="On Hold",ISNUMBER(H36)),AT36=""),"Reason not given",""))</f>
        <v/>
      </c>
      <c r="AV36" s="35" t="s">
        <v>209</v>
      </c>
      <c r="AW36" s="35"/>
    </row>
    <row r="37" customFormat="false" ht="30" hidden="false" customHeight="true" outlineLevel="0" collapsed="false">
      <c r="A37" s="25" t="n">
        <v>32</v>
      </c>
      <c r="B37" s="26" t="s">
        <v>102</v>
      </c>
      <c r="C37" s="27" t="s">
        <v>255</v>
      </c>
      <c r="D37" s="26" t="s">
        <v>247</v>
      </c>
      <c r="E37" s="25" t="str">
        <f aca="false">IF(NOT(OR(M37="Completed",M37="NA",M37="Cancelled")),"S1 Schematic",IF(NOT(OR(Q37="Completed",Q37="NA",Q37="Cancelled")),"S2 PCB Layout",IF(NOT(OR(U37="Completed",U37="NA",U37="Cancelled")),"S3 SI &amp; PI",IF(NOT(OR(Y37="Completed",Y37="NA",Y37="Cancelled")),"S4 Bare-PCB Fab",IF(NOT(OR(AC37="Completed",AC37="NA",AC37="Cancelled")),"S5 Assembly",IF(NOT(OR(AG37="Completed",AG37="NA",AG37="Cancelled")),"S6 Bring-up",IF(NOT(OR(AK37="Completed",AK37="NA",AK37="Cancelled")),"S7 BOM Procurement","All Stages Closed")))))))</f>
        <v>All Stages Closed</v>
      </c>
      <c r="F37" s="28" t="str">
        <f aca="false">IF(COUNTIF(M37,"Cancelled")+COUNTIF(Q37,"Cancelled")+COUNTIF(U37,"Cancelled")+COUNTIF(Y37,"Cancelled")+COUNTIF(AC37,"Cancelled")+COUNTIF(AG37,"Cancelled")+COUNTIF(AK37,"Cancelled")&gt;0,"Cancelled",IF(E37="All Stages Closed","Completed",IF(E37="S1 Schematic",M37,IF(E37="S2 PCB Layout",Q37,IF(E37="S3 SI &amp; PI",U37,IF(E37="S4 Bare-PCB Fab",Y37,IF(E37="S5 Assembly",AC37,IF(E37="S6 Bring-up",AG37,AK37))))))))</f>
        <v>Completed</v>
      </c>
      <c r="G37" s="29" t="str">
        <f aca="false">IF(E37="All Stages Closed","",IF(E37="S1 Schematic",IF(N37="","Not added",N37),IF(E37="S2 PCB Layout",IF(R37="","Not added",R37),IF(E37="S3 SI &amp; PI",IF(V37="","Not added",V37),IF(E37="S4 Bare-PCB Fab",IF(Z37="","Not added",Z37),IF(E37="S5 Assembly",IF(AD37="","Not added",AD37),IF(E37="S6 Bring-up",IF(AH37="","Not added",AH37),IF(AL37="","Not added",AL37))))))))</f>
        <v/>
      </c>
      <c r="H37" s="28" t="str">
        <f aca="true">IF(OR(F37="Completed",F37="Cancelled"),"",IF(NOT(ISNUMBER(G37)),"Date not added",IF(TODAY()&gt;G37,TODAY()-G37,G37-TODAY()&amp;" days left")))</f>
        <v/>
      </c>
      <c r="I37" s="25" t="n">
        <f aca="false">COUNTIF(M37,"Completed")+COUNTIF(Q37,"Completed")+COUNTIF(U37,"Completed")+COUNTIF(Y37,"Completed")+COUNTIF(AC37,"Completed")+COUNTIF(AG37,"Completed")+COUNTIF(AK37,"Completed")</f>
        <v>3</v>
      </c>
      <c r="J37" s="25" t="n">
        <f aca="false">7-(COUNTIF(M37,"NA")+COUNTIF(Q37,"NA")+COUNTIF(U37,"NA")+COUNTIF(Y37,"NA")+COUNTIF(AC37,"NA")+COUNTIF(AG37,"NA")+COUNTIF(AK37,"NA"))</f>
        <v>3</v>
      </c>
      <c r="K37" s="30" t="n">
        <f aca="false">IFERROR(I37/J37,"")</f>
        <v>1</v>
      </c>
      <c r="L37" s="26" t="s">
        <v>101</v>
      </c>
      <c r="M37" s="25" t="s">
        <v>48</v>
      </c>
      <c r="N37" s="31" t="n">
        <v>46254</v>
      </c>
      <c r="O37" s="31"/>
      <c r="P37" s="26" t="s">
        <v>103</v>
      </c>
      <c r="Q37" s="25" t="s">
        <v>48</v>
      </c>
      <c r="R37" s="31" t="n">
        <v>46164</v>
      </c>
      <c r="S37" s="31"/>
      <c r="T37" s="26"/>
      <c r="U37" s="25" t="s">
        <v>53</v>
      </c>
      <c r="V37" s="31"/>
      <c r="W37" s="31"/>
      <c r="X37" s="26" t="s">
        <v>112</v>
      </c>
      <c r="Y37" s="25" t="s">
        <v>48</v>
      </c>
      <c r="Z37" s="31" t="n">
        <v>46260</v>
      </c>
      <c r="AA37" s="31"/>
      <c r="AB37" s="26"/>
      <c r="AC37" s="25" t="s">
        <v>53</v>
      </c>
      <c r="AD37" s="31"/>
      <c r="AE37" s="31"/>
      <c r="AF37" s="26"/>
      <c r="AG37" s="25" t="s">
        <v>53</v>
      </c>
      <c r="AH37" s="31"/>
      <c r="AI37" s="31"/>
      <c r="AJ37" s="26"/>
      <c r="AK37" s="25" t="s">
        <v>53</v>
      </c>
      <c r="AL37" s="31"/>
      <c r="AM37" s="31"/>
      <c r="AN37" s="25" t="s">
        <v>74</v>
      </c>
      <c r="AO37" s="26"/>
      <c r="AP37" s="26"/>
      <c r="AQ37" s="32"/>
      <c r="AR37" s="33" t="str">
        <f aca="false">IF(AN37&lt;&gt;"Yes","",IF(AO37="","SELECT RE-ENTRY STAGE","MOVE TO ACTIVE at "&amp;AO37))</f>
        <v/>
      </c>
      <c r="AS37" s="26" t="str">
        <f aca="false">IF(AN37="Yes",COUNTIF($AN$6:AN37,"Yes"),"")</f>
        <v/>
      </c>
      <c r="AT37" s="26"/>
      <c r="AU37" s="34" t="str">
        <f aca="false">IF(OR(F37="Completed",F37="Cancelled"),"",IF(AND(OR(F37="On Hold",ISNUMBER(H37)),AT37=""),"Reason not given",""))</f>
        <v/>
      </c>
      <c r="AV37" s="35" t="s">
        <v>256</v>
      </c>
      <c r="AW37" s="35" t="s">
        <v>257</v>
      </c>
    </row>
    <row r="38" customFormat="false" ht="30" hidden="false" customHeight="true" outlineLevel="0" collapsed="false">
      <c r="A38" s="36" t="n">
        <v>33</v>
      </c>
      <c r="B38" s="37" t="s">
        <v>104</v>
      </c>
      <c r="C38" s="38" t="s">
        <v>258</v>
      </c>
      <c r="D38" s="37" t="s">
        <v>162</v>
      </c>
      <c r="E38" s="36" t="str">
        <f aca="false">IF(NOT(OR(M38="Completed",M38="NA",M38="Cancelled")),"S1 Schematic",IF(NOT(OR(Q38="Completed",Q38="NA",Q38="Cancelled")),"S2 PCB Layout",IF(NOT(OR(U38="Completed",U38="NA",U38="Cancelled")),"S3 SI &amp; PI",IF(NOT(OR(Y38="Completed",Y38="NA",Y38="Cancelled")),"S4 Bare-PCB Fab",IF(NOT(OR(AC38="Completed",AC38="NA",AC38="Cancelled")),"S5 Assembly",IF(NOT(OR(AG38="Completed",AG38="NA",AG38="Cancelled")),"S6 Bring-up",IF(NOT(OR(AK38="Completed",AK38="NA",AK38="Cancelled")),"S7 BOM Procurement","All Stages Closed")))))))</f>
        <v>All Stages Closed</v>
      </c>
      <c r="F38" s="39" t="str">
        <f aca="false">IF(COUNTIF(M38,"Cancelled")+COUNTIF(Q38,"Cancelled")+COUNTIF(U38,"Cancelled")+COUNTIF(Y38,"Cancelled")+COUNTIF(AC38,"Cancelled")+COUNTIF(AG38,"Cancelled")+COUNTIF(AK38,"Cancelled")&gt;0,"Cancelled",IF(E38="All Stages Closed","Completed",IF(E38="S1 Schematic",M38,IF(E38="S2 PCB Layout",Q38,IF(E38="S3 SI &amp; PI",U38,IF(E38="S4 Bare-PCB Fab",Y38,IF(E38="S5 Assembly",AC38,IF(E38="S6 Bring-up",AG38,AK38))))))))</f>
        <v>Completed</v>
      </c>
      <c r="G38" s="40" t="str">
        <f aca="false">IF(E38="All Stages Closed","",IF(E38="S1 Schematic",IF(N38="","Not added",N38),IF(E38="S2 PCB Layout",IF(R38="","Not added",R38),IF(E38="S3 SI &amp; PI",IF(V38="","Not added",V38),IF(E38="S4 Bare-PCB Fab",IF(Z38="","Not added",Z38),IF(E38="S5 Assembly",IF(AD38="","Not added",AD38),IF(E38="S6 Bring-up",IF(AH38="","Not added",AH38),IF(AL38="","Not added",AL38))))))))</f>
        <v/>
      </c>
      <c r="H38" s="39" t="str">
        <f aca="true">IF(OR(F38="Completed",F38="Cancelled"),"",IF(NOT(ISNUMBER(G38)),"Date not added",IF(TODAY()&gt;G38,TODAY()-G38,G38-TODAY()&amp;" days left")))</f>
        <v/>
      </c>
      <c r="I38" s="36" t="n">
        <f aca="false">COUNTIF(M38,"Completed")+COUNTIF(Q38,"Completed")+COUNTIF(U38,"Completed")+COUNTIF(Y38,"Completed")+COUNTIF(AC38,"Completed")+COUNTIF(AG38,"Completed")+COUNTIF(AK38,"Completed")</f>
        <v>5</v>
      </c>
      <c r="J38" s="36" t="n">
        <f aca="false">7-(COUNTIF(M38,"NA")+COUNTIF(Q38,"NA")+COUNTIF(U38,"NA")+COUNTIF(Y38,"NA")+COUNTIF(AC38,"NA")+COUNTIF(AG38,"NA")+COUNTIF(AK38,"NA"))</f>
        <v>5</v>
      </c>
      <c r="K38" s="41" t="n">
        <f aca="false">IFERROR(I38/J38,"")</f>
        <v>1</v>
      </c>
      <c r="L38" s="37" t="s">
        <v>101</v>
      </c>
      <c r="M38" s="36" t="s">
        <v>48</v>
      </c>
      <c r="N38" s="42" t="n">
        <v>46254</v>
      </c>
      <c r="O38" s="42"/>
      <c r="P38" s="37"/>
      <c r="Q38" s="36" t="s">
        <v>48</v>
      </c>
      <c r="R38" s="42"/>
      <c r="S38" s="42"/>
      <c r="T38" s="37"/>
      <c r="U38" s="36" t="s">
        <v>48</v>
      </c>
      <c r="V38" s="42"/>
      <c r="W38" s="42"/>
      <c r="X38" s="37" t="s">
        <v>228</v>
      </c>
      <c r="Y38" s="36" t="s">
        <v>48</v>
      </c>
      <c r="Z38" s="42" t="n">
        <v>46215</v>
      </c>
      <c r="AA38" s="42"/>
      <c r="AB38" s="37"/>
      <c r="AC38" s="36" t="s">
        <v>48</v>
      </c>
      <c r="AD38" s="42"/>
      <c r="AE38" s="42"/>
      <c r="AF38" s="37"/>
      <c r="AG38" s="36" t="s">
        <v>53</v>
      </c>
      <c r="AH38" s="42"/>
      <c r="AI38" s="42"/>
      <c r="AJ38" s="37"/>
      <c r="AK38" s="36" t="s">
        <v>53</v>
      </c>
      <c r="AL38" s="42"/>
      <c r="AM38" s="42"/>
      <c r="AN38" s="36" t="s">
        <v>74</v>
      </c>
      <c r="AO38" s="37"/>
      <c r="AP38" s="37"/>
      <c r="AQ38" s="43"/>
      <c r="AR38" s="44" t="str">
        <f aca="false">IF(AN38&lt;&gt;"Yes","",IF(AO38="","SELECT RE-ENTRY STAGE","MOVE TO ACTIVE at "&amp;AO38))</f>
        <v/>
      </c>
      <c r="AS38" s="37" t="str">
        <f aca="false">IF(AN38="Yes",COUNTIF($AN$6:AN38,"Yes"),"")</f>
        <v/>
      </c>
      <c r="AT38" s="37"/>
      <c r="AU38" s="45" t="str">
        <f aca="false">IF(OR(F38="Completed",F38="Cancelled"),"",IF(AND(OR(F38="On Hold",ISNUMBER(H38)),AT38=""),"Reason not given",""))</f>
        <v/>
      </c>
      <c r="AV38" s="46" t="s">
        <v>209</v>
      </c>
      <c r="AW38" s="46" t="s">
        <v>259</v>
      </c>
    </row>
    <row r="39" customFormat="false" ht="30" hidden="false" customHeight="true" outlineLevel="0" collapsed="false">
      <c r="A39" s="36" t="n">
        <v>34</v>
      </c>
      <c r="B39" s="37" t="s">
        <v>104</v>
      </c>
      <c r="C39" s="38" t="s">
        <v>260</v>
      </c>
      <c r="D39" s="37" t="s">
        <v>247</v>
      </c>
      <c r="E39" s="36" t="str">
        <f aca="false">IF(NOT(OR(M39="Completed",M39="NA",M39="Cancelled")),"S1 Schematic",IF(NOT(OR(Q39="Completed",Q39="NA",Q39="Cancelled")),"S2 PCB Layout",IF(NOT(OR(U39="Completed",U39="NA",U39="Cancelled")),"S3 SI &amp; PI",IF(NOT(OR(Y39="Completed",Y39="NA",Y39="Cancelled")),"S4 Bare-PCB Fab",IF(NOT(OR(AC39="Completed",AC39="NA",AC39="Cancelled")),"S5 Assembly",IF(NOT(OR(AG39="Completed",AG39="NA",AG39="Cancelled")),"S6 Bring-up",IF(NOT(OR(AK39="Completed",AK39="NA",AK39="Cancelled")),"S7 BOM Procurement","All Stages Closed")))))))</f>
        <v>All Stages Closed</v>
      </c>
      <c r="F39" s="39" t="str">
        <f aca="false">IF(COUNTIF(M39,"Cancelled")+COUNTIF(Q39,"Cancelled")+COUNTIF(U39,"Cancelled")+COUNTIF(Y39,"Cancelled")+COUNTIF(AC39,"Cancelled")+COUNTIF(AG39,"Cancelled")+COUNTIF(AK39,"Cancelled")&gt;0,"Cancelled",IF(E39="All Stages Closed","Completed",IF(E39="S1 Schematic",M39,IF(E39="S2 PCB Layout",Q39,IF(E39="S3 SI &amp; PI",U39,IF(E39="S4 Bare-PCB Fab",Y39,IF(E39="S5 Assembly",AC39,IF(E39="S6 Bring-up",AG39,AK39))))))))</f>
        <v>Completed</v>
      </c>
      <c r="G39" s="40" t="str">
        <f aca="false">IF(E39="All Stages Closed","",IF(E39="S1 Schematic",IF(N39="","Not added",N39),IF(E39="S2 PCB Layout",IF(R39="","Not added",R39),IF(E39="S3 SI &amp; PI",IF(V39="","Not added",V39),IF(E39="S4 Bare-PCB Fab",IF(Z39="","Not added",Z39),IF(E39="S5 Assembly",IF(AD39="","Not added",AD39),IF(E39="S6 Bring-up",IF(AH39="","Not added",AH39),IF(AL39="","Not added",AL39))))))))</f>
        <v/>
      </c>
      <c r="H39" s="39" t="str">
        <f aca="true">IF(OR(F39="Completed",F39="Cancelled"),"",IF(NOT(ISNUMBER(G39)),"Date not added",IF(TODAY()&gt;G39,TODAY()-G39,G39-TODAY()&amp;" days left")))</f>
        <v/>
      </c>
      <c r="I39" s="36" t="n">
        <f aca="false">COUNTIF(M39,"Completed")+COUNTIF(Q39,"Completed")+COUNTIF(U39,"Completed")+COUNTIF(Y39,"Completed")+COUNTIF(AC39,"Completed")+COUNTIF(AG39,"Completed")+COUNTIF(AK39,"Completed")</f>
        <v>4</v>
      </c>
      <c r="J39" s="36" t="n">
        <f aca="false">7-(COUNTIF(M39,"NA")+COUNTIF(Q39,"NA")+COUNTIF(U39,"NA")+COUNTIF(Y39,"NA")+COUNTIF(AC39,"NA")+COUNTIF(AG39,"NA")+COUNTIF(AK39,"NA"))</f>
        <v>4</v>
      </c>
      <c r="K39" s="41" t="n">
        <f aca="false">IFERROR(I39/J39,"")</f>
        <v>1</v>
      </c>
      <c r="L39" s="37" t="s">
        <v>261</v>
      </c>
      <c r="M39" s="36" t="s">
        <v>48</v>
      </c>
      <c r="N39" s="42" t="n">
        <v>46254</v>
      </c>
      <c r="O39" s="42"/>
      <c r="P39" s="37" t="s">
        <v>108</v>
      </c>
      <c r="Q39" s="36" t="s">
        <v>48</v>
      </c>
      <c r="R39" s="42" t="n">
        <v>46185</v>
      </c>
      <c r="S39" s="42"/>
      <c r="T39" s="37"/>
      <c r="U39" s="36" t="s">
        <v>53</v>
      </c>
      <c r="V39" s="42"/>
      <c r="W39" s="42"/>
      <c r="X39" s="37" t="s">
        <v>228</v>
      </c>
      <c r="Y39" s="36" t="s">
        <v>48</v>
      </c>
      <c r="Z39" s="42" t="n">
        <v>46217</v>
      </c>
      <c r="AA39" s="42"/>
      <c r="AB39" s="37"/>
      <c r="AC39" s="36" t="s">
        <v>48</v>
      </c>
      <c r="AD39" s="42"/>
      <c r="AE39" s="42"/>
      <c r="AF39" s="37"/>
      <c r="AG39" s="36" t="s">
        <v>53</v>
      </c>
      <c r="AH39" s="42"/>
      <c r="AI39" s="42"/>
      <c r="AJ39" s="37"/>
      <c r="AK39" s="36" t="s">
        <v>53</v>
      </c>
      <c r="AL39" s="42"/>
      <c r="AM39" s="42"/>
      <c r="AN39" s="36" t="s">
        <v>74</v>
      </c>
      <c r="AO39" s="37"/>
      <c r="AP39" s="37"/>
      <c r="AQ39" s="43"/>
      <c r="AR39" s="44" t="str">
        <f aca="false">IF(AN39&lt;&gt;"Yes","",IF(AO39="","SELECT RE-ENTRY STAGE","MOVE TO ACTIVE at "&amp;AO39))</f>
        <v/>
      </c>
      <c r="AS39" s="37" t="str">
        <f aca="false">IF(AN39="Yes",COUNTIF($AN$6:AN39,"Yes"),"")</f>
        <v/>
      </c>
      <c r="AT39" s="37"/>
      <c r="AU39" s="45" t="str">
        <f aca="false">IF(OR(F39="Completed",F39="Cancelled"),"",IF(AND(OR(F39="On Hold",ISNUMBER(H39)),AT39=""),"Reason not given",""))</f>
        <v/>
      </c>
      <c r="AV39" s="46" t="s">
        <v>233</v>
      </c>
      <c r="AW39" s="46"/>
    </row>
    <row r="40" customFormat="false" ht="30" hidden="false" customHeight="true" outlineLevel="0" collapsed="false">
      <c r="A40" s="36" t="n">
        <v>35</v>
      </c>
      <c r="B40" s="37" t="s">
        <v>104</v>
      </c>
      <c r="C40" s="38" t="s">
        <v>262</v>
      </c>
      <c r="D40" s="37" t="s">
        <v>162</v>
      </c>
      <c r="E40" s="36" t="str">
        <f aca="false">IF(NOT(OR(M40="Completed",M40="NA",M40="Cancelled")),"S1 Schematic",IF(NOT(OR(Q40="Completed",Q40="NA",Q40="Cancelled")),"S2 PCB Layout",IF(NOT(OR(U40="Completed",U40="NA",U40="Cancelled")),"S3 SI &amp; PI",IF(NOT(OR(Y40="Completed",Y40="NA",Y40="Cancelled")),"S4 Bare-PCB Fab",IF(NOT(OR(AC40="Completed",AC40="NA",AC40="Cancelled")),"S5 Assembly",IF(NOT(OR(AG40="Completed",AG40="NA",AG40="Cancelled")),"S6 Bring-up",IF(NOT(OR(AK40="Completed",AK40="NA",AK40="Cancelled")),"S7 BOM Procurement","All Stages Closed")))))))</f>
        <v>All Stages Closed</v>
      </c>
      <c r="F40" s="39" t="str">
        <f aca="false">IF(COUNTIF(M40,"Cancelled")+COUNTIF(Q40,"Cancelled")+COUNTIF(U40,"Cancelled")+COUNTIF(Y40,"Cancelled")+COUNTIF(AC40,"Cancelled")+COUNTIF(AG40,"Cancelled")+COUNTIF(AK40,"Cancelled")&gt;0,"Cancelled",IF(E40="All Stages Closed","Completed",IF(E40="S1 Schematic",M40,IF(E40="S2 PCB Layout",Q40,IF(E40="S3 SI &amp; PI",U40,IF(E40="S4 Bare-PCB Fab",Y40,IF(E40="S5 Assembly",AC40,IF(E40="S6 Bring-up",AG40,AK40))))))))</f>
        <v>Completed</v>
      </c>
      <c r="G40" s="40" t="str">
        <f aca="false">IF(E40="All Stages Closed","",IF(E40="S1 Schematic",IF(N40="","Not added",N40),IF(E40="S2 PCB Layout",IF(R40="","Not added",R40),IF(E40="S3 SI &amp; PI",IF(V40="","Not added",V40),IF(E40="S4 Bare-PCB Fab",IF(Z40="","Not added",Z40),IF(E40="S5 Assembly",IF(AD40="","Not added",AD40),IF(E40="S6 Bring-up",IF(AH40="","Not added",AH40),IF(AL40="","Not added",AL40))))))))</f>
        <v/>
      </c>
      <c r="H40" s="39" t="str">
        <f aca="true">IF(OR(F40="Completed",F40="Cancelled"),"",IF(NOT(ISNUMBER(G40)),"Date not added",IF(TODAY()&gt;G40,TODAY()-G40,G40-TODAY()&amp;" days left")))</f>
        <v/>
      </c>
      <c r="I40" s="36" t="n">
        <f aca="false">COUNTIF(M40,"Completed")+COUNTIF(Q40,"Completed")+COUNTIF(U40,"Completed")+COUNTIF(Y40,"Completed")+COUNTIF(AC40,"Completed")+COUNTIF(AG40,"Completed")+COUNTIF(AK40,"Completed")</f>
        <v>2</v>
      </c>
      <c r="J40" s="36" t="n">
        <f aca="false">7-(COUNTIF(M40,"NA")+COUNTIF(Q40,"NA")+COUNTIF(U40,"NA")+COUNTIF(Y40,"NA")+COUNTIF(AC40,"NA")+COUNTIF(AG40,"NA")+COUNTIF(AK40,"NA"))</f>
        <v>2</v>
      </c>
      <c r="K40" s="41" t="n">
        <f aca="false">IFERROR(I40/J40,"")</f>
        <v>1</v>
      </c>
      <c r="L40" s="37" t="s">
        <v>101</v>
      </c>
      <c r="M40" s="36" t="s">
        <v>48</v>
      </c>
      <c r="N40" s="42" t="n">
        <v>46254</v>
      </c>
      <c r="O40" s="42"/>
      <c r="P40" s="37"/>
      <c r="Q40" s="36" t="s">
        <v>48</v>
      </c>
      <c r="R40" s="42"/>
      <c r="S40" s="42"/>
      <c r="T40" s="37"/>
      <c r="U40" s="36" t="s">
        <v>53</v>
      </c>
      <c r="V40" s="42"/>
      <c r="W40" s="42"/>
      <c r="X40" s="37"/>
      <c r="Y40" s="36" t="s">
        <v>53</v>
      </c>
      <c r="Z40" s="42"/>
      <c r="AA40" s="42"/>
      <c r="AB40" s="37"/>
      <c r="AC40" s="36" t="s">
        <v>53</v>
      </c>
      <c r="AD40" s="42"/>
      <c r="AE40" s="42"/>
      <c r="AF40" s="37"/>
      <c r="AG40" s="36" t="s">
        <v>53</v>
      </c>
      <c r="AH40" s="42"/>
      <c r="AI40" s="42"/>
      <c r="AJ40" s="37"/>
      <c r="AK40" s="36" t="s">
        <v>53</v>
      </c>
      <c r="AL40" s="42"/>
      <c r="AM40" s="42"/>
      <c r="AN40" s="36" t="s">
        <v>74</v>
      </c>
      <c r="AO40" s="37"/>
      <c r="AP40" s="37"/>
      <c r="AQ40" s="43"/>
      <c r="AR40" s="44" t="str">
        <f aca="false">IF(AN40&lt;&gt;"Yes","",IF(AO40="","SELECT RE-ENTRY STAGE","MOVE TO ACTIVE at "&amp;AO40))</f>
        <v/>
      </c>
      <c r="AS40" s="37" t="str">
        <f aca="false">IF(AN40="Yes",COUNTIF($AN$6:AN40,"Yes"),"")</f>
        <v/>
      </c>
      <c r="AT40" s="37"/>
      <c r="AU40" s="45" t="str">
        <f aca="false">IF(OR(F40="Completed",F40="Cancelled"),"",IF(AND(OR(F40="On Hold",ISNUMBER(H40)),AT40=""),"Reason not given",""))</f>
        <v/>
      </c>
      <c r="AV40" s="46" t="s">
        <v>209</v>
      </c>
      <c r="AW40" s="46"/>
    </row>
    <row r="41" customFormat="false" ht="30" hidden="false" customHeight="true" outlineLevel="0" collapsed="false">
      <c r="A41" s="36" t="n">
        <v>36</v>
      </c>
      <c r="B41" s="37" t="s">
        <v>104</v>
      </c>
      <c r="C41" s="38" t="s">
        <v>263</v>
      </c>
      <c r="D41" s="37" t="s">
        <v>162</v>
      </c>
      <c r="E41" s="36" t="str">
        <f aca="false">IF(NOT(OR(M41="Completed",M41="NA",M41="Cancelled")),"S1 Schematic",IF(NOT(OR(Q41="Completed",Q41="NA",Q41="Cancelled")),"S2 PCB Layout",IF(NOT(OR(U41="Completed",U41="NA",U41="Cancelled")),"S3 SI &amp; PI",IF(NOT(OR(Y41="Completed",Y41="NA",Y41="Cancelled")),"S4 Bare-PCB Fab",IF(NOT(OR(AC41="Completed",AC41="NA",AC41="Cancelled")),"S5 Assembly",IF(NOT(OR(AG41="Completed",AG41="NA",AG41="Cancelled")),"S6 Bring-up",IF(NOT(OR(AK41="Completed",AK41="NA",AK41="Cancelled")),"S7 BOM Procurement","All Stages Closed")))))))</f>
        <v>All Stages Closed</v>
      </c>
      <c r="F41" s="39" t="str">
        <f aca="false">IF(COUNTIF(M41,"Cancelled")+COUNTIF(Q41,"Cancelled")+COUNTIF(U41,"Cancelled")+COUNTIF(Y41,"Cancelled")+COUNTIF(AC41,"Cancelled")+COUNTIF(AG41,"Cancelled")+COUNTIF(AK41,"Cancelled")&gt;0,"Cancelled",IF(E41="All Stages Closed","Completed",IF(E41="S1 Schematic",M41,IF(E41="S2 PCB Layout",Q41,IF(E41="S3 SI &amp; PI",U41,IF(E41="S4 Bare-PCB Fab",Y41,IF(E41="S5 Assembly",AC41,IF(E41="S6 Bring-up",AG41,AK41))))))))</f>
        <v>Completed</v>
      </c>
      <c r="G41" s="40" t="str">
        <f aca="false">IF(E41="All Stages Closed","",IF(E41="S1 Schematic",IF(N41="","Not added",N41),IF(E41="S2 PCB Layout",IF(R41="","Not added",R41),IF(E41="S3 SI &amp; PI",IF(V41="","Not added",V41),IF(E41="S4 Bare-PCB Fab",IF(Z41="","Not added",Z41),IF(E41="S5 Assembly",IF(AD41="","Not added",AD41),IF(E41="S6 Bring-up",IF(AH41="","Not added",AH41),IF(AL41="","Not added",AL41))))))))</f>
        <v/>
      </c>
      <c r="H41" s="39" t="str">
        <f aca="true">IF(OR(F41="Completed",F41="Cancelled"),"",IF(NOT(ISNUMBER(G41)),"Date not added",IF(TODAY()&gt;G41,TODAY()-G41,G41-TODAY()&amp;" days left")))</f>
        <v/>
      </c>
      <c r="I41" s="36" t="n">
        <f aca="false">COUNTIF(M41,"Completed")+COUNTIF(Q41,"Completed")+COUNTIF(U41,"Completed")+COUNTIF(Y41,"Completed")+COUNTIF(AC41,"Completed")+COUNTIF(AG41,"Completed")+COUNTIF(AK41,"Completed")</f>
        <v>4</v>
      </c>
      <c r="J41" s="36" t="n">
        <f aca="false">7-(COUNTIF(M41,"NA")+COUNTIF(Q41,"NA")+COUNTIF(U41,"NA")+COUNTIF(Y41,"NA")+COUNTIF(AC41,"NA")+COUNTIF(AG41,"NA")+COUNTIF(AK41,"NA"))</f>
        <v>4</v>
      </c>
      <c r="K41" s="41" t="n">
        <f aca="false">IFERROR(I41/J41,"")</f>
        <v>1</v>
      </c>
      <c r="L41" s="37" t="s">
        <v>101</v>
      </c>
      <c r="M41" s="36" t="s">
        <v>48</v>
      </c>
      <c r="N41" s="42" t="n">
        <v>46254</v>
      </c>
      <c r="O41" s="42"/>
      <c r="P41" s="37"/>
      <c r="Q41" s="36" t="s">
        <v>48</v>
      </c>
      <c r="R41" s="42"/>
      <c r="S41" s="42"/>
      <c r="T41" s="37"/>
      <c r="U41" s="36" t="s">
        <v>53</v>
      </c>
      <c r="V41" s="42"/>
      <c r="W41" s="42"/>
      <c r="X41" s="37"/>
      <c r="Y41" s="36" t="s">
        <v>48</v>
      </c>
      <c r="Z41" s="42"/>
      <c r="AA41" s="42"/>
      <c r="AB41" s="37"/>
      <c r="AC41" s="36" t="s">
        <v>48</v>
      </c>
      <c r="AD41" s="42"/>
      <c r="AE41" s="42"/>
      <c r="AF41" s="37"/>
      <c r="AG41" s="36" t="s">
        <v>53</v>
      </c>
      <c r="AH41" s="42"/>
      <c r="AI41" s="42"/>
      <c r="AJ41" s="37"/>
      <c r="AK41" s="36" t="s">
        <v>53</v>
      </c>
      <c r="AL41" s="42"/>
      <c r="AM41" s="42"/>
      <c r="AN41" s="36" t="s">
        <v>74</v>
      </c>
      <c r="AO41" s="37"/>
      <c r="AP41" s="37"/>
      <c r="AQ41" s="43"/>
      <c r="AR41" s="44" t="str">
        <f aca="false">IF(AN41&lt;&gt;"Yes","",IF(AO41="","SELECT RE-ENTRY STAGE","MOVE TO ACTIVE at "&amp;AO41))</f>
        <v/>
      </c>
      <c r="AS41" s="37" t="str">
        <f aca="false">IF(AN41="Yes",COUNTIF($AN$6:AN41,"Yes"),"")</f>
        <v/>
      </c>
      <c r="AT41" s="37"/>
      <c r="AU41" s="45" t="str">
        <f aca="false">IF(OR(F41="Completed",F41="Cancelled"),"",IF(AND(OR(F41="On Hold",ISNUMBER(H41)),AT41=""),"Reason not given",""))</f>
        <v/>
      </c>
      <c r="AV41" s="46" t="s">
        <v>209</v>
      </c>
      <c r="AW41" s="46"/>
    </row>
    <row r="42" customFormat="false" ht="30" hidden="false" customHeight="true" outlineLevel="0" collapsed="false">
      <c r="A42" s="36" t="n">
        <v>37</v>
      </c>
      <c r="B42" s="37" t="s">
        <v>104</v>
      </c>
      <c r="C42" s="38" t="s">
        <v>264</v>
      </c>
      <c r="D42" s="37" t="s">
        <v>162</v>
      </c>
      <c r="E42" s="36" t="str">
        <f aca="false">IF(NOT(OR(M42="Completed",M42="NA",M42="Cancelled")),"S1 Schematic",IF(NOT(OR(Q42="Completed",Q42="NA",Q42="Cancelled")),"S2 PCB Layout",IF(NOT(OR(U42="Completed",U42="NA",U42="Cancelled")),"S3 SI &amp; PI",IF(NOT(OR(Y42="Completed",Y42="NA",Y42="Cancelled")),"S4 Bare-PCB Fab",IF(NOT(OR(AC42="Completed",AC42="NA",AC42="Cancelled")),"S5 Assembly",IF(NOT(OR(AG42="Completed",AG42="NA",AG42="Cancelled")),"S6 Bring-up",IF(NOT(OR(AK42="Completed",AK42="NA",AK42="Cancelled")),"S7 BOM Procurement","All Stages Closed")))))))</f>
        <v>All Stages Closed</v>
      </c>
      <c r="F42" s="39" t="str">
        <f aca="false">IF(COUNTIF(M42,"Cancelled")+COUNTIF(Q42,"Cancelled")+COUNTIF(U42,"Cancelled")+COUNTIF(Y42,"Cancelled")+COUNTIF(AC42,"Cancelled")+COUNTIF(AG42,"Cancelled")+COUNTIF(AK42,"Cancelled")&gt;0,"Cancelled",IF(E42="All Stages Closed","Completed",IF(E42="S1 Schematic",M42,IF(E42="S2 PCB Layout",Q42,IF(E42="S3 SI &amp; PI",U42,IF(E42="S4 Bare-PCB Fab",Y42,IF(E42="S5 Assembly",AC42,IF(E42="S6 Bring-up",AG42,AK42))))))))</f>
        <v>Completed</v>
      </c>
      <c r="G42" s="40" t="str">
        <f aca="false">IF(E42="All Stages Closed","",IF(E42="S1 Schematic",IF(N42="","Not added",N42),IF(E42="S2 PCB Layout",IF(R42="","Not added",R42),IF(E42="S3 SI &amp; PI",IF(V42="","Not added",V42),IF(E42="S4 Bare-PCB Fab",IF(Z42="","Not added",Z42),IF(E42="S5 Assembly",IF(AD42="","Not added",AD42),IF(E42="S6 Bring-up",IF(AH42="","Not added",AH42),IF(AL42="","Not added",AL42))))))))</f>
        <v/>
      </c>
      <c r="H42" s="39" t="str">
        <f aca="true">IF(OR(F42="Completed",F42="Cancelled"),"",IF(NOT(ISNUMBER(G42)),"Date not added",IF(TODAY()&gt;G42,TODAY()-G42,G42-TODAY()&amp;" days left")))</f>
        <v/>
      </c>
      <c r="I42" s="36" t="n">
        <f aca="false">COUNTIF(M42,"Completed")+COUNTIF(Q42,"Completed")+COUNTIF(U42,"Completed")+COUNTIF(Y42,"Completed")+COUNTIF(AC42,"Completed")+COUNTIF(AG42,"Completed")+COUNTIF(AK42,"Completed")</f>
        <v>2</v>
      </c>
      <c r="J42" s="36" t="n">
        <f aca="false">7-(COUNTIF(M42,"NA")+COUNTIF(Q42,"NA")+COUNTIF(U42,"NA")+COUNTIF(Y42,"NA")+COUNTIF(AC42,"NA")+COUNTIF(AG42,"NA")+COUNTIF(AK42,"NA"))</f>
        <v>2</v>
      </c>
      <c r="K42" s="41" t="n">
        <f aca="false">IFERROR(I42/J42,"")</f>
        <v>1</v>
      </c>
      <c r="L42" s="37" t="s">
        <v>261</v>
      </c>
      <c r="M42" s="36" t="s">
        <v>48</v>
      </c>
      <c r="N42" s="42" t="n">
        <v>46254</v>
      </c>
      <c r="O42" s="42"/>
      <c r="P42" s="37"/>
      <c r="Q42" s="36" t="s">
        <v>48</v>
      </c>
      <c r="R42" s="42"/>
      <c r="S42" s="42"/>
      <c r="T42" s="37"/>
      <c r="U42" s="36" t="s">
        <v>53</v>
      </c>
      <c r="V42" s="42"/>
      <c r="W42" s="42"/>
      <c r="X42" s="37"/>
      <c r="Y42" s="36" t="s">
        <v>53</v>
      </c>
      <c r="Z42" s="42"/>
      <c r="AA42" s="42"/>
      <c r="AB42" s="37"/>
      <c r="AC42" s="36" t="s">
        <v>53</v>
      </c>
      <c r="AD42" s="42"/>
      <c r="AE42" s="42"/>
      <c r="AF42" s="37"/>
      <c r="AG42" s="36" t="s">
        <v>53</v>
      </c>
      <c r="AH42" s="42"/>
      <c r="AI42" s="42"/>
      <c r="AJ42" s="37"/>
      <c r="AK42" s="36" t="s">
        <v>53</v>
      </c>
      <c r="AL42" s="42"/>
      <c r="AM42" s="42"/>
      <c r="AN42" s="36" t="s">
        <v>74</v>
      </c>
      <c r="AO42" s="37"/>
      <c r="AP42" s="37"/>
      <c r="AQ42" s="43"/>
      <c r="AR42" s="44" t="str">
        <f aca="false">IF(AN42&lt;&gt;"Yes","",IF(AO42="","SELECT RE-ENTRY STAGE","MOVE TO ACTIVE at "&amp;AO42))</f>
        <v/>
      </c>
      <c r="AS42" s="37" t="str">
        <f aca="false">IF(AN42="Yes",COUNTIF($AN$6:AN42,"Yes"),"")</f>
        <v/>
      </c>
      <c r="AT42" s="37"/>
      <c r="AU42" s="45" t="str">
        <f aca="false">IF(OR(F42="Completed",F42="Cancelled"),"",IF(AND(OR(F42="On Hold",ISNUMBER(H42)),AT42=""),"Reason not given",""))</f>
        <v/>
      </c>
      <c r="AV42" s="46" t="s">
        <v>209</v>
      </c>
      <c r="AW42" s="46"/>
    </row>
    <row r="43" customFormat="false" ht="30" hidden="false" customHeight="true" outlineLevel="0" collapsed="false">
      <c r="A43" s="36" t="n">
        <v>38</v>
      </c>
      <c r="B43" s="37" t="s">
        <v>104</v>
      </c>
      <c r="C43" s="38" t="s">
        <v>265</v>
      </c>
      <c r="D43" s="37" t="s">
        <v>162</v>
      </c>
      <c r="E43" s="36" t="str">
        <f aca="false">IF(NOT(OR(M43="Completed",M43="NA",M43="Cancelled")),"S1 Schematic",IF(NOT(OR(Q43="Completed",Q43="NA",Q43="Cancelled")),"S2 PCB Layout",IF(NOT(OR(U43="Completed",U43="NA",U43="Cancelled")),"S3 SI &amp; PI",IF(NOT(OR(Y43="Completed",Y43="NA",Y43="Cancelled")),"S4 Bare-PCB Fab",IF(NOT(OR(AC43="Completed",AC43="NA",AC43="Cancelled")),"S5 Assembly",IF(NOT(OR(AG43="Completed",AG43="NA",AG43="Cancelled")),"S6 Bring-up",IF(NOT(OR(AK43="Completed",AK43="NA",AK43="Cancelled")),"S7 BOM Procurement","All Stages Closed")))))))</f>
        <v>All Stages Closed</v>
      </c>
      <c r="F43" s="39" t="str">
        <f aca="false">IF(COUNTIF(M43,"Cancelled")+COUNTIF(Q43,"Cancelled")+COUNTIF(U43,"Cancelled")+COUNTIF(Y43,"Cancelled")+COUNTIF(AC43,"Cancelled")+COUNTIF(AG43,"Cancelled")+COUNTIF(AK43,"Cancelled")&gt;0,"Cancelled",IF(E43="All Stages Closed","Completed",IF(E43="S1 Schematic",M43,IF(E43="S2 PCB Layout",Q43,IF(E43="S3 SI &amp; PI",U43,IF(E43="S4 Bare-PCB Fab",Y43,IF(E43="S5 Assembly",AC43,IF(E43="S6 Bring-up",AG43,AK43))))))))</f>
        <v>Completed</v>
      </c>
      <c r="G43" s="40" t="str">
        <f aca="false">IF(E43="All Stages Closed","",IF(E43="S1 Schematic",IF(N43="","Not added",N43),IF(E43="S2 PCB Layout",IF(R43="","Not added",R43),IF(E43="S3 SI &amp; PI",IF(V43="","Not added",V43),IF(E43="S4 Bare-PCB Fab",IF(Z43="","Not added",Z43),IF(E43="S5 Assembly",IF(AD43="","Not added",AD43),IF(E43="S6 Bring-up",IF(AH43="","Not added",AH43),IF(AL43="","Not added",AL43))))))))</f>
        <v/>
      </c>
      <c r="H43" s="39" t="str">
        <f aca="true">IF(OR(F43="Completed",F43="Cancelled"),"",IF(NOT(ISNUMBER(G43)),"Date not added",IF(TODAY()&gt;G43,TODAY()-G43,G43-TODAY()&amp;" days left")))</f>
        <v/>
      </c>
      <c r="I43" s="36" t="n">
        <f aca="false">COUNTIF(M43,"Completed")+COUNTIF(Q43,"Completed")+COUNTIF(U43,"Completed")+COUNTIF(Y43,"Completed")+COUNTIF(AC43,"Completed")+COUNTIF(AG43,"Completed")+COUNTIF(AK43,"Completed")</f>
        <v>2</v>
      </c>
      <c r="J43" s="36" t="n">
        <f aca="false">7-(COUNTIF(M43,"NA")+COUNTIF(Q43,"NA")+COUNTIF(U43,"NA")+COUNTIF(Y43,"NA")+COUNTIF(AC43,"NA")+COUNTIF(AG43,"NA")+COUNTIF(AK43,"NA"))</f>
        <v>2</v>
      </c>
      <c r="K43" s="41" t="n">
        <f aca="false">IFERROR(I43/J43,"")</f>
        <v>1</v>
      </c>
      <c r="L43" s="37" t="s">
        <v>101</v>
      </c>
      <c r="M43" s="36" t="s">
        <v>48</v>
      </c>
      <c r="N43" s="42" t="n">
        <v>46254</v>
      </c>
      <c r="O43" s="42"/>
      <c r="P43" s="37"/>
      <c r="Q43" s="36" t="s">
        <v>48</v>
      </c>
      <c r="R43" s="42"/>
      <c r="S43" s="42"/>
      <c r="T43" s="37"/>
      <c r="U43" s="36" t="s">
        <v>53</v>
      </c>
      <c r="V43" s="42"/>
      <c r="W43" s="42"/>
      <c r="X43" s="37"/>
      <c r="Y43" s="36" t="s">
        <v>53</v>
      </c>
      <c r="Z43" s="42"/>
      <c r="AA43" s="42"/>
      <c r="AB43" s="37"/>
      <c r="AC43" s="36" t="s">
        <v>53</v>
      </c>
      <c r="AD43" s="42"/>
      <c r="AE43" s="42"/>
      <c r="AF43" s="37"/>
      <c r="AG43" s="36" t="s">
        <v>53</v>
      </c>
      <c r="AH43" s="42"/>
      <c r="AI43" s="42"/>
      <c r="AJ43" s="37"/>
      <c r="AK43" s="36" t="s">
        <v>53</v>
      </c>
      <c r="AL43" s="42"/>
      <c r="AM43" s="42"/>
      <c r="AN43" s="36" t="s">
        <v>74</v>
      </c>
      <c r="AO43" s="37"/>
      <c r="AP43" s="37"/>
      <c r="AQ43" s="43"/>
      <c r="AR43" s="44" t="str">
        <f aca="false">IF(AN43&lt;&gt;"Yes","",IF(AO43="","SELECT RE-ENTRY STAGE","MOVE TO ACTIVE at "&amp;AO43))</f>
        <v/>
      </c>
      <c r="AS43" s="37" t="str">
        <f aca="false">IF(AN43="Yes",COUNTIF($AN$6:AN43,"Yes"),"")</f>
        <v/>
      </c>
      <c r="AT43" s="37"/>
      <c r="AU43" s="45" t="str">
        <f aca="false">IF(OR(F43="Completed",F43="Cancelled"),"",IF(AND(OR(F43="On Hold",ISNUMBER(H43)),AT43=""),"Reason not given",""))</f>
        <v/>
      </c>
      <c r="AV43" s="46" t="s">
        <v>209</v>
      </c>
      <c r="AW43" s="46"/>
    </row>
    <row r="44" customFormat="false" ht="30" hidden="false" customHeight="true" outlineLevel="0" collapsed="false">
      <c r="A44" s="36" t="n">
        <v>39</v>
      </c>
      <c r="B44" s="37" t="s">
        <v>104</v>
      </c>
      <c r="C44" s="38" t="s">
        <v>266</v>
      </c>
      <c r="D44" s="37" t="s">
        <v>162</v>
      </c>
      <c r="E44" s="36" t="str">
        <f aca="false">IF(NOT(OR(M44="Completed",M44="NA",M44="Cancelled")),"S1 Schematic",IF(NOT(OR(Q44="Completed",Q44="NA",Q44="Cancelled")),"S2 PCB Layout",IF(NOT(OR(U44="Completed",U44="NA",U44="Cancelled")),"S3 SI &amp; PI",IF(NOT(OR(Y44="Completed",Y44="NA",Y44="Cancelled")),"S4 Bare-PCB Fab",IF(NOT(OR(AC44="Completed",AC44="NA",AC44="Cancelled")),"S5 Assembly",IF(NOT(OR(AG44="Completed",AG44="NA",AG44="Cancelled")),"S6 Bring-up",IF(NOT(OR(AK44="Completed",AK44="NA",AK44="Cancelled")),"S7 BOM Procurement","All Stages Closed")))))))</f>
        <v>All Stages Closed</v>
      </c>
      <c r="F44" s="39" t="str">
        <f aca="false">IF(COUNTIF(M44,"Cancelled")+COUNTIF(Q44,"Cancelled")+COUNTIF(U44,"Cancelled")+COUNTIF(Y44,"Cancelled")+COUNTIF(AC44,"Cancelled")+COUNTIF(AG44,"Cancelled")+COUNTIF(AK44,"Cancelled")&gt;0,"Cancelled",IF(E44="All Stages Closed","Completed",IF(E44="S1 Schematic",M44,IF(E44="S2 PCB Layout",Q44,IF(E44="S3 SI &amp; PI",U44,IF(E44="S4 Bare-PCB Fab",Y44,IF(E44="S5 Assembly",AC44,IF(E44="S6 Bring-up",AG44,AK44))))))))</f>
        <v>Completed</v>
      </c>
      <c r="G44" s="40" t="str">
        <f aca="false">IF(E44="All Stages Closed","",IF(E44="S1 Schematic",IF(N44="","Not added",N44),IF(E44="S2 PCB Layout",IF(R44="","Not added",R44),IF(E44="S3 SI &amp; PI",IF(V44="","Not added",V44),IF(E44="S4 Bare-PCB Fab",IF(Z44="","Not added",Z44),IF(E44="S5 Assembly",IF(AD44="","Not added",AD44),IF(E44="S6 Bring-up",IF(AH44="","Not added",AH44),IF(AL44="","Not added",AL44))))))))</f>
        <v/>
      </c>
      <c r="H44" s="39" t="str">
        <f aca="true">IF(OR(F44="Completed",F44="Cancelled"),"",IF(NOT(ISNUMBER(G44)),"Date not added",IF(TODAY()&gt;G44,TODAY()-G44,G44-TODAY()&amp;" days left")))</f>
        <v/>
      </c>
      <c r="I44" s="36" t="n">
        <f aca="false">COUNTIF(M44,"Completed")+COUNTIF(Q44,"Completed")+COUNTIF(U44,"Completed")+COUNTIF(Y44,"Completed")+COUNTIF(AC44,"Completed")+COUNTIF(AG44,"Completed")+COUNTIF(AK44,"Completed")</f>
        <v>4</v>
      </c>
      <c r="J44" s="36" t="n">
        <f aca="false">7-(COUNTIF(M44,"NA")+COUNTIF(Q44,"NA")+COUNTIF(U44,"NA")+COUNTIF(Y44,"NA")+COUNTIF(AC44,"NA")+COUNTIF(AG44,"NA")+COUNTIF(AK44,"NA"))</f>
        <v>4</v>
      </c>
      <c r="K44" s="41" t="n">
        <f aca="false">IFERROR(I44/J44,"")</f>
        <v>1</v>
      </c>
      <c r="L44" s="37" t="s">
        <v>101</v>
      </c>
      <c r="M44" s="36" t="s">
        <v>48</v>
      </c>
      <c r="N44" s="42" t="n">
        <v>46254</v>
      </c>
      <c r="O44" s="42"/>
      <c r="P44" s="37"/>
      <c r="Q44" s="36" t="s">
        <v>48</v>
      </c>
      <c r="R44" s="42"/>
      <c r="S44" s="42"/>
      <c r="T44" s="37"/>
      <c r="U44" s="36" t="s">
        <v>53</v>
      </c>
      <c r="V44" s="42"/>
      <c r="W44" s="42"/>
      <c r="X44" s="37"/>
      <c r="Y44" s="36" t="s">
        <v>48</v>
      </c>
      <c r="Z44" s="42"/>
      <c r="AA44" s="42"/>
      <c r="AB44" s="37"/>
      <c r="AC44" s="36" t="s">
        <v>48</v>
      </c>
      <c r="AD44" s="42"/>
      <c r="AE44" s="42"/>
      <c r="AF44" s="37"/>
      <c r="AG44" s="36" t="s">
        <v>53</v>
      </c>
      <c r="AH44" s="42"/>
      <c r="AI44" s="42"/>
      <c r="AJ44" s="37"/>
      <c r="AK44" s="36" t="s">
        <v>53</v>
      </c>
      <c r="AL44" s="42"/>
      <c r="AM44" s="42"/>
      <c r="AN44" s="36" t="s">
        <v>74</v>
      </c>
      <c r="AO44" s="37"/>
      <c r="AP44" s="37"/>
      <c r="AQ44" s="43"/>
      <c r="AR44" s="44" t="str">
        <f aca="false">IF(AN44&lt;&gt;"Yes","",IF(AO44="","SELECT RE-ENTRY STAGE","MOVE TO ACTIVE at "&amp;AO44))</f>
        <v/>
      </c>
      <c r="AS44" s="37" t="str">
        <f aca="false">IF(AN44="Yes",COUNTIF($AN$6:AN44,"Yes"),"")</f>
        <v/>
      </c>
      <c r="AT44" s="37"/>
      <c r="AU44" s="45" t="str">
        <f aca="false">IF(OR(F44="Completed",F44="Cancelled"),"",IF(AND(OR(F44="On Hold",ISNUMBER(H44)),AT44=""),"Reason not given",""))</f>
        <v/>
      </c>
      <c r="AV44" s="46" t="s">
        <v>209</v>
      </c>
      <c r="AW44" s="46"/>
    </row>
    <row r="45" customFormat="false" ht="30" hidden="false" customHeight="true" outlineLevel="0" collapsed="false">
      <c r="A45" s="36" t="n">
        <v>40</v>
      </c>
      <c r="B45" s="37" t="s">
        <v>104</v>
      </c>
      <c r="C45" s="38" t="s">
        <v>267</v>
      </c>
      <c r="D45" s="37" t="s">
        <v>162</v>
      </c>
      <c r="E45" s="36" t="str">
        <f aca="false">IF(NOT(OR(M45="Completed",M45="NA",M45="Cancelled")),"S1 Schematic",IF(NOT(OR(Q45="Completed",Q45="NA",Q45="Cancelled")),"S2 PCB Layout",IF(NOT(OR(U45="Completed",U45="NA",U45="Cancelled")),"S3 SI &amp; PI",IF(NOT(OR(Y45="Completed",Y45="NA",Y45="Cancelled")),"S4 Bare-PCB Fab",IF(NOT(OR(AC45="Completed",AC45="NA",AC45="Cancelled")),"S5 Assembly",IF(NOT(OR(AG45="Completed",AG45="NA",AG45="Cancelled")),"S6 Bring-up",IF(NOT(OR(AK45="Completed",AK45="NA",AK45="Cancelled")),"S7 BOM Procurement","All Stages Closed")))))))</f>
        <v>All Stages Closed</v>
      </c>
      <c r="F45" s="39" t="str">
        <f aca="false">IF(COUNTIF(M45,"Cancelled")+COUNTIF(Q45,"Cancelled")+COUNTIF(U45,"Cancelled")+COUNTIF(Y45,"Cancelled")+COUNTIF(AC45,"Cancelled")+COUNTIF(AG45,"Cancelled")+COUNTIF(AK45,"Cancelled")&gt;0,"Cancelled",IF(E45="All Stages Closed","Completed",IF(E45="S1 Schematic",M45,IF(E45="S2 PCB Layout",Q45,IF(E45="S3 SI &amp; PI",U45,IF(E45="S4 Bare-PCB Fab",Y45,IF(E45="S5 Assembly",AC45,IF(E45="S6 Bring-up",AG45,AK45))))))))</f>
        <v>Completed</v>
      </c>
      <c r="G45" s="40" t="str">
        <f aca="false">IF(E45="All Stages Closed","",IF(E45="S1 Schematic",IF(N45="","Not added",N45),IF(E45="S2 PCB Layout",IF(R45="","Not added",R45),IF(E45="S3 SI &amp; PI",IF(V45="","Not added",V45),IF(E45="S4 Bare-PCB Fab",IF(Z45="","Not added",Z45),IF(E45="S5 Assembly",IF(AD45="","Not added",AD45),IF(E45="S6 Bring-up",IF(AH45="","Not added",AH45),IF(AL45="","Not added",AL45))))))))</f>
        <v/>
      </c>
      <c r="H45" s="39" t="str">
        <f aca="true">IF(OR(F45="Completed",F45="Cancelled"),"",IF(NOT(ISNUMBER(G45)),"Date not added",IF(TODAY()&gt;G45,TODAY()-G45,G45-TODAY()&amp;" days left")))</f>
        <v/>
      </c>
      <c r="I45" s="36" t="n">
        <f aca="false">COUNTIF(M45,"Completed")+COUNTIF(Q45,"Completed")+COUNTIF(U45,"Completed")+COUNTIF(Y45,"Completed")+COUNTIF(AC45,"Completed")+COUNTIF(AG45,"Completed")+COUNTIF(AK45,"Completed")</f>
        <v>4</v>
      </c>
      <c r="J45" s="36" t="n">
        <f aca="false">7-(COUNTIF(M45,"NA")+COUNTIF(Q45,"NA")+COUNTIF(U45,"NA")+COUNTIF(Y45,"NA")+COUNTIF(AC45,"NA")+COUNTIF(AG45,"NA")+COUNTIF(AK45,"NA"))</f>
        <v>4</v>
      </c>
      <c r="K45" s="41" t="n">
        <f aca="false">IFERROR(I45/J45,"")</f>
        <v>1</v>
      </c>
      <c r="L45" s="37" t="s">
        <v>101</v>
      </c>
      <c r="M45" s="36" t="s">
        <v>48</v>
      </c>
      <c r="N45" s="42" t="n">
        <v>46254</v>
      </c>
      <c r="O45" s="42"/>
      <c r="P45" s="37"/>
      <c r="Q45" s="36" t="s">
        <v>48</v>
      </c>
      <c r="R45" s="42"/>
      <c r="S45" s="42"/>
      <c r="T45" s="37"/>
      <c r="U45" s="36" t="s">
        <v>53</v>
      </c>
      <c r="V45" s="42"/>
      <c r="W45" s="42"/>
      <c r="X45" s="37"/>
      <c r="Y45" s="36" t="s">
        <v>48</v>
      </c>
      <c r="Z45" s="42"/>
      <c r="AA45" s="42"/>
      <c r="AB45" s="37"/>
      <c r="AC45" s="36" t="s">
        <v>48</v>
      </c>
      <c r="AD45" s="42"/>
      <c r="AE45" s="42"/>
      <c r="AF45" s="37"/>
      <c r="AG45" s="36" t="s">
        <v>53</v>
      </c>
      <c r="AH45" s="42"/>
      <c r="AI45" s="42"/>
      <c r="AJ45" s="37"/>
      <c r="AK45" s="36" t="s">
        <v>53</v>
      </c>
      <c r="AL45" s="42"/>
      <c r="AM45" s="42"/>
      <c r="AN45" s="36" t="s">
        <v>74</v>
      </c>
      <c r="AO45" s="37"/>
      <c r="AP45" s="37"/>
      <c r="AQ45" s="43"/>
      <c r="AR45" s="44" t="str">
        <f aca="false">IF(AN45&lt;&gt;"Yes","",IF(AO45="","SELECT RE-ENTRY STAGE","MOVE TO ACTIVE at "&amp;AO45))</f>
        <v/>
      </c>
      <c r="AS45" s="37" t="str">
        <f aca="false">IF(AN45="Yes",COUNTIF($AN$6:AN45,"Yes"),"")</f>
        <v/>
      </c>
      <c r="AT45" s="37"/>
      <c r="AU45" s="45" t="str">
        <f aca="false">IF(OR(F45="Completed",F45="Cancelled"),"",IF(AND(OR(F45="On Hold",ISNUMBER(H45)),AT45=""),"Reason not given",""))</f>
        <v/>
      </c>
      <c r="AV45" s="46" t="s">
        <v>209</v>
      </c>
      <c r="AW45" s="46"/>
    </row>
    <row r="46" customFormat="false" ht="30" hidden="false" customHeight="true" outlineLevel="0" collapsed="false">
      <c r="A46" s="36" t="n">
        <v>41</v>
      </c>
      <c r="B46" s="37" t="s">
        <v>104</v>
      </c>
      <c r="C46" s="38" t="s">
        <v>268</v>
      </c>
      <c r="D46" s="37" t="s">
        <v>247</v>
      </c>
      <c r="E46" s="36" t="str">
        <f aca="false">IF(NOT(OR(M46="Completed",M46="NA",M46="Cancelled")),"S1 Schematic",IF(NOT(OR(Q46="Completed",Q46="NA",Q46="Cancelled")),"S2 PCB Layout",IF(NOT(OR(U46="Completed",U46="NA",U46="Cancelled")),"S3 SI &amp; PI",IF(NOT(OR(Y46="Completed",Y46="NA",Y46="Cancelled")),"S4 Bare-PCB Fab",IF(NOT(OR(AC46="Completed",AC46="NA",AC46="Cancelled")),"S5 Assembly",IF(NOT(OR(AG46="Completed",AG46="NA",AG46="Cancelled")),"S6 Bring-up",IF(NOT(OR(AK46="Completed",AK46="NA",AK46="Cancelled")),"S7 BOM Procurement","All Stages Closed")))))))</f>
        <v>All Stages Closed</v>
      </c>
      <c r="F46" s="39" t="str">
        <f aca="false">IF(COUNTIF(M46,"Cancelled")+COUNTIF(Q46,"Cancelled")+COUNTIF(U46,"Cancelled")+COUNTIF(Y46,"Cancelled")+COUNTIF(AC46,"Cancelled")+COUNTIF(AG46,"Cancelled")+COUNTIF(AK46,"Cancelled")&gt;0,"Cancelled",IF(E46="All Stages Closed","Completed",IF(E46="S1 Schematic",M46,IF(E46="S2 PCB Layout",Q46,IF(E46="S3 SI &amp; PI",U46,IF(E46="S4 Bare-PCB Fab",Y46,IF(E46="S5 Assembly",AC46,IF(E46="S6 Bring-up",AG46,AK46))))))))</f>
        <v>Completed</v>
      </c>
      <c r="G46" s="40" t="str">
        <f aca="false">IF(E46="All Stages Closed","",IF(E46="S1 Schematic",IF(N46="","Not added",N46),IF(E46="S2 PCB Layout",IF(R46="","Not added",R46),IF(E46="S3 SI &amp; PI",IF(V46="","Not added",V46),IF(E46="S4 Bare-PCB Fab",IF(Z46="","Not added",Z46),IF(E46="S5 Assembly",IF(AD46="","Not added",AD46),IF(E46="S6 Bring-up",IF(AH46="","Not added",AH46),IF(AL46="","Not added",AL46))))))))</f>
        <v/>
      </c>
      <c r="H46" s="39" t="str">
        <f aca="true">IF(OR(F46="Completed",F46="Cancelled"),"",IF(NOT(ISNUMBER(G46)),"Date not added",IF(TODAY()&gt;G46,TODAY()-G46,G46-TODAY()&amp;" days left")))</f>
        <v/>
      </c>
      <c r="I46" s="36" t="n">
        <f aca="false">COUNTIF(M46,"Completed")+COUNTIF(Q46,"Completed")+COUNTIF(U46,"Completed")+COUNTIF(Y46,"Completed")+COUNTIF(AC46,"Completed")+COUNTIF(AG46,"Completed")+COUNTIF(AK46,"Completed")</f>
        <v>4</v>
      </c>
      <c r="J46" s="36" t="n">
        <f aca="false">7-(COUNTIF(M46,"NA")+COUNTIF(Q46,"NA")+COUNTIF(U46,"NA")+COUNTIF(Y46,"NA")+COUNTIF(AC46,"NA")+COUNTIF(AG46,"NA")+COUNTIF(AK46,"NA"))</f>
        <v>4</v>
      </c>
      <c r="K46" s="41" t="n">
        <f aca="false">IFERROR(I46/J46,"")</f>
        <v>1</v>
      </c>
      <c r="L46" s="37" t="s">
        <v>101</v>
      </c>
      <c r="M46" s="36" t="s">
        <v>48</v>
      </c>
      <c r="N46" s="42" t="n">
        <v>46254</v>
      </c>
      <c r="O46" s="42"/>
      <c r="P46" s="37" t="s">
        <v>103</v>
      </c>
      <c r="Q46" s="36" t="s">
        <v>48</v>
      </c>
      <c r="R46" s="42" t="n">
        <v>46219</v>
      </c>
      <c r="S46" s="42"/>
      <c r="T46" s="37"/>
      <c r="U46" s="36" t="s">
        <v>53</v>
      </c>
      <c r="V46" s="42"/>
      <c r="W46" s="42"/>
      <c r="X46" s="37" t="s">
        <v>228</v>
      </c>
      <c r="Y46" s="36" t="s">
        <v>48</v>
      </c>
      <c r="Z46" s="42" t="n">
        <v>46233</v>
      </c>
      <c r="AA46" s="42"/>
      <c r="AB46" s="37"/>
      <c r="AC46" s="36" t="s">
        <v>48</v>
      </c>
      <c r="AD46" s="42"/>
      <c r="AE46" s="42"/>
      <c r="AF46" s="37"/>
      <c r="AG46" s="36" t="s">
        <v>53</v>
      </c>
      <c r="AH46" s="42"/>
      <c r="AI46" s="42"/>
      <c r="AJ46" s="37"/>
      <c r="AK46" s="36" t="s">
        <v>53</v>
      </c>
      <c r="AL46" s="42"/>
      <c r="AM46" s="42"/>
      <c r="AN46" s="36" t="s">
        <v>74</v>
      </c>
      <c r="AO46" s="37"/>
      <c r="AP46" s="37"/>
      <c r="AQ46" s="43"/>
      <c r="AR46" s="44" t="str">
        <f aca="false">IF(AN46&lt;&gt;"Yes","",IF(AO46="","SELECT RE-ENTRY STAGE","MOVE TO ACTIVE at "&amp;AO46))</f>
        <v/>
      </c>
      <c r="AS46" s="37" t="str">
        <f aca="false">IF(AN46="Yes",COUNTIF($AN$6:AN46,"Yes"),"")</f>
        <v/>
      </c>
      <c r="AT46" s="37"/>
      <c r="AU46" s="45" t="str">
        <f aca="false">IF(OR(F46="Completed",F46="Cancelled"),"",IF(AND(OR(F46="On Hold",ISNUMBER(H46)),AT46=""),"Reason not given",""))</f>
        <v/>
      </c>
      <c r="AV46" s="46" t="s">
        <v>233</v>
      </c>
      <c r="AW46" s="46"/>
    </row>
    <row r="47" customFormat="false" ht="30" hidden="false" customHeight="true" outlineLevel="0" collapsed="false">
      <c r="A47" s="36" t="n">
        <v>42</v>
      </c>
      <c r="B47" s="37" t="s">
        <v>104</v>
      </c>
      <c r="C47" s="38" t="s">
        <v>269</v>
      </c>
      <c r="D47" s="37" t="s">
        <v>247</v>
      </c>
      <c r="E47" s="36" t="str">
        <f aca="false">IF(NOT(OR(M47="Completed",M47="NA",M47="Cancelled")),"S1 Schematic",IF(NOT(OR(Q47="Completed",Q47="NA",Q47="Cancelled")),"S2 PCB Layout",IF(NOT(OR(U47="Completed",U47="NA",U47="Cancelled")),"S3 SI &amp; PI",IF(NOT(OR(Y47="Completed",Y47="NA",Y47="Cancelled")),"S4 Bare-PCB Fab",IF(NOT(OR(AC47="Completed",AC47="NA",AC47="Cancelled")),"S5 Assembly",IF(NOT(OR(AG47="Completed",AG47="NA",AG47="Cancelled")),"S6 Bring-up",IF(NOT(OR(AK47="Completed",AK47="NA",AK47="Cancelled")),"S7 BOM Procurement","All Stages Closed")))))))</f>
        <v>All Stages Closed</v>
      </c>
      <c r="F47" s="39" t="str">
        <f aca="false">IF(COUNTIF(M47,"Cancelled")+COUNTIF(Q47,"Cancelled")+COUNTIF(U47,"Cancelled")+COUNTIF(Y47,"Cancelled")+COUNTIF(AC47,"Cancelled")+COUNTIF(AG47,"Cancelled")+COUNTIF(AK47,"Cancelled")&gt;0,"Cancelled",IF(E47="All Stages Closed","Completed",IF(E47="S1 Schematic",M47,IF(E47="S2 PCB Layout",Q47,IF(E47="S3 SI &amp; PI",U47,IF(E47="S4 Bare-PCB Fab",Y47,IF(E47="S5 Assembly",AC47,IF(E47="S6 Bring-up",AG47,AK47))))))))</f>
        <v>Completed</v>
      </c>
      <c r="G47" s="40" t="str">
        <f aca="false">IF(E47="All Stages Closed","",IF(E47="S1 Schematic",IF(N47="","Not added",N47),IF(E47="S2 PCB Layout",IF(R47="","Not added",R47),IF(E47="S3 SI &amp; PI",IF(V47="","Not added",V47),IF(E47="S4 Bare-PCB Fab",IF(Z47="","Not added",Z47),IF(E47="S5 Assembly",IF(AD47="","Not added",AD47),IF(E47="S6 Bring-up",IF(AH47="","Not added",AH47),IF(AL47="","Not added",AL47))))))))</f>
        <v/>
      </c>
      <c r="H47" s="39" t="str">
        <f aca="true">IF(OR(F47="Completed",F47="Cancelled"),"",IF(NOT(ISNUMBER(G47)),"Date not added",IF(TODAY()&gt;G47,TODAY()-G47,G47-TODAY()&amp;" days left")))</f>
        <v/>
      </c>
      <c r="I47" s="36" t="n">
        <f aca="false">COUNTIF(M47,"Completed")+COUNTIF(Q47,"Completed")+COUNTIF(U47,"Completed")+COUNTIF(Y47,"Completed")+COUNTIF(AC47,"Completed")+COUNTIF(AG47,"Completed")+COUNTIF(AK47,"Completed")</f>
        <v>4</v>
      </c>
      <c r="J47" s="36" t="n">
        <f aca="false">7-(COUNTIF(M47,"NA")+COUNTIF(Q47,"NA")+COUNTIF(U47,"NA")+COUNTIF(Y47,"NA")+COUNTIF(AC47,"NA")+COUNTIF(AG47,"NA")+COUNTIF(AK47,"NA"))</f>
        <v>4</v>
      </c>
      <c r="K47" s="41" t="n">
        <f aca="false">IFERROR(I47/J47,"")</f>
        <v>1</v>
      </c>
      <c r="L47" s="37" t="s">
        <v>101</v>
      </c>
      <c r="M47" s="36" t="s">
        <v>48</v>
      </c>
      <c r="N47" s="42" t="n">
        <v>46254</v>
      </c>
      <c r="O47" s="42"/>
      <c r="P47" s="37" t="s">
        <v>108</v>
      </c>
      <c r="Q47" s="36" t="s">
        <v>48</v>
      </c>
      <c r="R47" s="42" t="n">
        <v>46218</v>
      </c>
      <c r="S47" s="42"/>
      <c r="T47" s="37"/>
      <c r="U47" s="36" t="s">
        <v>53</v>
      </c>
      <c r="V47" s="42"/>
      <c r="W47" s="42"/>
      <c r="X47" s="37"/>
      <c r="Y47" s="36" t="s">
        <v>48</v>
      </c>
      <c r="Z47" s="42"/>
      <c r="AA47" s="42"/>
      <c r="AB47" s="37"/>
      <c r="AC47" s="36" t="s">
        <v>48</v>
      </c>
      <c r="AD47" s="42"/>
      <c r="AE47" s="42"/>
      <c r="AF47" s="37"/>
      <c r="AG47" s="36" t="s">
        <v>53</v>
      </c>
      <c r="AH47" s="42"/>
      <c r="AI47" s="42"/>
      <c r="AJ47" s="37"/>
      <c r="AK47" s="36" t="s">
        <v>53</v>
      </c>
      <c r="AL47" s="42"/>
      <c r="AM47" s="42"/>
      <c r="AN47" s="36" t="s">
        <v>74</v>
      </c>
      <c r="AO47" s="37"/>
      <c r="AP47" s="37"/>
      <c r="AQ47" s="43"/>
      <c r="AR47" s="44" t="str">
        <f aca="false">IF(AN47&lt;&gt;"Yes","",IF(AO47="","SELECT RE-ENTRY STAGE","MOVE TO ACTIVE at "&amp;AO47))</f>
        <v/>
      </c>
      <c r="AS47" s="37" t="str">
        <f aca="false">IF(AN47="Yes",COUNTIF($AN$6:AN47,"Yes"),"")</f>
        <v/>
      </c>
      <c r="AT47" s="37"/>
      <c r="AU47" s="45" t="str">
        <f aca="false">IF(OR(F47="Completed",F47="Cancelled"),"",IF(AND(OR(F47="On Hold",ISNUMBER(H47)),AT47=""),"Reason not given",""))</f>
        <v/>
      </c>
      <c r="AV47" s="46" t="s">
        <v>233</v>
      </c>
      <c r="AW47" s="46"/>
    </row>
  </sheetData>
  <autoFilter ref="A5:AW47"/>
  <mergeCells count="12">
    <mergeCell ref="A2:P2"/>
    <mergeCell ref="A4:D4"/>
    <mergeCell ref="E4:K4"/>
    <mergeCell ref="L4:O4"/>
    <mergeCell ref="P4:S4"/>
    <mergeCell ref="T4:W4"/>
    <mergeCell ref="X4:AA4"/>
    <mergeCell ref="AB4:AE4"/>
    <mergeCell ref="AF4:AI4"/>
    <mergeCell ref="AJ4:AM4"/>
    <mergeCell ref="AN4:AS4"/>
    <mergeCell ref="AT4:AW4"/>
  </mergeCells>
  <conditionalFormatting sqref="F6:F247 M6:M247 Q6:Q247 U6:U247 Y6:Y247 AC6:AC247 AG6:AG247 AK6:AK247">
    <cfRule type="cellIs" priority="2" operator="equal" aboveAverage="0" equalAverage="0" bottom="0" percent="0" rank="0" text="" dxfId="12">
      <formula>"Completed"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"On Hold"</formula>
    </cfRule>
    <cfRule type="cellIs" priority="5" operator="equal" aboveAverage="0" equalAverage="0" bottom="0" percent="0" rank="0" text="" dxfId="15">
      <formula>"Not Started"</formula>
    </cfRule>
    <cfRule type="cellIs" priority="6" operator="equal" aboveAverage="0" equalAverage="0" bottom="0" percent="0" rank="0" text="" dxfId="16">
      <formula>"Cancelled"</formula>
    </cfRule>
    <cfRule type="cellIs" priority="7" operator="equal" aboveAverage="0" equalAverage="0" bottom="0" percent="0" rank="0" text="" dxfId="17">
      <formula>"NA"</formula>
    </cfRule>
  </conditionalFormatting>
  <conditionalFormatting sqref="H6:H247">
    <cfRule type="cellIs" priority="8" operator="greaterThan" aboveAverage="0" equalAverage="0" bottom="0" percent="0" rank="0" text="" dxfId="16">
      <formula>0</formula>
    </cfRule>
    <cfRule type="cellIs" priority="9" operator="equal" aboveAverage="0" equalAverage="0" bottom="0" percent="0" rank="0" text="" dxfId="18">
      <formula>"Date not added"</formula>
    </cfRule>
  </conditionalFormatting>
  <conditionalFormatting sqref="AU6:AU247">
    <cfRule type="cellIs" priority="10" operator="equal" aboveAverage="0" equalAverage="0" bottom="0" percent="0" rank="0" text="" dxfId="13">
      <formula>"Reason not given"</formula>
    </cfRule>
  </conditionalFormatting>
  <conditionalFormatting sqref="A6:AW247">
    <cfRule type="expression" priority="11" aboveAverage="0" equalAverage="0" bottom="0" percent="0" rank="0" text="" dxfId="19">
      <formula>$AN6="Yes"</formula>
    </cfRule>
  </conditionalFormatting>
  <dataValidations count="19">
    <dataValidation allowBlank="true" error="Pick one of: Completed, In Progress, On Hold, Not Started, NA, Cancelled" errorStyle="stop" errorTitle="Status" operator="between" showDropDown="false" showErrorMessage="true" showInputMessage="false" sqref="M6:M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L6:L247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Q6:Q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P6:P247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U6:U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T6:T247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Y6:Y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X6:X247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C6:AC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AB6:AB247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G6:AG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AF6:AF247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K6:AK247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AJ6:AJ247" type="list">
      <formula1>LISTS!$G$2:$G$17</formula1>
      <formula2>0</formula2>
    </dataValidation>
    <dataValidation allowBlank="true" error="Pick an existing customer or add it on LISTS." errorStyle="stop" errorTitle="Customer" operator="between" showDropDown="false" showErrorMessage="true" showInputMessage="false" sqref="B6:B247" type="list">
      <formula1>LISTS!$E$2:$E$12</formula1>
      <formula2>0</formula2>
    </dataValidation>
    <dataValidation allowBlank="true" error="Pick a reason code." errorStyle="stop" errorTitle="Hold / delay reason" operator="between" showDropDown="false" showErrorMessage="true" showInputMessage="false" sqref="AT6:AT247" type="list">
      <formula1>LISTS!$F$2:$F$10</formula1>
      <formula2>0</formula2>
    </dataValidation>
    <dataValidation allowBlank="true" error="Pick a reason code." errorStyle="stop" errorTitle="Respin Reason" operator="between" showDropDown="false" showErrorMessage="true" showInputMessage="false" sqref="AP6:AP247" type="list">
      <formula1>LISTS!$C$2:$C$9</formula1>
      <formula2>0</formula2>
    </dataValidation>
    <dataValidation allowBlank="true" error="Pick the stage the board re-enters at." errorStyle="stop" errorTitle="Stage" operator="between" showDropDown="false" showErrorMessage="true" showInputMessage="false" sqref="AO6:AO247" type="list">
      <formula1>LISTS!$B$2:$B$8</formula1>
      <formula2>0</formula2>
    </dataValidation>
    <dataValidation allowBlank="true" error="Yes or No." errorStyle="stop" errorTitle="Respin" operator="between" showDropDown="false" showErrorMessage="true" showInputMessage="false" sqref="AN6:AN247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9" min="18" style="0" width="12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3" min="22" style="0" width="12"/>
    <col collapsed="false" customWidth="true" hidden="false" outlineLevel="0" max="24" min="24" style="0" width="14"/>
    <col collapsed="false" customWidth="true" hidden="false" outlineLevel="0" max="25" min="25" style="0" width="13"/>
    <col collapsed="false" customWidth="true" hidden="false" outlineLevel="0" max="27" min="26" style="0" width="12"/>
    <col collapsed="false" customWidth="true" hidden="false" outlineLevel="0" max="28" min="28" style="0" width="14"/>
    <col collapsed="false" customWidth="true" hidden="false" outlineLevel="0" max="29" min="29" style="0" width="13"/>
    <col collapsed="false" customWidth="true" hidden="false" outlineLevel="0" max="31" min="30" style="0" width="12"/>
    <col collapsed="false" customWidth="true" hidden="false" outlineLevel="0" max="32" min="32" style="0" width="14"/>
    <col collapsed="false" customWidth="true" hidden="false" outlineLevel="0" max="33" min="33" style="0" width="13"/>
    <col collapsed="false" customWidth="true" hidden="false" outlineLevel="0" max="35" min="34" style="0" width="12"/>
    <col collapsed="false" customWidth="true" hidden="false" outlineLevel="0" max="36" min="36" style="0" width="14"/>
    <col collapsed="false" customWidth="true" hidden="false" outlineLevel="0" max="37" min="37" style="0" width="13"/>
    <col collapsed="false" customWidth="true" hidden="false" outlineLevel="0" max="39" min="38" style="0" width="12"/>
    <col collapsed="false" customWidth="true" hidden="false" outlineLevel="0" max="40" min="40" style="0" width="10"/>
    <col collapsed="false" customWidth="true" hidden="false" outlineLevel="0" max="41" min="41" style="0" width="18"/>
    <col collapsed="false" customWidth="true" hidden="false" outlineLevel="0" max="42" min="42" style="0" width="26"/>
    <col collapsed="false" customWidth="true" hidden="false" outlineLevel="0" max="43" min="43" style="0" width="12"/>
    <col collapsed="false" customWidth="true" hidden="false" outlineLevel="0" max="44" min="44" style="0" width="24"/>
    <col collapsed="false" customWidth="true" hidden="false" outlineLevel="0" max="45" min="45" style="0" width="16"/>
    <col collapsed="false" customWidth="true" hidden="false" outlineLevel="0" max="46" min="46" style="0" width="42"/>
    <col collapsed="false" customWidth="true" hidden="false" outlineLevel="0" max="47" min="47" style="0" width="34"/>
  </cols>
  <sheetData>
    <row r="1" customFormat="false" ht="18.55" hidden="false" customHeight="false" outlineLevel="0" collapsed="false">
      <c r="A1" s="13" t="s">
        <v>270</v>
      </c>
    </row>
    <row r="2" customFormat="false" ht="15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customFormat="false" ht="15" hidden="false" customHeight="false" outlineLevel="0" collapsed="false">
      <c r="A4" s="47" t="s">
        <v>271</v>
      </c>
      <c r="B4" s="48"/>
      <c r="C4" s="48"/>
      <c r="D4" s="48"/>
      <c r="E4" s="48"/>
      <c r="F4" s="48"/>
      <c r="G4" s="48"/>
      <c r="H4" s="49" t="str">
        <f aca="false">COUNTIF(COMPLETED!$AN$6:$AN$247,"Yes")&amp;" board(s) flagged for respin"</f>
        <v>1 board(s) flagged for respin</v>
      </c>
    </row>
    <row r="5" customFormat="false" ht="15" hidden="false" customHeight="false" outlineLevel="0" collapsed="false">
      <c r="A5" s="50" t="s">
        <v>193</v>
      </c>
      <c r="B5" s="50" t="s">
        <v>65</v>
      </c>
      <c r="C5" s="50" t="s">
        <v>272</v>
      </c>
      <c r="D5" s="50" t="s">
        <v>62</v>
      </c>
      <c r="E5" s="50" t="s">
        <v>63</v>
      </c>
      <c r="F5" s="50" t="s">
        <v>191</v>
      </c>
      <c r="G5" s="50" t="s">
        <v>273</v>
      </c>
    </row>
    <row r="6" customFormat="false" ht="15" hidden="false" customHeight="false" outlineLevel="0" collapsed="false">
      <c r="A6" s="51" t="n">
        <v>1</v>
      </c>
      <c r="B6" s="51" t="str">
        <f aca="false">IFERROR(INDEX(COMPLETED!$B$6:$B$247,MATCH(1,COMPLETED!$AS$6:$AS$247,0))&amp;"","")</f>
        <v>Not set</v>
      </c>
      <c r="C6" s="52" t="str">
        <f aca="false">IFERROR(INDEX(COMPLETED!$C$6:$C$247,MATCH(1,COMPLETED!$AS$6:$AS$247,0))&amp;"","")</f>
        <v>USB_Radio-Card</v>
      </c>
      <c r="D6" s="51" t="str">
        <f aca="false">IFERROR(INDEX(COMPLETED!$AO$6:$AO$247,MATCH(1,COMPLETED!$AS$6:$AS$247,0))&amp;"","")</f>
        <v/>
      </c>
      <c r="E6" s="53" t="str">
        <f aca="false">IFERROR(INDEX(COMPLETED!$AP$6:$AP$247,MATCH(1,COMPLETED!$AS$6:$AS$247,0))&amp;"","")</f>
        <v/>
      </c>
      <c r="F6" s="54" t="str">
        <f aca="false">IFERROR(INDEX(COMPLETED!$AQ$6:$AQ$247,MATCH(1,COMPLETED!$AS$6:$AS$247,0))&amp;"","")</f>
        <v/>
      </c>
      <c r="G6" s="53" t="str">
        <f aca="false">IF(C6="","",IF(D6="","Re-entry stage not set","start at "&amp;D6))</f>
        <v>Re-entry stage not set</v>
      </c>
    </row>
    <row r="7" customFormat="false" ht="15" hidden="false" customHeight="false" outlineLevel="0" collapsed="false">
      <c r="A7" s="51" t="n">
        <v>2</v>
      </c>
      <c r="B7" s="51" t="str">
        <f aca="false">IFERROR(INDEX(COMPLETED!$B$6:$B$247,MATCH(2,COMPLETED!$AS$6:$AS$247,0))&amp;"","")</f>
        <v/>
      </c>
      <c r="C7" s="52" t="str">
        <f aca="false">IFERROR(INDEX(COMPLETED!$C$6:$C$247,MATCH(2,COMPLETED!$AS$6:$AS$247,0))&amp;"","")</f>
        <v/>
      </c>
      <c r="D7" s="51" t="str">
        <f aca="false">IFERROR(INDEX(COMPLETED!$AO$6:$AO$247,MATCH(2,COMPLETED!$AS$6:$AS$247,0))&amp;"","")</f>
        <v/>
      </c>
      <c r="E7" s="53" t="str">
        <f aca="false">IFERROR(INDEX(COMPLETED!$AP$6:$AP$247,MATCH(2,COMPLETED!$AS$6:$AS$247,0))&amp;"","")</f>
        <v/>
      </c>
      <c r="F7" s="54" t="str">
        <f aca="false">IFERROR(INDEX(COMPLETED!$AQ$6:$AQ$247,MATCH(2,COMPLETED!$AS$6:$AS$247,0))&amp;"","")</f>
        <v/>
      </c>
      <c r="G7" s="53" t="str">
        <f aca="false">IF(C7="","",IF(D7="","Re-entry stage not set","start at "&amp;D7))</f>
        <v/>
      </c>
    </row>
    <row r="8" customFormat="false" ht="15" hidden="false" customHeight="false" outlineLevel="0" collapsed="false">
      <c r="A8" s="51" t="n">
        <v>3</v>
      </c>
      <c r="B8" s="51" t="str">
        <f aca="false">IFERROR(INDEX(COMPLETED!$B$6:$B$247,MATCH(3,COMPLETED!$AS$6:$AS$247,0))&amp;"","")</f>
        <v/>
      </c>
      <c r="C8" s="52" t="str">
        <f aca="false">IFERROR(INDEX(COMPLETED!$C$6:$C$247,MATCH(3,COMPLETED!$AS$6:$AS$247,0))&amp;"","")</f>
        <v/>
      </c>
      <c r="D8" s="51" t="str">
        <f aca="false">IFERROR(INDEX(COMPLETED!$AO$6:$AO$247,MATCH(3,COMPLETED!$AS$6:$AS$247,0))&amp;"","")</f>
        <v/>
      </c>
      <c r="E8" s="53" t="str">
        <f aca="false">IFERROR(INDEX(COMPLETED!$AP$6:$AP$247,MATCH(3,COMPLETED!$AS$6:$AS$247,0))&amp;"","")</f>
        <v/>
      </c>
      <c r="F8" s="54" t="str">
        <f aca="false">IFERROR(INDEX(COMPLETED!$AQ$6:$AQ$247,MATCH(3,COMPLETED!$AS$6:$AS$247,0))&amp;"","")</f>
        <v/>
      </c>
      <c r="G8" s="53" t="str">
        <f aca="false">IF(C8="","",IF(D8="","Re-entry stage not set","start at "&amp;D8))</f>
        <v/>
      </c>
    </row>
    <row r="9" customFormat="false" ht="15" hidden="false" customHeight="false" outlineLevel="0" collapsed="false">
      <c r="A9" s="51" t="n">
        <v>4</v>
      </c>
      <c r="B9" s="51" t="str">
        <f aca="false">IFERROR(INDEX(COMPLETED!$B$6:$B$247,MATCH(4,COMPLETED!$AS$6:$AS$247,0))&amp;"","")</f>
        <v/>
      </c>
      <c r="C9" s="52" t="str">
        <f aca="false">IFERROR(INDEX(COMPLETED!$C$6:$C$247,MATCH(4,COMPLETED!$AS$6:$AS$247,0))&amp;"","")</f>
        <v/>
      </c>
      <c r="D9" s="51" t="str">
        <f aca="false">IFERROR(INDEX(COMPLETED!$AO$6:$AO$247,MATCH(4,COMPLETED!$AS$6:$AS$247,0))&amp;"","")</f>
        <v/>
      </c>
      <c r="E9" s="53" t="str">
        <f aca="false">IFERROR(INDEX(COMPLETED!$AP$6:$AP$247,MATCH(4,COMPLETED!$AS$6:$AS$247,0))&amp;"","")</f>
        <v/>
      </c>
      <c r="F9" s="54" t="str">
        <f aca="false">IFERROR(INDEX(COMPLETED!$AQ$6:$AQ$247,MATCH(4,COMPLETED!$AS$6:$AS$247,0))&amp;"","")</f>
        <v/>
      </c>
      <c r="G9" s="53" t="str">
        <f aca="false">IF(C9="","",IF(D9="","Re-entry stage not set","start at "&amp;D9))</f>
        <v/>
      </c>
    </row>
    <row r="10" customFormat="false" ht="15" hidden="false" customHeight="false" outlineLevel="0" collapsed="false">
      <c r="A10" s="51" t="n">
        <v>5</v>
      </c>
      <c r="B10" s="51" t="str">
        <f aca="false">IFERROR(INDEX(COMPLETED!$B$6:$B$247,MATCH(5,COMPLETED!$AS$6:$AS$247,0))&amp;"","")</f>
        <v/>
      </c>
      <c r="C10" s="52" t="str">
        <f aca="false">IFERROR(INDEX(COMPLETED!$C$6:$C$247,MATCH(5,COMPLETED!$AS$6:$AS$247,0))&amp;"","")</f>
        <v/>
      </c>
      <c r="D10" s="51" t="str">
        <f aca="false">IFERROR(INDEX(COMPLETED!$AO$6:$AO$247,MATCH(5,COMPLETED!$AS$6:$AS$247,0))&amp;"","")</f>
        <v/>
      </c>
      <c r="E10" s="53" t="str">
        <f aca="false">IFERROR(INDEX(COMPLETED!$AP$6:$AP$247,MATCH(5,COMPLETED!$AS$6:$AS$247,0))&amp;"","")</f>
        <v/>
      </c>
      <c r="F10" s="54" t="str">
        <f aca="false">IFERROR(INDEX(COMPLETED!$AQ$6:$AQ$247,MATCH(5,COMPLETED!$AS$6:$AS$247,0))&amp;"","")</f>
        <v/>
      </c>
      <c r="G10" s="53" t="str">
        <f aca="false">IF(C10="","",IF(D10="","Re-entry stage not set","start at "&amp;D10))</f>
        <v/>
      </c>
    </row>
    <row r="11" customFormat="false" ht="15" hidden="false" customHeight="false" outlineLevel="0" collapsed="false">
      <c r="A11" s="51" t="n">
        <v>6</v>
      </c>
      <c r="B11" s="51" t="str">
        <f aca="false">IFERROR(INDEX(COMPLETED!$B$6:$B$247,MATCH(6,COMPLETED!$AS$6:$AS$247,0))&amp;"","")</f>
        <v/>
      </c>
      <c r="C11" s="52" t="str">
        <f aca="false">IFERROR(INDEX(COMPLETED!$C$6:$C$247,MATCH(6,COMPLETED!$AS$6:$AS$247,0))&amp;"","")</f>
        <v/>
      </c>
      <c r="D11" s="51" t="str">
        <f aca="false">IFERROR(INDEX(COMPLETED!$AO$6:$AO$247,MATCH(6,COMPLETED!$AS$6:$AS$247,0))&amp;"","")</f>
        <v/>
      </c>
      <c r="E11" s="53" t="str">
        <f aca="false">IFERROR(INDEX(COMPLETED!$AP$6:$AP$247,MATCH(6,COMPLETED!$AS$6:$AS$247,0))&amp;"","")</f>
        <v/>
      </c>
      <c r="F11" s="54" t="str">
        <f aca="false">IFERROR(INDEX(COMPLETED!$AQ$6:$AQ$247,MATCH(6,COMPLETED!$AS$6:$AS$247,0))&amp;"","")</f>
        <v/>
      </c>
      <c r="G11" s="53" t="str">
        <f aca="false">IF(C11="","",IF(D11="","Re-entry stage not set","start at "&amp;D11))</f>
        <v/>
      </c>
    </row>
    <row r="12" customFormat="false" ht="15" hidden="false" customHeight="false" outlineLevel="0" collapsed="false">
      <c r="A12" s="51" t="n">
        <v>7</v>
      </c>
      <c r="B12" s="51" t="str">
        <f aca="false">IFERROR(INDEX(COMPLETED!$B$6:$B$247,MATCH(7,COMPLETED!$AS$6:$AS$247,0))&amp;"","")</f>
        <v/>
      </c>
      <c r="C12" s="52" t="str">
        <f aca="false">IFERROR(INDEX(COMPLETED!$C$6:$C$247,MATCH(7,COMPLETED!$AS$6:$AS$247,0))&amp;"","")</f>
        <v/>
      </c>
      <c r="D12" s="51" t="str">
        <f aca="false">IFERROR(INDEX(COMPLETED!$AO$6:$AO$247,MATCH(7,COMPLETED!$AS$6:$AS$247,0))&amp;"","")</f>
        <v/>
      </c>
      <c r="E12" s="53" t="str">
        <f aca="false">IFERROR(INDEX(COMPLETED!$AP$6:$AP$247,MATCH(7,COMPLETED!$AS$6:$AS$247,0))&amp;"","")</f>
        <v/>
      </c>
      <c r="F12" s="54" t="str">
        <f aca="false">IFERROR(INDEX(COMPLETED!$AQ$6:$AQ$247,MATCH(7,COMPLETED!$AS$6:$AS$247,0))&amp;"","")</f>
        <v/>
      </c>
      <c r="G12" s="53" t="str">
        <f aca="false">IF(C12="","",IF(D12="","Re-entry stage not set","start at "&amp;D12))</f>
        <v/>
      </c>
    </row>
    <row r="13" customFormat="false" ht="15" hidden="false" customHeight="false" outlineLevel="0" collapsed="false">
      <c r="A13" s="51" t="n">
        <v>8</v>
      </c>
      <c r="B13" s="51" t="str">
        <f aca="false">IFERROR(INDEX(COMPLETED!$B$6:$B$247,MATCH(8,COMPLETED!$AS$6:$AS$247,0))&amp;"","")</f>
        <v/>
      </c>
      <c r="C13" s="52" t="str">
        <f aca="false">IFERROR(INDEX(COMPLETED!$C$6:$C$247,MATCH(8,COMPLETED!$AS$6:$AS$247,0))&amp;"","")</f>
        <v/>
      </c>
      <c r="D13" s="51" t="str">
        <f aca="false">IFERROR(INDEX(COMPLETED!$AO$6:$AO$247,MATCH(8,COMPLETED!$AS$6:$AS$247,0))&amp;"","")</f>
        <v/>
      </c>
      <c r="E13" s="53" t="str">
        <f aca="false">IFERROR(INDEX(COMPLETED!$AP$6:$AP$247,MATCH(8,COMPLETED!$AS$6:$AS$247,0))&amp;"","")</f>
        <v/>
      </c>
      <c r="F13" s="54" t="str">
        <f aca="false">IFERROR(INDEX(COMPLETED!$AQ$6:$AQ$247,MATCH(8,COMPLETED!$AS$6:$AS$247,0))&amp;"","")</f>
        <v/>
      </c>
      <c r="G13" s="53" t="str">
        <f aca="false">IF(C13="","",IF(D13="","Re-entry stage not set","start at "&amp;D13))</f>
        <v/>
      </c>
    </row>
    <row r="15" customFormat="false" ht="19.5" hidden="false" customHeight="true" outlineLevel="0" collapsed="false">
      <c r="A15" s="20" t="s">
        <v>167</v>
      </c>
      <c r="B15" s="20"/>
      <c r="C15" s="20"/>
      <c r="D15" s="20"/>
      <c r="E15" s="21" t="s">
        <v>168</v>
      </c>
      <c r="F15" s="21"/>
      <c r="G15" s="21"/>
      <c r="H15" s="21"/>
      <c r="I15" s="21"/>
      <c r="J15" s="21"/>
      <c r="K15" s="21"/>
      <c r="L15" s="22" t="s">
        <v>169</v>
      </c>
      <c r="M15" s="22"/>
      <c r="N15" s="22"/>
      <c r="O15" s="22"/>
      <c r="P15" s="22" t="s">
        <v>170</v>
      </c>
      <c r="Q15" s="22"/>
      <c r="R15" s="22"/>
      <c r="S15" s="22"/>
      <c r="T15" s="22" t="s">
        <v>56</v>
      </c>
      <c r="U15" s="22"/>
      <c r="V15" s="22"/>
      <c r="W15" s="22"/>
      <c r="X15" s="22" t="s">
        <v>171</v>
      </c>
      <c r="Y15" s="22"/>
      <c r="Z15" s="22"/>
      <c r="AA15" s="22"/>
      <c r="AB15" s="22" t="s">
        <v>172</v>
      </c>
      <c r="AC15" s="22"/>
      <c r="AD15" s="22"/>
      <c r="AE15" s="22"/>
      <c r="AF15" s="22" t="s">
        <v>173</v>
      </c>
      <c r="AG15" s="22"/>
      <c r="AH15" s="22"/>
      <c r="AI15" s="22"/>
      <c r="AJ15" s="22" t="s">
        <v>174</v>
      </c>
      <c r="AK15" s="22"/>
      <c r="AL15" s="22"/>
      <c r="AM15" s="22"/>
      <c r="AN15" s="23" t="s">
        <v>274</v>
      </c>
      <c r="AO15" s="23"/>
      <c r="AP15" s="23"/>
      <c r="AQ15" s="23"/>
      <c r="AR15" s="21" t="s">
        <v>176</v>
      </c>
      <c r="AS15" s="21"/>
      <c r="AT15" s="21"/>
      <c r="AU15" s="21"/>
    </row>
    <row r="16" customFormat="false" ht="36" hidden="false" customHeight="true" outlineLevel="0" collapsed="false">
      <c r="A16" s="24" t="s">
        <v>177</v>
      </c>
      <c r="B16" s="24" t="s">
        <v>65</v>
      </c>
      <c r="C16" s="24" t="s">
        <v>178</v>
      </c>
      <c r="D16" s="24" t="s">
        <v>179</v>
      </c>
      <c r="E16" s="24" t="s">
        <v>180</v>
      </c>
      <c r="F16" s="24" t="s">
        <v>181</v>
      </c>
      <c r="G16" s="24" t="s">
        <v>182</v>
      </c>
      <c r="H16" s="24" t="s">
        <v>183</v>
      </c>
      <c r="I16" s="24" t="s">
        <v>184</v>
      </c>
      <c r="J16" s="24" t="s">
        <v>185</v>
      </c>
      <c r="K16" s="24" t="s">
        <v>186</v>
      </c>
      <c r="L16" s="24" t="s">
        <v>67</v>
      </c>
      <c r="M16" s="24" t="s">
        <v>61</v>
      </c>
      <c r="N16" s="24" t="s">
        <v>187</v>
      </c>
      <c r="O16" s="24" t="s">
        <v>188</v>
      </c>
      <c r="P16" s="24" t="s">
        <v>67</v>
      </c>
      <c r="Q16" s="24" t="s">
        <v>61</v>
      </c>
      <c r="R16" s="24" t="s">
        <v>187</v>
      </c>
      <c r="S16" s="24" t="s">
        <v>188</v>
      </c>
      <c r="T16" s="24" t="s">
        <v>67</v>
      </c>
      <c r="U16" s="24" t="s">
        <v>61</v>
      </c>
      <c r="V16" s="24" t="s">
        <v>187</v>
      </c>
      <c r="W16" s="24" t="s">
        <v>188</v>
      </c>
      <c r="X16" s="24" t="s">
        <v>189</v>
      </c>
      <c r="Y16" s="24" t="s">
        <v>61</v>
      </c>
      <c r="Z16" s="24" t="s">
        <v>187</v>
      </c>
      <c r="AA16" s="24" t="s">
        <v>188</v>
      </c>
      <c r="AB16" s="24" t="s">
        <v>67</v>
      </c>
      <c r="AC16" s="24" t="s">
        <v>61</v>
      </c>
      <c r="AD16" s="24" t="s">
        <v>187</v>
      </c>
      <c r="AE16" s="24" t="s">
        <v>188</v>
      </c>
      <c r="AF16" s="24" t="s">
        <v>67</v>
      </c>
      <c r="AG16" s="24" t="s">
        <v>61</v>
      </c>
      <c r="AH16" s="24" t="s">
        <v>187</v>
      </c>
      <c r="AI16" s="24" t="s">
        <v>188</v>
      </c>
      <c r="AJ16" s="24" t="s">
        <v>67</v>
      </c>
      <c r="AK16" s="24" t="s">
        <v>61</v>
      </c>
      <c r="AL16" s="24" t="s">
        <v>187</v>
      </c>
      <c r="AM16" s="24" t="s">
        <v>188</v>
      </c>
      <c r="AN16" s="24" t="s">
        <v>275</v>
      </c>
      <c r="AO16" s="24" t="s">
        <v>276</v>
      </c>
      <c r="AP16" s="24" t="s">
        <v>63</v>
      </c>
      <c r="AQ16" s="24" t="s">
        <v>191</v>
      </c>
      <c r="AR16" s="24" t="s">
        <v>66</v>
      </c>
      <c r="AS16" s="24" t="s">
        <v>194</v>
      </c>
      <c r="AT16" s="24" t="s">
        <v>195</v>
      </c>
      <c r="AU16" s="24" t="s">
        <v>196</v>
      </c>
    </row>
    <row r="17" customFormat="false" ht="30" hidden="false" customHeight="true" outlineLevel="0" collapsed="false">
      <c r="A17" s="25" t="n">
        <v>1</v>
      </c>
      <c r="B17" s="26" t="s">
        <v>70</v>
      </c>
      <c r="C17" s="27" t="s">
        <v>127</v>
      </c>
      <c r="D17" s="26" t="s">
        <v>219</v>
      </c>
      <c r="E17" s="25" t="str">
        <f aca="false">IF(NOT(OR(M17="Completed",M17="NA",M17="Cancelled")),"S1 Schematic",IF(NOT(OR(Q17="Completed",Q17="NA",Q17="Cancelled")),"S2 PCB Layout",IF(NOT(OR(U17="Completed",U17="NA",U17="Cancelled")),"S3 SI &amp; PI",IF(NOT(OR(Y17="Completed",Y17="NA",Y17="Cancelled")),"S4 Bare-PCB Fab",IF(NOT(OR(AC17="Completed",AC17="NA",AC17="Cancelled")),"S5 Assembly",IF(NOT(OR(AG17="Completed",AG17="NA",AG17="Cancelled")),"S6 Bring-up",IF(NOT(OR(AK17="Completed",AK17="NA",AK17="Cancelled")),"S7 BOM Procurement","All Stages Closed")))))))</f>
        <v>S1 Schematic</v>
      </c>
      <c r="F17" s="28" t="str">
        <f aca="false">IF(COUNTIF(M17,"Cancelled")+COUNTIF(Q17,"Cancelled")+COUNTIF(U17,"Cancelled")+COUNTIF(Y17,"Cancelled")+COUNTIF(AC17,"Cancelled")+COUNTIF(AG17,"Cancelled")+COUNTIF(AK17,"Cancelled")&gt;0,"Cancelled",IF(E17="All Stages Closed","Completed",IF(E17="S1 Schematic",M17,IF(E17="S2 PCB Layout",Q17,IF(E17="S3 SI &amp; PI",U17,IF(E17="S4 Bare-PCB Fab",Y17,IF(E17="S5 Assembly",AC17,IF(E17="S6 Bring-up",AG17,AK17))))))))</f>
        <v>In Progress</v>
      </c>
      <c r="G17" s="29" t="n">
        <f aca="false">IF(E17="All Stages Closed","",IF(E17="S1 Schematic",IF(N17="","Not added",N17),IF(E17="S2 PCB Layout",IF(R17="","Not added",R17),IF(E17="S3 SI &amp; PI",IF(V17="","Not added",V17),IF(E17="S4 Bare-PCB Fab",IF(Z17="","Not added",Z17),IF(E17="S5 Assembly",IF(AD17="","Not added",AD17),IF(E17="S6 Bring-up",IF(AH17="","Not added",AH17),IF(AL17="","Not added",AL17))))))))</f>
        <v>46273</v>
      </c>
      <c r="H17" s="28" t="str">
        <f aca="true">IF(OR(F17="Completed",F17="Cancelled"),"",IF(NOT(ISNUMBER(G17)),"Date not added",IF(TODAY()&gt;G17,TODAY()-G17,G17-TODAY()&amp;" days left")))</f>
        <v>5 days left</v>
      </c>
      <c r="I17" s="25" t="n">
        <f aca="false">COUNTIF(M17,"Completed")+COUNTIF(Q17,"Completed")+COUNTIF(U17,"Completed")+COUNTIF(Y17,"Completed")+COUNTIF(AC17,"Completed")+COUNTIF(AG17,"Completed")+COUNTIF(AK17,"Completed")</f>
        <v>0</v>
      </c>
      <c r="J17" s="25" t="n">
        <f aca="false">7-(COUNTIF(M17,"NA")+COUNTIF(Q17,"NA")+COUNTIF(U17,"NA")+COUNTIF(Y17,"NA")+COUNTIF(AC17,"NA")+COUNTIF(AG17,"NA")+COUNTIF(AK17,"NA"))</f>
        <v>5</v>
      </c>
      <c r="K17" s="30" t="n">
        <f aca="false">IFERROR(I17/J17,"")</f>
        <v>0</v>
      </c>
      <c r="L17" s="26" t="s">
        <v>81</v>
      </c>
      <c r="M17" s="25" t="s">
        <v>49</v>
      </c>
      <c r="N17" s="31" t="n">
        <v>46273</v>
      </c>
      <c r="O17" s="31"/>
      <c r="P17" s="26" t="s">
        <v>72</v>
      </c>
      <c r="Q17" s="25" t="s">
        <v>51</v>
      </c>
      <c r="R17" s="31"/>
      <c r="S17" s="31"/>
      <c r="T17" s="26"/>
      <c r="U17" s="25" t="s">
        <v>51</v>
      </c>
      <c r="V17" s="31"/>
      <c r="W17" s="31"/>
      <c r="X17" s="26"/>
      <c r="Y17" s="25" t="s">
        <v>51</v>
      </c>
      <c r="Z17" s="31"/>
      <c r="AA17" s="31"/>
      <c r="AB17" s="26"/>
      <c r="AC17" s="25" t="s">
        <v>51</v>
      </c>
      <c r="AD17" s="31"/>
      <c r="AE17" s="31"/>
      <c r="AF17" s="26"/>
      <c r="AG17" s="25" t="s">
        <v>53</v>
      </c>
      <c r="AH17" s="31"/>
      <c r="AI17" s="31"/>
      <c r="AJ17" s="26"/>
      <c r="AK17" s="25" t="s">
        <v>53</v>
      </c>
      <c r="AL17" s="31"/>
      <c r="AM17" s="31"/>
      <c r="AN17" s="25"/>
      <c r="AO17" s="26"/>
      <c r="AP17" s="26"/>
      <c r="AQ17" s="32"/>
      <c r="AR17" s="26"/>
      <c r="AS17" s="34" t="str">
        <f aca="false">IF(OR(F17="Completed",F17="Cancelled"),"",IF(AND(OR(F17="On Hold",ISNUMBER(H17)),AR17=""),"Reason not given",""))</f>
        <v/>
      </c>
      <c r="AT17" s="35" t="s">
        <v>277</v>
      </c>
      <c r="AU17" s="35"/>
    </row>
    <row r="18" customFormat="false" ht="30" hidden="false" customHeight="true" outlineLevel="0" collapsed="false">
      <c r="A18" s="25" t="n">
        <v>2</v>
      </c>
      <c r="B18" s="26" t="s">
        <v>70</v>
      </c>
      <c r="C18" s="27" t="s">
        <v>278</v>
      </c>
      <c r="D18" s="26" t="s">
        <v>162</v>
      </c>
      <c r="E18" s="25" t="str">
        <f aca="false">IF(NOT(OR(M18="Completed",M18="NA",M18="Cancelled")),"S1 Schematic",IF(NOT(OR(Q18="Completed",Q18="NA",Q18="Cancelled")),"S2 PCB Layout",IF(NOT(OR(U18="Completed",U18="NA",U18="Cancelled")),"S3 SI &amp; PI",IF(NOT(OR(Y18="Completed",Y18="NA",Y18="Cancelled")),"S4 Bare-PCB Fab",IF(NOT(OR(AC18="Completed",AC18="NA",AC18="Cancelled")),"S5 Assembly",IF(NOT(OR(AG18="Completed",AG18="NA",AG18="Cancelled")),"S6 Bring-up",IF(NOT(OR(AK18="Completed",AK18="NA",AK18="Cancelled")),"S7 BOM Procurement","All Stages Closed")))))))</f>
        <v>S3 SI &amp; PI</v>
      </c>
      <c r="F18" s="28" t="str">
        <f aca="false">IF(COUNTIF(M18,"Cancelled")+COUNTIF(Q18,"Cancelled")+COUNTIF(U18,"Cancelled")+COUNTIF(Y18,"Cancelled")+COUNTIF(AC18,"Cancelled")+COUNTIF(AG18,"Cancelled")+COUNTIF(AK18,"Cancelled")&gt;0,"Cancelled",IF(E18="All Stages Closed","Completed",IF(E18="S1 Schematic",M18,IF(E18="S2 PCB Layout",Q18,IF(E18="S3 SI &amp; PI",U18,IF(E18="S4 Bare-PCB Fab",Y18,IF(E18="S5 Assembly",AC18,IF(E18="S6 Bring-up",AG18,AK18))))))))</f>
        <v>In Progress</v>
      </c>
      <c r="G18" s="29" t="str">
        <f aca="false">IF(E18="All Stages Closed","",IF(E18="S1 Schematic",IF(N18="","Not added",N18),IF(E18="S2 PCB Layout",IF(R18="","Not added",R18),IF(E18="S3 SI &amp; PI",IF(V18="","Not added",V18),IF(E18="S4 Bare-PCB Fab",IF(Z18="","Not added",Z18),IF(E18="S5 Assembly",IF(AD18="","Not added",AD18),IF(E18="S6 Bring-up",IF(AH18="","Not added",AH18),IF(AL18="","Not added",AL18))))))))</f>
        <v>Not added</v>
      </c>
      <c r="H18" s="28" t="str">
        <f aca="true">IF(OR(F18="Completed",F18="Cancelled"),"",IF(NOT(ISNUMBER(G18)),"Date not added",IF(TODAY()&gt;G18,TODAY()-G18,G18-TODAY()&amp;" days left")))</f>
        <v>Date not added</v>
      </c>
      <c r="I18" s="25" t="n">
        <f aca="false">COUNTIF(M18,"Completed")+COUNTIF(Q18,"Completed")+COUNTIF(U18,"Completed")+COUNTIF(Y18,"Completed")+COUNTIF(AC18,"Completed")+COUNTIF(AG18,"Completed")+COUNTIF(AK18,"Completed")</f>
        <v>2</v>
      </c>
      <c r="J18" s="25" t="n">
        <f aca="false">7-(COUNTIF(M18,"NA")+COUNTIF(Q18,"NA")+COUNTIF(U18,"NA")+COUNTIF(Y18,"NA")+COUNTIF(AC18,"NA")+COUNTIF(AG18,"NA")+COUNTIF(AK18,"NA"))</f>
        <v>3</v>
      </c>
      <c r="K18" s="30" t="n">
        <f aca="false">IFERROR(I18/J18,"")</f>
        <v>0.666666666666667</v>
      </c>
      <c r="L18" s="26" t="s">
        <v>81</v>
      </c>
      <c r="M18" s="25" t="s">
        <v>48</v>
      </c>
      <c r="N18" s="31"/>
      <c r="O18" s="31"/>
      <c r="P18" s="26" t="s">
        <v>77</v>
      </c>
      <c r="Q18" s="25" t="s">
        <v>48</v>
      </c>
      <c r="R18" s="31" t="n">
        <v>46231</v>
      </c>
      <c r="S18" s="31"/>
      <c r="T18" s="26" t="s">
        <v>89</v>
      </c>
      <c r="U18" s="25" t="s">
        <v>49</v>
      </c>
      <c r="V18" s="31"/>
      <c r="W18" s="31"/>
      <c r="X18" s="26"/>
      <c r="Y18" s="25" t="s">
        <v>53</v>
      </c>
      <c r="Z18" s="31"/>
      <c r="AA18" s="31"/>
      <c r="AB18" s="26"/>
      <c r="AC18" s="25" t="s">
        <v>53</v>
      </c>
      <c r="AD18" s="31"/>
      <c r="AE18" s="31"/>
      <c r="AF18" s="26"/>
      <c r="AG18" s="25" t="s">
        <v>53</v>
      </c>
      <c r="AH18" s="31"/>
      <c r="AI18" s="31"/>
      <c r="AJ18" s="26"/>
      <c r="AK18" s="25" t="s">
        <v>53</v>
      </c>
      <c r="AL18" s="31"/>
      <c r="AM18" s="31"/>
      <c r="AN18" s="25"/>
      <c r="AO18" s="26"/>
      <c r="AP18" s="26"/>
      <c r="AQ18" s="32"/>
      <c r="AR18" s="26"/>
      <c r="AS18" s="34" t="str">
        <f aca="false">IF(OR(F18="Completed",F18="Cancelled"),"",IF(AND(OR(F18="On Hold",ISNUMBER(H18)),AR18=""),"Reason not given",""))</f>
        <v/>
      </c>
      <c r="AT18" s="35" t="s">
        <v>279</v>
      </c>
      <c r="AU18" s="35" t="s">
        <v>280</v>
      </c>
    </row>
    <row r="19" customFormat="false" ht="30" hidden="false" customHeight="true" outlineLevel="0" collapsed="false">
      <c r="A19" s="36" t="n">
        <v>3</v>
      </c>
      <c r="B19" s="37" t="s">
        <v>75</v>
      </c>
      <c r="C19" s="38" t="s">
        <v>281</v>
      </c>
      <c r="D19" s="37" t="s">
        <v>162</v>
      </c>
      <c r="E19" s="36" t="str">
        <f aca="false">IF(NOT(OR(M19="Completed",M19="NA",M19="Cancelled")),"S1 Schematic",IF(NOT(OR(Q19="Completed",Q19="NA",Q19="Cancelled")),"S2 PCB Layout",IF(NOT(OR(U19="Completed",U19="NA",U19="Cancelled")),"S3 SI &amp; PI",IF(NOT(OR(Y19="Completed",Y19="NA",Y19="Cancelled")),"S4 Bare-PCB Fab",IF(NOT(OR(AC19="Completed",AC19="NA",AC19="Cancelled")),"S5 Assembly",IF(NOT(OR(AG19="Completed",AG19="NA",AG19="Cancelled")),"S6 Bring-up",IF(NOT(OR(AK19="Completed",AK19="NA",AK19="Cancelled")),"S7 BOM Procurement","All Stages Closed")))))))</f>
        <v>S3 SI &amp; PI</v>
      </c>
      <c r="F19" s="39" t="str">
        <f aca="false">IF(COUNTIF(M19,"Cancelled")+COUNTIF(Q19,"Cancelled")+COUNTIF(U19,"Cancelled")+COUNTIF(Y19,"Cancelled")+COUNTIF(AC19,"Cancelled")+COUNTIF(AG19,"Cancelled")+COUNTIF(AK19,"Cancelled")&gt;0,"Cancelled",IF(E19="All Stages Closed","Completed",IF(E19="S1 Schematic",M19,IF(E19="S2 PCB Layout",Q19,IF(E19="S3 SI &amp; PI",U19,IF(E19="S4 Bare-PCB Fab",Y19,IF(E19="S5 Assembly",AC19,IF(E19="S6 Bring-up",AG19,AK19))))))))</f>
        <v>On Hold</v>
      </c>
      <c r="G19" s="40" t="str">
        <f aca="false">IF(E19="All Stages Closed","",IF(E19="S1 Schematic",IF(N19="","Not added",N19),IF(E19="S2 PCB Layout",IF(R19="","Not added",R19),IF(E19="S3 SI &amp; PI",IF(V19="","Not added",V19),IF(E19="S4 Bare-PCB Fab",IF(Z19="","Not added",Z19),IF(E19="S5 Assembly",IF(AD19="","Not added",AD19),IF(E19="S6 Bring-up",IF(AH19="","Not added",AH19),IF(AL19="","Not added",AL19))))))))</f>
        <v>Not added</v>
      </c>
      <c r="H19" s="39" t="str">
        <f aca="true">IF(OR(F19="Completed",F19="Cancelled"),"",IF(NOT(ISNUMBER(G19)),"Date not added",IF(TODAY()&gt;G19,TODAY()-G19,G19-TODAY()&amp;" days left")))</f>
        <v>Date not added</v>
      </c>
      <c r="I19" s="36" t="n">
        <f aca="false">COUNTIF(M19,"Completed")+COUNTIF(Q19,"Completed")+COUNTIF(U19,"Completed")+COUNTIF(Y19,"Completed")+COUNTIF(AC19,"Completed")+COUNTIF(AG19,"Completed")+COUNTIF(AK19,"Completed")</f>
        <v>2</v>
      </c>
      <c r="J19" s="36" t="n">
        <f aca="false">7-(COUNTIF(M19,"NA")+COUNTIF(Q19,"NA")+COUNTIF(U19,"NA")+COUNTIF(Y19,"NA")+COUNTIF(AC19,"NA")+COUNTIF(AG19,"NA")+COUNTIF(AK19,"NA"))</f>
        <v>5</v>
      </c>
      <c r="K19" s="41" t="n">
        <f aca="false">IFERROR(I19/J19,"")</f>
        <v>0.4</v>
      </c>
      <c r="L19" s="37" t="s">
        <v>93</v>
      </c>
      <c r="M19" s="36" t="s">
        <v>48</v>
      </c>
      <c r="N19" s="42" t="n">
        <v>46157</v>
      </c>
      <c r="O19" s="42"/>
      <c r="P19" s="37" t="s">
        <v>203</v>
      </c>
      <c r="Q19" s="36" t="s">
        <v>48</v>
      </c>
      <c r="R19" s="42"/>
      <c r="S19" s="42"/>
      <c r="T19" s="37" t="s">
        <v>89</v>
      </c>
      <c r="U19" s="36" t="s">
        <v>50</v>
      </c>
      <c r="V19" s="42"/>
      <c r="W19" s="42"/>
      <c r="X19" s="37"/>
      <c r="Y19" s="36" t="s">
        <v>50</v>
      </c>
      <c r="Z19" s="42"/>
      <c r="AA19" s="42"/>
      <c r="AB19" s="37"/>
      <c r="AC19" s="36" t="s">
        <v>50</v>
      </c>
      <c r="AD19" s="42"/>
      <c r="AE19" s="42"/>
      <c r="AF19" s="37"/>
      <c r="AG19" s="36" t="s">
        <v>53</v>
      </c>
      <c r="AH19" s="42"/>
      <c r="AI19" s="42"/>
      <c r="AJ19" s="37"/>
      <c r="AK19" s="36" t="s">
        <v>53</v>
      </c>
      <c r="AL19" s="42"/>
      <c r="AM19" s="42"/>
      <c r="AN19" s="36"/>
      <c r="AO19" s="37"/>
      <c r="AP19" s="37"/>
      <c r="AQ19" s="43"/>
      <c r="AR19" s="37"/>
      <c r="AS19" s="45" t="str">
        <f aca="false">IF(OR(F19="Completed",F19="Cancelled"),"",IF(AND(OR(F19="On Hold",ISNUMBER(H19)),AR19=""),"Reason not given",""))</f>
        <v>Reason not given</v>
      </c>
      <c r="AT19" s="46" t="s">
        <v>282</v>
      </c>
      <c r="AU19" s="46"/>
    </row>
    <row r="20" customFormat="false" ht="30" hidden="false" customHeight="true" outlineLevel="0" collapsed="false">
      <c r="A20" s="25" t="n">
        <v>4</v>
      </c>
      <c r="B20" s="26" t="s">
        <v>83</v>
      </c>
      <c r="C20" s="27" t="s">
        <v>283</v>
      </c>
      <c r="D20" s="26" t="s">
        <v>214</v>
      </c>
      <c r="E20" s="25" t="str">
        <f aca="false">IF(NOT(OR(M20="Completed",M20="NA",M20="Cancelled")),"S1 Schematic",IF(NOT(OR(Q20="Completed",Q20="NA",Q20="Cancelled")),"S2 PCB Layout",IF(NOT(OR(U20="Completed",U20="NA",U20="Cancelled")),"S3 SI &amp; PI",IF(NOT(OR(Y20="Completed",Y20="NA",Y20="Cancelled")),"S4 Bare-PCB Fab",IF(NOT(OR(AC20="Completed",AC20="NA",AC20="Cancelled")),"S5 Assembly",IF(NOT(OR(AG20="Completed",AG20="NA",AG20="Cancelled")),"S6 Bring-up",IF(NOT(OR(AK20="Completed",AK20="NA",AK20="Cancelled")),"S7 BOM Procurement","All Stages Closed")))))))</f>
        <v>S1 Schematic</v>
      </c>
      <c r="F20" s="28" t="str">
        <f aca="false">IF(COUNTIF(M20,"Cancelled")+COUNTIF(Q20,"Cancelled")+COUNTIF(U20,"Cancelled")+COUNTIF(Y20,"Cancelled")+COUNTIF(AC20,"Cancelled")+COUNTIF(AG20,"Cancelled")+COUNTIF(AK20,"Cancelled")&gt;0,"Cancelled",IF(E20="All Stages Closed","Completed",IF(E20="S1 Schematic",M20,IF(E20="S2 PCB Layout",Q20,IF(E20="S3 SI &amp; PI",U20,IF(E20="S4 Bare-PCB Fab",Y20,IF(E20="S5 Assembly",AC20,IF(E20="S6 Bring-up",AG20,AK20))))))))</f>
        <v>Not Started</v>
      </c>
      <c r="G20" s="29" t="str">
        <f aca="false">IF(E20="All Stages Closed","",IF(E20="S1 Schematic",IF(N20="","Not added",N20),IF(E20="S2 PCB Layout",IF(R20="","Not added",R20),IF(E20="S3 SI &amp; PI",IF(V20="","Not added",V20),IF(E20="S4 Bare-PCB Fab",IF(Z20="","Not added",Z20),IF(E20="S5 Assembly",IF(AD20="","Not added",AD20),IF(E20="S6 Bring-up",IF(AH20="","Not added",AH20),IF(AL20="","Not added",AL20))))))))</f>
        <v>Not added</v>
      </c>
      <c r="H20" s="28" t="str">
        <f aca="true">IF(OR(F20="Completed",F20="Cancelled"),"",IF(NOT(ISNUMBER(G20)),"Date not added",IF(TODAY()&gt;G20,TODAY()-G20,G20-TODAY()&amp;" days left")))</f>
        <v>Date not added</v>
      </c>
      <c r="I20" s="25" t="n">
        <f aca="false">COUNTIF(M20,"Completed")+COUNTIF(Q20,"Completed")+COUNTIF(U20,"Completed")+COUNTIF(Y20,"Completed")+COUNTIF(AC20,"Completed")+COUNTIF(AG20,"Completed")+COUNTIF(AK20,"Completed")</f>
        <v>0</v>
      </c>
      <c r="J20" s="25" t="n">
        <f aca="false">7-(COUNTIF(M20,"NA")+COUNTIF(Q20,"NA")+COUNTIF(U20,"NA")+COUNTIF(Y20,"NA")+COUNTIF(AC20,"NA")+COUNTIF(AG20,"NA")+COUNTIF(AK20,"NA"))</f>
        <v>5</v>
      </c>
      <c r="K20" s="30" t="n">
        <f aca="false">IFERROR(I20/J20,"")</f>
        <v>0</v>
      </c>
      <c r="L20" s="26"/>
      <c r="M20" s="25" t="s">
        <v>51</v>
      </c>
      <c r="N20" s="31"/>
      <c r="O20" s="31"/>
      <c r="P20" s="26" t="s">
        <v>97</v>
      </c>
      <c r="Q20" s="25" t="s">
        <v>51</v>
      </c>
      <c r="R20" s="31" t="n">
        <v>46276</v>
      </c>
      <c r="S20" s="31"/>
      <c r="T20" s="26"/>
      <c r="U20" s="25" t="s">
        <v>51</v>
      </c>
      <c r="V20" s="31"/>
      <c r="W20" s="31"/>
      <c r="X20" s="26"/>
      <c r="Y20" s="25" t="s">
        <v>51</v>
      </c>
      <c r="Z20" s="31"/>
      <c r="AA20" s="31"/>
      <c r="AB20" s="26"/>
      <c r="AC20" s="25" t="s">
        <v>51</v>
      </c>
      <c r="AD20" s="31"/>
      <c r="AE20" s="31"/>
      <c r="AF20" s="26"/>
      <c r="AG20" s="25" t="s">
        <v>53</v>
      </c>
      <c r="AH20" s="31"/>
      <c r="AI20" s="31"/>
      <c r="AJ20" s="26"/>
      <c r="AK20" s="25" t="s">
        <v>53</v>
      </c>
      <c r="AL20" s="31"/>
      <c r="AM20" s="31"/>
      <c r="AN20" s="25"/>
      <c r="AO20" s="26"/>
      <c r="AP20" s="26"/>
      <c r="AQ20" s="32"/>
      <c r="AR20" s="26"/>
      <c r="AS20" s="34" t="str">
        <f aca="false">IF(OR(F20="Completed",F20="Cancelled"),"",IF(AND(OR(F20="On Hold",ISNUMBER(H20)),AR20=""),"Reason not given",""))</f>
        <v/>
      </c>
      <c r="AT20" s="35" t="s">
        <v>277</v>
      </c>
      <c r="AU20" s="35"/>
    </row>
    <row r="21" customFormat="false" ht="30" hidden="false" customHeight="true" outlineLevel="0" collapsed="false">
      <c r="A21" s="36" t="n">
        <v>5</v>
      </c>
      <c r="B21" s="37" t="s">
        <v>87</v>
      </c>
      <c r="C21" s="38" t="s">
        <v>284</v>
      </c>
      <c r="D21" s="37" t="s">
        <v>219</v>
      </c>
      <c r="E21" s="36" t="str">
        <f aca="false">IF(NOT(OR(M21="Completed",M21="NA",M21="Cancelled")),"S1 Schematic",IF(NOT(OR(Q21="Completed",Q21="NA",Q21="Cancelled")),"S2 PCB Layout",IF(NOT(OR(U21="Completed",U21="NA",U21="Cancelled")),"S3 SI &amp; PI",IF(NOT(OR(Y21="Completed",Y21="NA",Y21="Cancelled")),"S4 Bare-PCB Fab",IF(NOT(OR(AC21="Completed",AC21="NA",AC21="Cancelled")),"S5 Assembly",IF(NOT(OR(AG21="Completed",AG21="NA",AG21="Cancelled")),"S6 Bring-up",IF(NOT(OR(AK21="Completed",AK21="NA",AK21="Cancelled")),"S7 BOM Procurement","All Stages Closed")))))))</f>
        <v>S2 PCB Layout</v>
      </c>
      <c r="F21" s="39" t="str">
        <f aca="false">IF(COUNTIF(M21,"Cancelled")+COUNTIF(Q21,"Cancelled")+COUNTIF(U21,"Cancelled")+COUNTIF(Y21,"Cancelled")+COUNTIF(AC21,"Cancelled")+COUNTIF(AG21,"Cancelled")+COUNTIF(AK21,"Cancelled")&gt;0,"Cancelled",IF(E21="All Stages Closed","Completed",IF(E21="S1 Schematic",M21,IF(E21="S2 PCB Layout",Q21,IF(E21="S3 SI &amp; PI",U21,IF(E21="S4 Bare-PCB Fab",Y21,IF(E21="S5 Assembly",AC21,IF(E21="S6 Bring-up",AG21,AK21))))))))</f>
        <v>In Progress</v>
      </c>
      <c r="G21" s="40" t="n">
        <f aca="false">IF(E21="All Stages Closed","",IF(E21="S1 Schematic",IF(N21="","Not added",N21),IF(E21="S2 PCB Layout",IF(R21="","Not added",R21),IF(E21="S3 SI &amp; PI",IF(V21="","Not added",V21),IF(E21="S4 Bare-PCB Fab",IF(Z21="","Not added",Z21),IF(E21="S5 Assembly",IF(AD21="","Not added",AD21),IF(E21="S6 Bring-up",IF(AH21="","Not added",AH21),IF(AL21="","Not added",AL21))))))))</f>
        <v>46278</v>
      </c>
      <c r="H21" s="39" t="str">
        <f aca="true">IF(OR(F21="Completed",F21="Cancelled"),"",IF(NOT(ISNUMBER(G21)),"Date not added",IF(TODAY()&gt;G21,TODAY()-G21,G21-TODAY()&amp;" days left")))</f>
        <v>10 days left</v>
      </c>
      <c r="I21" s="36" t="n">
        <f aca="false">COUNTIF(M21,"Completed")+COUNTIF(Q21,"Completed")+COUNTIF(U21,"Completed")+COUNTIF(Y21,"Completed")+COUNTIF(AC21,"Completed")+COUNTIF(AG21,"Completed")+COUNTIF(AK21,"Completed")</f>
        <v>1</v>
      </c>
      <c r="J21" s="36" t="n">
        <f aca="false">7-(COUNTIF(M21,"NA")+COUNTIF(Q21,"NA")+COUNTIF(U21,"NA")+COUNTIF(Y21,"NA")+COUNTIF(AC21,"NA")+COUNTIF(AG21,"NA")+COUNTIF(AK21,"NA"))</f>
        <v>5</v>
      </c>
      <c r="K21" s="41" t="n">
        <f aca="false">IFERROR(I21/J21,"")</f>
        <v>0.2</v>
      </c>
      <c r="L21" s="37" t="s">
        <v>107</v>
      </c>
      <c r="M21" s="36" t="s">
        <v>48</v>
      </c>
      <c r="N21" s="42"/>
      <c r="O21" s="42"/>
      <c r="P21" s="37" t="s">
        <v>77</v>
      </c>
      <c r="Q21" s="36" t="s">
        <v>49</v>
      </c>
      <c r="R21" s="42" t="n">
        <v>46278</v>
      </c>
      <c r="S21" s="42"/>
      <c r="T21" s="37"/>
      <c r="U21" s="36" t="s">
        <v>51</v>
      </c>
      <c r="V21" s="42"/>
      <c r="W21" s="42"/>
      <c r="X21" s="37"/>
      <c r="Y21" s="36" t="s">
        <v>51</v>
      </c>
      <c r="Z21" s="42"/>
      <c r="AA21" s="42"/>
      <c r="AB21" s="37"/>
      <c r="AC21" s="36" t="s">
        <v>51</v>
      </c>
      <c r="AD21" s="42"/>
      <c r="AE21" s="42"/>
      <c r="AF21" s="37"/>
      <c r="AG21" s="36" t="s">
        <v>53</v>
      </c>
      <c r="AH21" s="42"/>
      <c r="AI21" s="42"/>
      <c r="AJ21" s="37"/>
      <c r="AK21" s="36" t="s">
        <v>53</v>
      </c>
      <c r="AL21" s="42"/>
      <c r="AM21" s="42"/>
      <c r="AN21" s="36"/>
      <c r="AO21" s="37"/>
      <c r="AP21" s="37"/>
      <c r="AQ21" s="43"/>
      <c r="AR21" s="37"/>
      <c r="AS21" s="45" t="str">
        <f aca="false">IF(OR(F21="Completed",F21="Cancelled"),"",IF(AND(OR(F21="On Hold",ISNUMBER(H21)),AR21=""),"Reason not given",""))</f>
        <v/>
      </c>
      <c r="AT21" s="46" t="s">
        <v>285</v>
      </c>
      <c r="AU21" s="46"/>
    </row>
    <row r="22" customFormat="false" ht="30" hidden="false" customHeight="true" outlineLevel="0" collapsed="false">
      <c r="A22" s="36" t="n">
        <v>6</v>
      </c>
      <c r="B22" s="37" t="s">
        <v>87</v>
      </c>
      <c r="C22" s="38" t="s">
        <v>286</v>
      </c>
      <c r="D22" s="37" t="s">
        <v>219</v>
      </c>
      <c r="E22" s="36" t="str">
        <f aca="false">IF(NOT(OR(M22="Completed",M22="NA",M22="Cancelled")),"S1 Schematic",IF(NOT(OR(Q22="Completed",Q22="NA",Q22="Cancelled")),"S2 PCB Layout",IF(NOT(OR(U22="Completed",U22="NA",U22="Cancelled")),"S3 SI &amp; PI",IF(NOT(OR(Y22="Completed",Y22="NA",Y22="Cancelled")),"S4 Bare-PCB Fab",IF(NOT(OR(AC22="Completed",AC22="NA",AC22="Cancelled")),"S5 Assembly",IF(NOT(OR(AG22="Completed",AG22="NA",AG22="Cancelled")),"S6 Bring-up",IF(NOT(OR(AK22="Completed",AK22="NA",AK22="Cancelled")),"S7 BOM Procurement","All Stages Closed")))))))</f>
        <v>S3 SI &amp; PI</v>
      </c>
      <c r="F22" s="39" t="str">
        <f aca="false">IF(COUNTIF(M22,"Cancelled")+COUNTIF(Q22,"Cancelled")+COUNTIF(U22,"Cancelled")+COUNTIF(Y22,"Cancelled")+COUNTIF(AC22,"Cancelled")+COUNTIF(AG22,"Cancelled")+COUNTIF(AK22,"Cancelled")&gt;0,"Cancelled",IF(E22="All Stages Closed","Completed",IF(E22="S1 Schematic",M22,IF(E22="S2 PCB Layout",Q22,IF(E22="S3 SI &amp; PI",U22,IF(E22="S4 Bare-PCB Fab",Y22,IF(E22="S5 Assembly",AC22,IF(E22="S6 Bring-up",AG22,AK22))))))))</f>
        <v>In Progress</v>
      </c>
      <c r="G22" s="40" t="str">
        <f aca="false">IF(E22="All Stages Closed","",IF(E22="S1 Schematic",IF(N22="","Not added",N22),IF(E22="S2 PCB Layout",IF(R22="","Not added",R22),IF(E22="S3 SI &amp; PI",IF(V22="","Not added",V22),IF(E22="S4 Bare-PCB Fab",IF(Z22="","Not added",Z22),IF(E22="S5 Assembly",IF(AD22="","Not added",AD22),IF(E22="S6 Bring-up",IF(AH22="","Not added",AH22),IF(AL22="","Not added",AL22))))))))</f>
        <v>Not added</v>
      </c>
      <c r="H22" s="39" t="str">
        <f aca="true">IF(OR(F22="Completed",F22="Cancelled"),"",IF(NOT(ISNUMBER(G22)),"Date not added",IF(TODAY()&gt;G22,TODAY()-G22,G22-TODAY()&amp;" days left")))</f>
        <v>Date not added</v>
      </c>
      <c r="I22" s="36" t="n">
        <f aca="false">COUNTIF(M22,"Completed")+COUNTIF(Q22,"Completed")+COUNTIF(U22,"Completed")+COUNTIF(Y22,"Completed")+COUNTIF(AC22,"Completed")+COUNTIF(AG22,"Completed")+COUNTIF(AK22,"Completed")</f>
        <v>2</v>
      </c>
      <c r="J22" s="36" t="n">
        <f aca="false">7-(COUNTIF(M22,"NA")+COUNTIF(Q22,"NA")+COUNTIF(U22,"NA")+COUNTIF(Y22,"NA")+COUNTIF(AC22,"NA")+COUNTIF(AG22,"NA")+COUNTIF(AK22,"NA"))</f>
        <v>5</v>
      </c>
      <c r="K22" s="41" t="n">
        <f aca="false">IFERROR(I22/J22,"")</f>
        <v>0.4</v>
      </c>
      <c r="L22" s="37" t="s">
        <v>287</v>
      </c>
      <c r="M22" s="36" t="s">
        <v>48</v>
      </c>
      <c r="N22" s="42" t="n">
        <v>46224</v>
      </c>
      <c r="O22" s="42"/>
      <c r="P22" s="37" t="s">
        <v>72</v>
      </c>
      <c r="Q22" s="36" t="s">
        <v>48</v>
      </c>
      <c r="R22" s="42" t="n">
        <v>46273</v>
      </c>
      <c r="S22" s="42"/>
      <c r="T22" s="37"/>
      <c r="U22" s="36" t="s">
        <v>49</v>
      </c>
      <c r="V22" s="42"/>
      <c r="W22" s="42"/>
      <c r="X22" s="37"/>
      <c r="Y22" s="36" t="s">
        <v>51</v>
      </c>
      <c r="Z22" s="42"/>
      <c r="AA22" s="42"/>
      <c r="AB22" s="37"/>
      <c r="AC22" s="36" t="s">
        <v>51</v>
      </c>
      <c r="AD22" s="42"/>
      <c r="AE22" s="42"/>
      <c r="AF22" s="37"/>
      <c r="AG22" s="36" t="s">
        <v>53</v>
      </c>
      <c r="AH22" s="42"/>
      <c r="AI22" s="42"/>
      <c r="AJ22" s="37"/>
      <c r="AK22" s="36" t="s">
        <v>53</v>
      </c>
      <c r="AL22" s="42"/>
      <c r="AM22" s="42"/>
      <c r="AN22" s="36"/>
      <c r="AO22" s="37"/>
      <c r="AP22" s="37"/>
      <c r="AQ22" s="43"/>
      <c r="AR22" s="37"/>
      <c r="AS22" s="45" t="str">
        <f aca="false">IF(OR(F22="Completed",F22="Cancelled"),"",IF(AND(OR(F22="On Hold",ISNUMBER(H22)),AR22=""),"Reason not given",""))</f>
        <v/>
      </c>
      <c r="AT22" s="46" t="s">
        <v>288</v>
      </c>
      <c r="AU22" s="46" t="s">
        <v>289</v>
      </c>
    </row>
    <row r="23" customFormat="false" ht="30" hidden="false" customHeight="true" outlineLevel="0" collapsed="false">
      <c r="A23" s="36" t="n">
        <v>7</v>
      </c>
      <c r="B23" s="37" t="s">
        <v>87</v>
      </c>
      <c r="C23" s="38" t="s">
        <v>290</v>
      </c>
      <c r="D23" s="37" t="s">
        <v>219</v>
      </c>
      <c r="E23" s="36" t="str">
        <f aca="false">IF(NOT(OR(M23="Completed",M23="NA",M23="Cancelled")),"S1 Schematic",IF(NOT(OR(Q23="Completed",Q23="NA",Q23="Cancelled")),"S2 PCB Layout",IF(NOT(OR(U23="Completed",U23="NA",U23="Cancelled")),"S3 SI &amp; PI",IF(NOT(OR(Y23="Completed",Y23="NA",Y23="Cancelled")),"S4 Bare-PCB Fab",IF(NOT(OR(AC23="Completed",AC23="NA",AC23="Cancelled")),"S5 Assembly",IF(NOT(OR(AG23="Completed",AG23="NA",AG23="Cancelled")),"S6 Bring-up",IF(NOT(OR(AK23="Completed",AK23="NA",AK23="Cancelled")),"S7 BOM Procurement","All Stages Closed")))))))</f>
        <v>S1 Schematic</v>
      </c>
      <c r="F23" s="39" t="str">
        <f aca="false">IF(COUNTIF(M23,"Cancelled")+COUNTIF(Q23,"Cancelled")+COUNTIF(U23,"Cancelled")+COUNTIF(Y23,"Cancelled")+COUNTIF(AC23,"Cancelled")+COUNTIF(AG23,"Cancelled")+COUNTIF(AK23,"Cancelled")&gt;0,"Cancelled",IF(E23="All Stages Closed","Completed",IF(E23="S1 Schematic",M23,IF(E23="S2 PCB Layout",Q23,IF(E23="S3 SI &amp; PI",U23,IF(E23="S4 Bare-PCB Fab",Y23,IF(E23="S5 Assembly",AC23,IF(E23="S6 Bring-up",AG23,AK23))))))))</f>
        <v>On Hold</v>
      </c>
      <c r="G23" s="40" t="str">
        <f aca="false">IF(E23="All Stages Closed","",IF(E23="S1 Schematic",IF(N23="","Not added",N23),IF(E23="S2 PCB Layout",IF(R23="","Not added",R23),IF(E23="S3 SI &amp; PI",IF(V23="","Not added",V23),IF(E23="S4 Bare-PCB Fab",IF(Z23="","Not added",Z23),IF(E23="S5 Assembly",IF(AD23="","Not added",AD23),IF(E23="S6 Bring-up",IF(AH23="","Not added",AH23),IF(AL23="","Not added",AL23))))))))</f>
        <v>Not added</v>
      </c>
      <c r="H23" s="39" t="str">
        <f aca="true">IF(OR(F23="Completed",F23="Cancelled"),"",IF(NOT(ISNUMBER(G23)),"Date not added",IF(TODAY()&gt;G23,TODAY()-G23,G23-TODAY()&amp;" days left")))</f>
        <v>Date not added</v>
      </c>
      <c r="I23" s="36" t="n">
        <f aca="false">COUNTIF(M23,"Completed")+COUNTIF(Q23,"Completed")+COUNTIF(U23,"Completed")+COUNTIF(Y23,"Completed")+COUNTIF(AC23,"Completed")+COUNTIF(AG23,"Completed")+COUNTIF(AK23,"Completed")</f>
        <v>0</v>
      </c>
      <c r="J23" s="36" t="n">
        <f aca="false">7-(COUNTIF(M23,"NA")+COUNTIF(Q23,"NA")+COUNTIF(U23,"NA")+COUNTIF(Y23,"NA")+COUNTIF(AC23,"NA")+COUNTIF(AG23,"NA")+COUNTIF(AK23,"NA"))</f>
        <v>4</v>
      </c>
      <c r="K23" s="41" t="n">
        <f aca="false">IFERROR(I23/J23,"")</f>
        <v>0</v>
      </c>
      <c r="L23" s="37"/>
      <c r="M23" s="36" t="s">
        <v>50</v>
      </c>
      <c r="N23" s="42"/>
      <c r="O23" s="42"/>
      <c r="P23" s="37" t="s">
        <v>108</v>
      </c>
      <c r="Q23" s="36" t="s">
        <v>50</v>
      </c>
      <c r="R23" s="42" t="n">
        <v>46253</v>
      </c>
      <c r="S23" s="42"/>
      <c r="T23" s="37"/>
      <c r="U23" s="36" t="s">
        <v>50</v>
      </c>
      <c r="V23" s="42"/>
      <c r="W23" s="42"/>
      <c r="X23" s="37"/>
      <c r="Y23" s="36" t="s">
        <v>50</v>
      </c>
      <c r="Z23" s="42"/>
      <c r="AA23" s="42"/>
      <c r="AB23" s="37"/>
      <c r="AC23" s="36" t="s">
        <v>53</v>
      </c>
      <c r="AD23" s="42"/>
      <c r="AE23" s="42"/>
      <c r="AF23" s="37"/>
      <c r="AG23" s="36" t="s">
        <v>53</v>
      </c>
      <c r="AH23" s="42"/>
      <c r="AI23" s="42"/>
      <c r="AJ23" s="37"/>
      <c r="AK23" s="36" t="s">
        <v>53</v>
      </c>
      <c r="AL23" s="42"/>
      <c r="AM23" s="42"/>
      <c r="AN23" s="36"/>
      <c r="AO23" s="37"/>
      <c r="AP23" s="37"/>
      <c r="AQ23" s="43"/>
      <c r="AR23" s="37"/>
      <c r="AS23" s="45" t="str">
        <f aca="false">IF(OR(F23="Completed",F23="Cancelled"),"",IF(AND(OR(F23="On Hold",ISNUMBER(H23)),AR23=""),"Reason not given",""))</f>
        <v>Reason not given</v>
      </c>
      <c r="AT23" s="46" t="s">
        <v>291</v>
      </c>
      <c r="AU23" s="46" t="s">
        <v>292</v>
      </c>
    </row>
    <row r="24" customFormat="false" ht="30" hidden="false" customHeight="true" outlineLevel="0" collapsed="false">
      <c r="A24" s="36" t="n">
        <v>8</v>
      </c>
      <c r="B24" s="37" t="s">
        <v>87</v>
      </c>
      <c r="C24" s="38" t="s">
        <v>293</v>
      </c>
      <c r="D24" s="37" t="s">
        <v>219</v>
      </c>
      <c r="E24" s="36" t="str">
        <f aca="false">IF(NOT(OR(M24="Completed",M24="NA",M24="Cancelled")),"S1 Schematic",IF(NOT(OR(Q24="Completed",Q24="NA",Q24="Cancelled")),"S2 PCB Layout",IF(NOT(OR(U24="Completed",U24="NA",U24="Cancelled")),"S3 SI &amp; PI",IF(NOT(OR(Y24="Completed",Y24="NA",Y24="Cancelled")),"S4 Bare-PCB Fab",IF(NOT(OR(AC24="Completed",AC24="NA",AC24="Cancelled")),"S5 Assembly",IF(NOT(OR(AG24="Completed",AG24="NA",AG24="Cancelled")),"S6 Bring-up",IF(NOT(OR(AK24="Completed",AK24="NA",AK24="Cancelled")),"S7 BOM Procurement","All Stages Closed")))))))</f>
        <v>S2 PCB Layout</v>
      </c>
      <c r="F24" s="39" t="str">
        <f aca="false">IF(COUNTIF(M24,"Cancelled")+COUNTIF(Q24,"Cancelled")+COUNTIF(U24,"Cancelled")+COUNTIF(Y24,"Cancelled")+COUNTIF(AC24,"Cancelled")+COUNTIF(AG24,"Cancelled")+COUNTIF(AK24,"Cancelled")&gt;0,"Cancelled",IF(E24="All Stages Closed","Completed",IF(E24="S1 Schematic",M24,IF(E24="S2 PCB Layout",Q24,IF(E24="S3 SI &amp; PI",U24,IF(E24="S4 Bare-PCB Fab",Y24,IF(E24="S5 Assembly",AC24,IF(E24="S6 Bring-up",AG24,AK24))))))))</f>
        <v>In Progress</v>
      </c>
      <c r="G24" s="40" t="n">
        <f aca="false">IF(E24="All Stages Closed","",IF(E24="S1 Schematic",IF(N24="","Not added",N24),IF(E24="S2 PCB Layout",IF(R24="","Not added",R24),IF(E24="S3 SI &amp; PI",IF(V24="","Not added",V24),IF(E24="S4 Bare-PCB Fab",IF(Z24="","Not added",Z24),IF(E24="S5 Assembly",IF(AD24="","Not added",AD24),IF(E24="S6 Bring-up",IF(AH24="","Not added",AH24),IF(AL24="","Not added",AL24))))))))</f>
        <v>46290</v>
      </c>
      <c r="H24" s="39" t="str">
        <f aca="true">IF(OR(F24="Completed",F24="Cancelled"),"",IF(NOT(ISNUMBER(G24)),"Date not added",IF(TODAY()&gt;G24,TODAY()-G24,G24-TODAY()&amp;" days left")))</f>
        <v>22 days left</v>
      </c>
      <c r="I24" s="36" t="n">
        <f aca="false">COUNTIF(M24,"Completed")+COUNTIF(Q24,"Completed")+COUNTIF(U24,"Completed")+COUNTIF(Y24,"Completed")+COUNTIF(AC24,"Completed")+COUNTIF(AG24,"Completed")+COUNTIF(AK24,"Completed")</f>
        <v>1</v>
      </c>
      <c r="J24" s="36" t="n">
        <f aca="false">7-(COUNTIF(M24,"NA")+COUNTIF(Q24,"NA")+COUNTIF(U24,"NA")+COUNTIF(Y24,"NA")+COUNTIF(AC24,"NA")+COUNTIF(AG24,"NA")+COUNTIF(AK24,"NA"))</f>
        <v>5</v>
      </c>
      <c r="K24" s="41" t="n">
        <f aca="false">IFERROR(I24/J24,"")</f>
        <v>0.2</v>
      </c>
      <c r="L24" s="37" t="s">
        <v>203</v>
      </c>
      <c r="M24" s="36" t="s">
        <v>48</v>
      </c>
      <c r="N24" s="42" t="n">
        <v>46269</v>
      </c>
      <c r="O24" s="42"/>
      <c r="P24" s="37" t="s">
        <v>72</v>
      </c>
      <c r="Q24" s="36" t="s">
        <v>49</v>
      </c>
      <c r="R24" s="42" t="n">
        <v>46290</v>
      </c>
      <c r="S24" s="42"/>
      <c r="T24" s="37"/>
      <c r="U24" s="36" t="s">
        <v>51</v>
      </c>
      <c r="V24" s="42"/>
      <c r="W24" s="42"/>
      <c r="X24" s="37"/>
      <c r="Y24" s="36" t="s">
        <v>51</v>
      </c>
      <c r="Z24" s="42"/>
      <c r="AA24" s="42"/>
      <c r="AB24" s="37"/>
      <c r="AC24" s="36" t="s">
        <v>51</v>
      </c>
      <c r="AD24" s="42"/>
      <c r="AE24" s="42"/>
      <c r="AF24" s="37"/>
      <c r="AG24" s="36" t="s">
        <v>53</v>
      </c>
      <c r="AH24" s="42"/>
      <c r="AI24" s="42"/>
      <c r="AJ24" s="37"/>
      <c r="AK24" s="36" t="s">
        <v>53</v>
      </c>
      <c r="AL24" s="42"/>
      <c r="AM24" s="42"/>
      <c r="AN24" s="36"/>
      <c r="AO24" s="37"/>
      <c r="AP24" s="37"/>
      <c r="AQ24" s="43"/>
      <c r="AR24" s="37"/>
      <c r="AS24" s="45" t="str">
        <f aca="false">IF(OR(F24="Completed",F24="Cancelled"),"",IF(AND(OR(F24="On Hold",ISNUMBER(H24)),AR24=""),"Reason not given",""))</f>
        <v/>
      </c>
      <c r="AT24" s="46" t="s">
        <v>294</v>
      </c>
      <c r="AU24" s="46" t="s">
        <v>295</v>
      </c>
    </row>
    <row r="25" customFormat="false" ht="30" hidden="false" customHeight="true" outlineLevel="0" collapsed="false">
      <c r="A25" s="36" t="n">
        <v>9</v>
      </c>
      <c r="B25" s="37" t="s">
        <v>87</v>
      </c>
      <c r="C25" s="38" t="s">
        <v>296</v>
      </c>
      <c r="D25" s="37" t="s">
        <v>162</v>
      </c>
      <c r="E25" s="36" t="str">
        <f aca="false">IF(NOT(OR(M25="Completed",M25="NA",M25="Cancelled")),"S1 Schematic",IF(NOT(OR(Q25="Completed",Q25="NA",Q25="Cancelled")),"S2 PCB Layout",IF(NOT(OR(U25="Completed",U25="NA",U25="Cancelled")),"S3 SI &amp; PI",IF(NOT(OR(Y25="Completed",Y25="NA",Y25="Cancelled")),"S4 Bare-PCB Fab",IF(NOT(OR(AC25="Completed",AC25="NA",AC25="Cancelled")),"S5 Assembly",IF(NOT(OR(AG25="Completed",AG25="NA",AG25="Cancelled")),"S6 Bring-up",IF(NOT(OR(AK25="Completed",AK25="NA",AK25="Cancelled")),"S7 BOM Procurement","All Stages Closed")))))))</f>
        <v>S1 Schematic</v>
      </c>
      <c r="F25" s="39" t="str">
        <f aca="false">IF(COUNTIF(M25,"Cancelled")+COUNTIF(Q25,"Cancelled")+COUNTIF(U25,"Cancelled")+COUNTIF(Y25,"Cancelled")+COUNTIF(AC25,"Cancelled")+COUNTIF(AG25,"Cancelled")+COUNTIF(AK25,"Cancelled")&gt;0,"Cancelled",IF(E25="All Stages Closed","Completed",IF(E25="S1 Schematic",M25,IF(E25="S2 PCB Layout",Q25,IF(E25="S3 SI &amp; PI",U25,IF(E25="S4 Bare-PCB Fab",Y25,IF(E25="S5 Assembly",AC25,IF(E25="S6 Bring-up",AG25,AK25))))))))</f>
        <v>On Hold</v>
      </c>
      <c r="G25" s="40" t="str">
        <f aca="false">IF(E25="All Stages Closed","",IF(E25="S1 Schematic",IF(N25="","Not added",N25),IF(E25="S2 PCB Layout",IF(R25="","Not added",R25),IF(E25="S3 SI &amp; PI",IF(V25="","Not added",V25),IF(E25="S4 Bare-PCB Fab",IF(Z25="","Not added",Z25),IF(E25="S5 Assembly",IF(AD25="","Not added",AD25),IF(E25="S6 Bring-up",IF(AH25="","Not added",AH25),IF(AL25="","Not added",AL25))))))))</f>
        <v>Not added</v>
      </c>
      <c r="H25" s="39" t="str">
        <f aca="true">IF(OR(F25="Completed",F25="Cancelled"),"",IF(NOT(ISNUMBER(G25)),"Date not added",IF(TODAY()&gt;G25,TODAY()-G25,G25-TODAY()&amp;" days left")))</f>
        <v>Date not added</v>
      </c>
      <c r="I25" s="36" t="n">
        <f aca="false">COUNTIF(M25,"Completed")+COUNTIF(Q25,"Completed")+COUNTIF(U25,"Completed")+COUNTIF(Y25,"Completed")+COUNTIF(AC25,"Completed")+COUNTIF(AG25,"Completed")+COUNTIF(AK25,"Completed")</f>
        <v>0</v>
      </c>
      <c r="J25" s="36" t="n">
        <f aca="false">7-(COUNTIF(M25,"NA")+COUNTIF(Q25,"NA")+COUNTIF(U25,"NA")+COUNTIF(Y25,"NA")+COUNTIF(AC25,"NA")+COUNTIF(AG25,"NA")+COUNTIF(AK25,"NA"))</f>
        <v>4</v>
      </c>
      <c r="K25" s="41" t="n">
        <f aca="false">IFERROR(I25/J25,"")</f>
        <v>0</v>
      </c>
      <c r="L25" s="37"/>
      <c r="M25" s="36" t="s">
        <v>50</v>
      </c>
      <c r="N25" s="42"/>
      <c r="O25" s="42"/>
      <c r="P25" s="37"/>
      <c r="Q25" s="36" t="s">
        <v>50</v>
      </c>
      <c r="R25" s="42"/>
      <c r="S25" s="42"/>
      <c r="T25" s="37"/>
      <c r="U25" s="36" t="s">
        <v>50</v>
      </c>
      <c r="V25" s="42"/>
      <c r="W25" s="42"/>
      <c r="X25" s="37"/>
      <c r="Y25" s="36" t="s">
        <v>50</v>
      </c>
      <c r="Z25" s="42"/>
      <c r="AA25" s="42"/>
      <c r="AB25" s="37"/>
      <c r="AC25" s="36" t="s">
        <v>53</v>
      </c>
      <c r="AD25" s="42"/>
      <c r="AE25" s="42"/>
      <c r="AF25" s="37"/>
      <c r="AG25" s="36" t="s">
        <v>53</v>
      </c>
      <c r="AH25" s="42"/>
      <c r="AI25" s="42"/>
      <c r="AJ25" s="37"/>
      <c r="AK25" s="36" t="s">
        <v>53</v>
      </c>
      <c r="AL25" s="42"/>
      <c r="AM25" s="42"/>
      <c r="AN25" s="36"/>
      <c r="AO25" s="37"/>
      <c r="AP25" s="37"/>
      <c r="AQ25" s="43"/>
      <c r="AR25" s="37"/>
      <c r="AS25" s="45" t="str">
        <f aca="false">IF(OR(F25="Completed",F25="Cancelled"),"",IF(AND(OR(F25="On Hold",ISNUMBER(H25)),AR25=""),"Reason not given",""))</f>
        <v>Reason not given</v>
      </c>
      <c r="AT25" s="46"/>
      <c r="AU25" s="46"/>
    </row>
    <row r="26" customFormat="false" ht="30" hidden="false" customHeight="true" outlineLevel="0" collapsed="false">
      <c r="A26" s="25" t="n">
        <v>10</v>
      </c>
      <c r="B26" s="26" t="s">
        <v>95</v>
      </c>
      <c r="C26" s="27" t="s">
        <v>297</v>
      </c>
      <c r="D26" s="26" t="s">
        <v>243</v>
      </c>
      <c r="E26" s="25" t="str">
        <f aca="false">IF(NOT(OR(M26="Completed",M26="NA",M26="Cancelled")),"S1 Schematic",IF(NOT(OR(Q26="Completed",Q26="NA",Q26="Cancelled")),"S2 PCB Layout",IF(NOT(OR(U26="Completed",U26="NA",U26="Cancelled")),"S3 SI &amp; PI",IF(NOT(OR(Y26="Completed",Y26="NA",Y26="Cancelled")),"S4 Bare-PCB Fab",IF(NOT(OR(AC26="Completed",AC26="NA",AC26="Cancelled")),"S5 Assembly",IF(NOT(OR(AG26="Completed",AG26="NA",AG26="Cancelled")),"S6 Bring-up",IF(NOT(OR(AK26="Completed",AK26="NA",AK26="Cancelled")),"S7 BOM Procurement","All Stages Closed")))))))</f>
        <v>S1 Schematic</v>
      </c>
      <c r="F26" s="28" t="str">
        <f aca="false">IF(COUNTIF(M26,"Cancelled")+COUNTIF(Q26,"Cancelled")+COUNTIF(U26,"Cancelled")+COUNTIF(Y26,"Cancelled")+COUNTIF(AC26,"Cancelled")+COUNTIF(AG26,"Cancelled")+COUNTIF(AK26,"Cancelled")&gt;0,"Cancelled",IF(E26="All Stages Closed","Completed",IF(E26="S1 Schematic",M26,IF(E26="S2 PCB Layout",Q26,IF(E26="S3 SI &amp; PI",U26,IF(E26="S4 Bare-PCB Fab",Y26,IF(E26="S5 Assembly",AC26,IF(E26="S6 Bring-up",AG26,AK26))))))))</f>
        <v>Not Started</v>
      </c>
      <c r="G26" s="29" t="str">
        <f aca="false">IF(E26="All Stages Closed","",IF(E26="S1 Schematic",IF(N26="","Not added",N26),IF(E26="S2 PCB Layout",IF(R26="","Not added",R26),IF(E26="S3 SI &amp; PI",IF(V26="","Not added",V26),IF(E26="S4 Bare-PCB Fab",IF(Z26="","Not added",Z26),IF(E26="S5 Assembly",IF(AD26="","Not added",AD26),IF(E26="S6 Bring-up",IF(AH26="","Not added",AH26),IF(AL26="","Not added",AL26))))))))</f>
        <v>Not added</v>
      </c>
      <c r="H26" s="28" t="str">
        <f aca="true">IF(OR(F26="Completed",F26="Cancelled"),"",IF(NOT(ISNUMBER(G26)),"Date not added",IF(TODAY()&gt;G26,TODAY()-G26,G26-TODAY()&amp;" days left")))</f>
        <v>Date not added</v>
      </c>
      <c r="I26" s="25" t="n">
        <f aca="false">COUNTIF(M26,"Completed")+COUNTIF(Q26,"Completed")+COUNTIF(U26,"Completed")+COUNTIF(Y26,"Completed")+COUNTIF(AC26,"Completed")+COUNTIF(AG26,"Completed")+COUNTIF(AK26,"Completed")</f>
        <v>0</v>
      </c>
      <c r="J26" s="25" t="n">
        <f aca="false">7-(COUNTIF(M26,"NA")+COUNTIF(Q26,"NA")+COUNTIF(U26,"NA")+COUNTIF(Y26,"NA")+COUNTIF(AC26,"NA")+COUNTIF(AG26,"NA")+COUNTIF(AK26,"NA"))</f>
        <v>5</v>
      </c>
      <c r="K26" s="30" t="n">
        <f aca="false">IFERROR(I26/J26,"")</f>
        <v>0</v>
      </c>
      <c r="L26" s="26"/>
      <c r="M26" s="25" t="s">
        <v>51</v>
      </c>
      <c r="N26" s="31"/>
      <c r="O26" s="31"/>
      <c r="P26" s="26" t="s">
        <v>72</v>
      </c>
      <c r="Q26" s="25" t="s">
        <v>51</v>
      </c>
      <c r="R26" s="31"/>
      <c r="S26" s="31"/>
      <c r="T26" s="26"/>
      <c r="U26" s="25" t="s">
        <v>51</v>
      </c>
      <c r="V26" s="31"/>
      <c r="W26" s="31"/>
      <c r="X26" s="26"/>
      <c r="Y26" s="25" t="s">
        <v>51</v>
      </c>
      <c r="Z26" s="31"/>
      <c r="AA26" s="31"/>
      <c r="AB26" s="26"/>
      <c r="AC26" s="25" t="s">
        <v>51</v>
      </c>
      <c r="AD26" s="31"/>
      <c r="AE26" s="31"/>
      <c r="AF26" s="26"/>
      <c r="AG26" s="25" t="s">
        <v>53</v>
      </c>
      <c r="AH26" s="31"/>
      <c r="AI26" s="31"/>
      <c r="AJ26" s="26"/>
      <c r="AK26" s="25" t="s">
        <v>53</v>
      </c>
      <c r="AL26" s="31"/>
      <c r="AM26" s="31"/>
      <c r="AN26" s="25"/>
      <c r="AO26" s="26"/>
      <c r="AP26" s="26"/>
      <c r="AQ26" s="32"/>
      <c r="AR26" s="26"/>
      <c r="AS26" s="34" t="str">
        <f aca="false">IF(OR(F26="Completed",F26="Cancelled"),"",IF(AND(OR(F26="On Hold",ISNUMBER(H26)),AR26=""),"Reason not given",""))</f>
        <v/>
      </c>
      <c r="AT26" s="35" t="s">
        <v>298</v>
      </c>
      <c r="AU26" s="35"/>
    </row>
    <row r="27" customFormat="false" ht="30" hidden="false" customHeight="true" outlineLevel="0" collapsed="false">
      <c r="A27" s="36" t="n">
        <v>11</v>
      </c>
      <c r="B27" s="37" t="s">
        <v>99</v>
      </c>
      <c r="C27" s="38" t="s">
        <v>299</v>
      </c>
      <c r="D27" s="37" t="s">
        <v>214</v>
      </c>
      <c r="E27" s="36" t="str">
        <f aca="false">IF(NOT(OR(M27="Completed",M27="NA",M27="Cancelled")),"S1 Schematic",IF(NOT(OR(Q27="Completed",Q27="NA",Q27="Cancelled")),"S2 PCB Layout",IF(NOT(OR(U27="Completed",U27="NA",U27="Cancelled")),"S3 SI &amp; PI",IF(NOT(OR(Y27="Completed",Y27="NA",Y27="Cancelled")),"S4 Bare-PCB Fab",IF(NOT(OR(AC27="Completed",AC27="NA",AC27="Cancelled")),"S5 Assembly",IF(NOT(OR(AG27="Completed",AG27="NA",AG27="Cancelled")),"S6 Bring-up",IF(NOT(OR(AK27="Completed",AK27="NA",AK27="Cancelled")),"S7 BOM Procurement","All Stages Closed")))))))</f>
        <v>S1 Schematic</v>
      </c>
      <c r="F27" s="39" t="str">
        <f aca="false">IF(COUNTIF(M27,"Cancelled")+COUNTIF(Q27,"Cancelled")+COUNTIF(U27,"Cancelled")+COUNTIF(Y27,"Cancelled")+COUNTIF(AC27,"Cancelled")+COUNTIF(AG27,"Cancelled")+COUNTIF(AK27,"Cancelled")&gt;0,"Cancelled",IF(E27="All Stages Closed","Completed",IF(E27="S1 Schematic",M27,IF(E27="S2 PCB Layout",Q27,IF(E27="S3 SI &amp; PI",U27,IF(E27="S4 Bare-PCB Fab",Y27,IF(E27="S5 Assembly",AC27,IF(E27="S6 Bring-up",AG27,AK27))))))))</f>
        <v>Not Started</v>
      </c>
      <c r="G27" s="40" t="str">
        <f aca="false">IF(E27="All Stages Closed","",IF(E27="S1 Schematic",IF(N27="","Not added",N27),IF(E27="S2 PCB Layout",IF(R27="","Not added",R27),IF(E27="S3 SI &amp; PI",IF(V27="","Not added",V27),IF(E27="S4 Bare-PCB Fab",IF(Z27="","Not added",Z27),IF(E27="S5 Assembly",IF(AD27="","Not added",AD27),IF(E27="S6 Bring-up",IF(AH27="","Not added",AH27),IF(AL27="","Not added",AL27))))))))</f>
        <v>Not added</v>
      </c>
      <c r="H27" s="39" t="str">
        <f aca="true">IF(OR(F27="Completed",F27="Cancelled"),"",IF(NOT(ISNUMBER(G27)),"Date not added",IF(TODAY()&gt;G27,TODAY()-G27,G27-TODAY()&amp;" days left")))</f>
        <v>Date not added</v>
      </c>
      <c r="I27" s="36" t="n">
        <f aca="false">COUNTIF(M27,"Completed")+COUNTIF(Q27,"Completed")+COUNTIF(U27,"Completed")+COUNTIF(Y27,"Completed")+COUNTIF(AC27,"Completed")+COUNTIF(AG27,"Completed")+COUNTIF(AK27,"Completed")</f>
        <v>0</v>
      </c>
      <c r="J27" s="36" t="n">
        <f aca="false">7-(COUNTIF(M27,"NA")+COUNTIF(Q27,"NA")+COUNTIF(U27,"NA")+COUNTIF(Y27,"NA")+COUNTIF(AC27,"NA")+COUNTIF(AG27,"NA")+COUNTIF(AK27,"NA"))</f>
        <v>5</v>
      </c>
      <c r="K27" s="41" t="n">
        <f aca="false">IFERROR(I27/J27,"")</f>
        <v>0</v>
      </c>
      <c r="L27" s="37"/>
      <c r="M27" s="36" t="s">
        <v>51</v>
      </c>
      <c r="N27" s="42"/>
      <c r="O27" s="42"/>
      <c r="P27" s="37" t="s">
        <v>103</v>
      </c>
      <c r="Q27" s="36" t="s">
        <v>51</v>
      </c>
      <c r="R27" s="42" t="n">
        <v>46276</v>
      </c>
      <c r="S27" s="42"/>
      <c r="T27" s="37"/>
      <c r="U27" s="36" t="s">
        <v>51</v>
      </c>
      <c r="V27" s="42"/>
      <c r="W27" s="42"/>
      <c r="X27" s="37"/>
      <c r="Y27" s="36" t="s">
        <v>51</v>
      </c>
      <c r="Z27" s="42"/>
      <c r="AA27" s="42"/>
      <c r="AB27" s="37"/>
      <c r="AC27" s="36" t="s">
        <v>51</v>
      </c>
      <c r="AD27" s="42"/>
      <c r="AE27" s="42"/>
      <c r="AF27" s="37"/>
      <c r="AG27" s="36" t="s">
        <v>53</v>
      </c>
      <c r="AH27" s="42"/>
      <c r="AI27" s="42"/>
      <c r="AJ27" s="37"/>
      <c r="AK27" s="36" t="s">
        <v>53</v>
      </c>
      <c r="AL27" s="42"/>
      <c r="AM27" s="42"/>
      <c r="AN27" s="36"/>
      <c r="AO27" s="37"/>
      <c r="AP27" s="37"/>
      <c r="AQ27" s="43"/>
      <c r="AR27" s="37"/>
      <c r="AS27" s="45" t="str">
        <f aca="false">IF(OR(F27="Completed",F27="Cancelled"),"",IF(AND(OR(F27="On Hold",ISNUMBER(H27)),AR27=""),"Reason not given",""))</f>
        <v/>
      </c>
      <c r="AT27" s="46" t="s">
        <v>277</v>
      </c>
      <c r="AU27" s="46"/>
    </row>
    <row r="28" customFormat="false" ht="30" hidden="false" customHeight="true" outlineLevel="0" collapsed="false">
      <c r="A28" s="36" t="n">
        <v>12</v>
      </c>
      <c r="B28" s="37" t="s">
        <v>99</v>
      </c>
      <c r="C28" s="38" t="s">
        <v>300</v>
      </c>
      <c r="D28" s="37" t="s">
        <v>214</v>
      </c>
      <c r="E28" s="36" t="str">
        <f aca="false">IF(NOT(OR(M28="Completed",M28="NA",M28="Cancelled")),"S1 Schematic",IF(NOT(OR(Q28="Completed",Q28="NA",Q28="Cancelled")),"S2 PCB Layout",IF(NOT(OR(U28="Completed",U28="NA",U28="Cancelled")),"S3 SI &amp; PI",IF(NOT(OR(Y28="Completed",Y28="NA",Y28="Cancelled")),"S4 Bare-PCB Fab",IF(NOT(OR(AC28="Completed",AC28="NA",AC28="Cancelled")),"S5 Assembly",IF(NOT(OR(AG28="Completed",AG28="NA",AG28="Cancelled")),"S6 Bring-up",IF(NOT(OR(AK28="Completed",AK28="NA",AK28="Cancelled")),"S7 BOM Procurement","All Stages Closed")))))))</f>
        <v>S1 Schematic</v>
      </c>
      <c r="F28" s="39" t="str">
        <f aca="false">IF(COUNTIF(M28,"Cancelled")+COUNTIF(Q28,"Cancelled")+COUNTIF(U28,"Cancelled")+COUNTIF(Y28,"Cancelled")+COUNTIF(AC28,"Cancelled")+COUNTIF(AG28,"Cancelled")+COUNTIF(AK28,"Cancelled")&gt;0,"Cancelled",IF(E28="All Stages Closed","Completed",IF(E28="S1 Schematic",M28,IF(E28="S2 PCB Layout",Q28,IF(E28="S3 SI &amp; PI",U28,IF(E28="S4 Bare-PCB Fab",Y28,IF(E28="S5 Assembly",AC28,IF(E28="S6 Bring-up",AG28,AK28))))))))</f>
        <v>Not Started</v>
      </c>
      <c r="G28" s="40" t="str">
        <f aca="false">IF(E28="All Stages Closed","",IF(E28="S1 Schematic",IF(N28="","Not added",N28),IF(E28="S2 PCB Layout",IF(R28="","Not added",R28),IF(E28="S3 SI &amp; PI",IF(V28="","Not added",V28),IF(E28="S4 Bare-PCB Fab",IF(Z28="","Not added",Z28),IF(E28="S5 Assembly",IF(AD28="","Not added",AD28),IF(E28="S6 Bring-up",IF(AH28="","Not added",AH28),IF(AL28="","Not added",AL28))))))))</f>
        <v>Not added</v>
      </c>
      <c r="H28" s="39" t="str">
        <f aca="true">IF(OR(F28="Completed",F28="Cancelled"),"",IF(NOT(ISNUMBER(G28)),"Date not added",IF(TODAY()&gt;G28,TODAY()-G28,G28-TODAY()&amp;" days left")))</f>
        <v>Date not added</v>
      </c>
      <c r="I28" s="36" t="n">
        <f aca="false">COUNTIF(M28,"Completed")+COUNTIF(Q28,"Completed")+COUNTIF(U28,"Completed")+COUNTIF(Y28,"Completed")+COUNTIF(AC28,"Completed")+COUNTIF(AG28,"Completed")+COUNTIF(AK28,"Completed")</f>
        <v>0</v>
      </c>
      <c r="J28" s="36" t="n">
        <f aca="false">7-(COUNTIF(M28,"NA")+COUNTIF(Q28,"NA")+COUNTIF(U28,"NA")+COUNTIF(Y28,"NA")+COUNTIF(AC28,"NA")+COUNTIF(AG28,"NA")+COUNTIF(AK28,"NA"))</f>
        <v>5</v>
      </c>
      <c r="K28" s="41" t="n">
        <f aca="false">IFERROR(I28/J28,"")</f>
        <v>0</v>
      </c>
      <c r="L28" s="37"/>
      <c r="M28" s="36" t="s">
        <v>51</v>
      </c>
      <c r="N28" s="42"/>
      <c r="O28" s="42"/>
      <c r="P28" s="37"/>
      <c r="Q28" s="36" t="s">
        <v>51</v>
      </c>
      <c r="R28" s="42"/>
      <c r="S28" s="42"/>
      <c r="T28" s="37"/>
      <c r="U28" s="36" t="s">
        <v>51</v>
      </c>
      <c r="V28" s="42"/>
      <c r="W28" s="42"/>
      <c r="X28" s="37"/>
      <c r="Y28" s="36" t="s">
        <v>51</v>
      </c>
      <c r="Z28" s="42"/>
      <c r="AA28" s="42"/>
      <c r="AB28" s="37"/>
      <c r="AC28" s="36" t="s">
        <v>51</v>
      </c>
      <c r="AD28" s="42"/>
      <c r="AE28" s="42"/>
      <c r="AF28" s="37"/>
      <c r="AG28" s="36" t="s">
        <v>53</v>
      </c>
      <c r="AH28" s="42"/>
      <c r="AI28" s="42"/>
      <c r="AJ28" s="37"/>
      <c r="AK28" s="36" t="s">
        <v>53</v>
      </c>
      <c r="AL28" s="42"/>
      <c r="AM28" s="42"/>
      <c r="AN28" s="36"/>
      <c r="AO28" s="37"/>
      <c r="AP28" s="37"/>
      <c r="AQ28" s="43"/>
      <c r="AR28" s="37"/>
      <c r="AS28" s="45" t="str">
        <f aca="false">IF(OR(F28="Completed",F28="Cancelled"),"",IF(AND(OR(F28="On Hold",ISNUMBER(H28)),AR28=""),"Reason not given",""))</f>
        <v/>
      </c>
      <c r="AT28" s="46" t="s">
        <v>301</v>
      </c>
      <c r="AU28" s="46"/>
    </row>
    <row r="29" customFormat="false" ht="30" hidden="false" customHeight="true" outlineLevel="0" collapsed="false">
      <c r="A29" s="25" t="n">
        <v>13</v>
      </c>
      <c r="B29" s="26" t="s">
        <v>102</v>
      </c>
      <c r="C29" s="27" t="s">
        <v>302</v>
      </c>
      <c r="D29" s="26" t="s">
        <v>247</v>
      </c>
      <c r="E29" s="25" t="str">
        <f aca="false">IF(NOT(OR(M29="Completed",M29="NA",M29="Cancelled")),"S1 Schematic",IF(NOT(OR(Q29="Completed",Q29="NA",Q29="Cancelled")),"S2 PCB Layout",IF(NOT(OR(U29="Completed",U29="NA",U29="Cancelled")),"S3 SI &amp; PI",IF(NOT(OR(Y29="Completed",Y29="NA",Y29="Cancelled")),"S4 Bare-PCB Fab",IF(NOT(OR(AC29="Completed",AC29="NA",AC29="Cancelled")),"S5 Assembly",IF(NOT(OR(AG29="Completed",AG29="NA",AG29="Cancelled")),"S6 Bring-up",IF(NOT(OR(AK29="Completed",AK29="NA",AK29="Cancelled")),"S7 BOM Procurement","All Stages Closed")))))))</f>
        <v>S5 Assembly</v>
      </c>
      <c r="F29" s="28" t="str">
        <f aca="false">IF(COUNTIF(M29,"Cancelled")+COUNTIF(Q29,"Cancelled")+COUNTIF(U29,"Cancelled")+COUNTIF(Y29,"Cancelled")+COUNTIF(AC29,"Cancelled")+COUNTIF(AG29,"Cancelled")+COUNTIF(AK29,"Cancelled")&gt;0,"Cancelled",IF(E29="All Stages Closed","Completed",IF(E29="S1 Schematic",M29,IF(E29="S2 PCB Layout",Q29,IF(E29="S3 SI &amp; PI",U29,IF(E29="S4 Bare-PCB Fab",Y29,IF(E29="S5 Assembly",AC29,IF(E29="S6 Bring-up",AG29,AK29))))))))</f>
        <v>In Progress</v>
      </c>
      <c r="G29" s="29" t="str">
        <f aca="false">IF(E29="All Stages Closed","",IF(E29="S1 Schematic",IF(N29="","Not added",N29),IF(E29="S2 PCB Layout",IF(R29="","Not added",R29),IF(E29="S3 SI &amp; PI",IF(V29="","Not added",V29),IF(E29="S4 Bare-PCB Fab",IF(Z29="","Not added",Z29),IF(E29="S5 Assembly",IF(AD29="","Not added",AD29),IF(E29="S6 Bring-up",IF(AH29="","Not added",AH29),IF(AL29="","Not added",AL29))))))))</f>
        <v>Not added</v>
      </c>
      <c r="H29" s="28" t="str">
        <f aca="true">IF(OR(F29="Completed",F29="Cancelled"),"",IF(NOT(ISNUMBER(G29)),"Date not added",IF(TODAY()&gt;G29,TODAY()-G29,G29-TODAY()&amp;" days left")))</f>
        <v>Date not added</v>
      </c>
      <c r="I29" s="25" t="n">
        <f aca="false">COUNTIF(M29,"Completed")+COUNTIF(Q29,"Completed")+COUNTIF(U29,"Completed")+COUNTIF(Y29,"Completed")+COUNTIF(AC29,"Completed")+COUNTIF(AG29,"Completed")+COUNTIF(AK29,"Completed")</f>
        <v>4</v>
      </c>
      <c r="J29" s="25" t="n">
        <f aca="false">7-(COUNTIF(M29,"NA")+COUNTIF(Q29,"NA")+COUNTIF(U29,"NA")+COUNTIF(Y29,"NA")+COUNTIF(AC29,"NA")+COUNTIF(AG29,"NA")+COUNTIF(AK29,"NA"))</f>
        <v>5</v>
      </c>
      <c r="K29" s="30" t="n">
        <f aca="false">IFERROR(I29/J29,"")</f>
        <v>0.8</v>
      </c>
      <c r="L29" s="26" t="s">
        <v>101</v>
      </c>
      <c r="M29" s="25" t="s">
        <v>48</v>
      </c>
      <c r="N29" s="31" t="n">
        <v>46267</v>
      </c>
      <c r="O29" s="31"/>
      <c r="P29" s="26" t="s">
        <v>97</v>
      </c>
      <c r="Q29" s="25" t="s">
        <v>48</v>
      </c>
      <c r="R29" s="31" t="n">
        <v>46248</v>
      </c>
      <c r="S29" s="31"/>
      <c r="T29" s="26"/>
      <c r="U29" s="25" t="s">
        <v>48</v>
      </c>
      <c r="V29" s="31"/>
      <c r="W29" s="31"/>
      <c r="X29" s="26" t="s">
        <v>111</v>
      </c>
      <c r="Y29" s="25" t="s">
        <v>48</v>
      </c>
      <c r="Z29" s="31"/>
      <c r="AA29" s="31"/>
      <c r="AB29" s="26"/>
      <c r="AC29" s="25" t="s">
        <v>49</v>
      </c>
      <c r="AD29" s="31"/>
      <c r="AE29" s="31"/>
      <c r="AF29" s="26"/>
      <c r="AG29" s="25" t="s">
        <v>53</v>
      </c>
      <c r="AH29" s="31"/>
      <c r="AI29" s="31"/>
      <c r="AJ29" s="26"/>
      <c r="AK29" s="25" t="s">
        <v>53</v>
      </c>
      <c r="AL29" s="31"/>
      <c r="AM29" s="31"/>
      <c r="AN29" s="25"/>
      <c r="AO29" s="26"/>
      <c r="AP29" s="26"/>
      <c r="AQ29" s="32"/>
      <c r="AR29" s="26"/>
      <c r="AS29" s="34" t="str">
        <f aca="false">IF(OR(F29="Completed",F29="Cancelled"),"",IF(AND(OR(F29="On Hold",ISNUMBER(H29)),AR29=""),"Reason not given",""))</f>
        <v/>
      </c>
      <c r="AT29" s="35" t="s">
        <v>303</v>
      </c>
      <c r="AU29" s="35"/>
    </row>
    <row r="30" customFormat="false" ht="30" hidden="false" customHeight="true" outlineLevel="0" collapsed="false">
      <c r="A30" s="25" t="n">
        <v>14</v>
      </c>
      <c r="B30" s="26" t="s">
        <v>102</v>
      </c>
      <c r="C30" s="27" t="s">
        <v>304</v>
      </c>
      <c r="D30" s="26" t="s">
        <v>247</v>
      </c>
      <c r="E30" s="25" t="str">
        <f aca="false">IF(NOT(OR(M30="Completed",M30="NA",M30="Cancelled")),"S1 Schematic",IF(NOT(OR(Q30="Completed",Q30="NA",Q30="Cancelled")),"S2 PCB Layout",IF(NOT(OR(U30="Completed",U30="NA",U30="Cancelled")),"S3 SI &amp; PI",IF(NOT(OR(Y30="Completed",Y30="NA",Y30="Cancelled")),"S4 Bare-PCB Fab",IF(NOT(OR(AC30="Completed",AC30="NA",AC30="Cancelled")),"S5 Assembly",IF(NOT(OR(AG30="Completed",AG30="NA",AG30="Cancelled")),"S6 Bring-up",IF(NOT(OR(AK30="Completed",AK30="NA",AK30="Cancelled")),"S7 BOM Procurement","All Stages Closed")))))))</f>
        <v>S3 SI &amp; PI</v>
      </c>
      <c r="F30" s="28" t="str">
        <f aca="false">IF(COUNTIF(M30,"Cancelled")+COUNTIF(Q30,"Cancelled")+COUNTIF(U30,"Cancelled")+COUNTIF(Y30,"Cancelled")+COUNTIF(AC30,"Cancelled")+COUNTIF(AG30,"Cancelled")+COUNTIF(AK30,"Cancelled")&gt;0,"Cancelled",IF(E30="All Stages Closed","Completed",IF(E30="S1 Schematic",M30,IF(E30="S2 PCB Layout",Q30,IF(E30="S3 SI &amp; PI",U30,IF(E30="S4 Bare-PCB Fab",Y30,IF(E30="S5 Assembly",AC30,IF(E30="S6 Bring-up",AG30,AK30))))))))</f>
        <v>In Progress</v>
      </c>
      <c r="G30" s="29" t="str">
        <f aca="false">IF(E30="All Stages Closed","",IF(E30="S1 Schematic",IF(N30="","Not added",N30),IF(E30="S2 PCB Layout",IF(R30="","Not added",R30),IF(E30="S3 SI &amp; PI",IF(V30="","Not added",V30),IF(E30="S4 Bare-PCB Fab",IF(Z30="","Not added",Z30),IF(E30="S5 Assembly",IF(AD30="","Not added",AD30),IF(E30="S6 Bring-up",IF(AH30="","Not added",AH30),IF(AL30="","Not added",AL30))))))))</f>
        <v>Not added</v>
      </c>
      <c r="H30" s="28" t="str">
        <f aca="true">IF(OR(F30="Completed",F30="Cancelled"),"",IF(NOT(ISNUMBER(G30)),"Date not added",IF(TODAY()&gt;G30,TODAY()-G30,G30-TODAY()&amp;" days left")))</f>
        <v>Date not added</v>
      </c>
      <c r="I30" s="25" t="n">
        <f aca="false">COUNTIF(M30,"Completed")+COUNTIF(Q30,"Completed")+COUNTIF(U30,"Completed")+COUNTIF(Y30,"Completed")+COUNTIF(AC30,"Completed")+COUNTIF(AG30,"Completed")+COUNTIF(AK30,"Completed")</f>
        <v>2</v>
      </c>
      <c r="J30" s="25" t="n">
        <f aca="false">7-(COUNTIF(M30,"NA")+COUNTIF(Q30,"NA")+COUNTIF(U30,"NA")+COUNTIF(Y30,"NA")+COUNTIF(AC30,"NA")+COUNTIF(AG30,"NA")+COUNTIF(AK30,"NA"))</f>
        <v>5</v>
      </c>
      <c r="K30" s="30" t="n">
        <f aca="false">IFERROR(I30/J30,"")</f>
        <v>0.4</v>
      </c>
      <c r="L30" s="26"/>
      <c r="M30" s="25" t="s">
        <v>48</v>
      </c>
      <c r="N30" s="31"/>
      <c r="O30" s="31"/>
      <c r="P30" s="26" t="s">
        <v>97</v>
      </c>
      <c r="Q30" s="25" t="s">
        <v>48</v>
      </c>
      <c r="R30" s="31" t="n">
        <v>46251</v>
      </c>
      <c r="S30" s="31"/>
      <c r="T30" s="26"/>
      <c r="U30" s="25" t="s">
        <v>49</v>
      </c>
      <c r="V30" s="31"/>
      <c r="W30" s="31"/>
      <c r="X30" s="26"/>
      <c r="Y30" s="25" t="s">
        <v>51</v>
      </c>
      <c r="Z30" s="31"/>
      <c r="AA30" s="31"/>
      <c r="AB30" s="26"/>
      <c r="AC30" s="25" t="s">
        <v>51</v>
      </c>
      <c r="AD30" s="31"/>
      <c r="AE30" s="31"/>
      <c r="AF30" s="26"/>
      <c r="AG30" s="25" t="s">
        <v>53</v>
      </c>
      <c r="AH30" s="31"/>
      <c r="AI30" s="31"/>
      <c r="AJ30" s="26"/>
      <c r="AK30" s="25" t="s">
        <v>53</v>
      </c>
      <c r="AL30" s="31"/>
      <c r="AM30" s="31"/>
      <c r="AN30" s="25"/>
      <c r="AO30" s="26"/>
      <c r="AP30" s="26"/>
      <c r="AQ30" s="32"/>
      <c r="AR30" s="26"/>
      <c r="AS30" s="34" t="str">
        <f aca="false">IF(OR(F30="Completed",F30="Cancelled"),"",IF(AND(OR(F30="On Hold",ISNUMBER(H30)),AR30=""),"Reason not given",""))</f>
        <v/>
      </c>
      <c r="AT30" s="35" t="s">
        <v>305</v>
      </c>
      <c r="AU30" s="35"/>
    </row>
    <row r="31" customFormat="false" ht="30" hidden="false" customHeight="true" outlineLevel="0" collapsed="false">
      <c r="A31" s="25" t="n">
        <v>15</v>
      </c>
      <c r="B31" s="26" t="s">
        <v>102</v>
      </c>
      <c r="C31" s="27" t="s">
        <v>306</v>
      </c>
      <c r="D31" s="26" t="s">
        <v>162</v>
      </c>
      <c r="E31" s="25" t="str">
        <f aca="false">IF(NOT(OR(M31="Completed",M31="NA",M31="Cancelled")),"S1 Schematic",IF(NOT(OR(Q31="Completed",Q31="NA",Q31="Cancelled")),"S2 PCB Layout",IF(NOT(OR(U31="Completed",U31="NA",U31="Cancelled")),"S3 SI &amp; PI",IF(NOT(OR(Y31="Completed",Y31="NA",Y31="Cancelled")),"S4 Bare-PCB Fab",IF(NOT(OR(AC31="Completed",AC31="NA",AC31="Cancelled")),"S5 Assembly",IF(NOT(OR(AG31="Completed",AG31="NA",AG31="Cancelled")),"S6 Bring-up",IF(NOT(OR(AK31="Completed",AK31="NA",AK31="Cancelled")),"S7 BOM Procurement","All Stages Closed")))))))</f>
        <v>S2 PCB Layout</v>
      </c>
      <c r="F31" s="28" t="str">
        <f aca="false">IF(COUNTIF(M31,"Cancelled")+COUNTIF(Q31,"Cancelled")+COUNTIF(U31,"Cancelled")+COUNTIF(Y31,"Cancelled")+COUNTIF(AC31,"Cancelled")+COUNTIF(AG31,"Cancelled")+COUNTIF(AK31,"Cancelled")&gt;0,"Cancelled",IF(E31="All Stages Closed","Completed",IF(E31="S1 Schematic",M31,IF(E31="S2 PCB Layout",Q31,IF(E31="S3 SI &amp; PI",U31,IF(E31="S4 Bare-PCB Fab",Y31,IF(E31="S5 Assembly",AC31,IF(E31="S6 Bring-up",AG31,AK31))))))))</f>
        <v>On Hold</v>
      </c>
      <c r="G31" s="29" t="str">
        <f aca="false">IF(E31="All Stages Closed","",IF(E31="S1 Schematic",IF(N31="","Not added",N31),IF(E31="S2 PCB Layout",IF(R31="","Not added",R31),IF(E31="S3 SI &amp; PI",IF(V31="","Not added",V31),IF(E31="S4 Bare-PCB Fab",IF(Z31="","Not added",Z31),IF(E31="S5 Assembly",IF(AD31="","Not added",AD31),IF(E31="S6 Bring-up",IF(AH31="","Not added",AH31),IF(AL31="","Not added",AL31))))))))</f>
        <v>Not added</v>
      </c>
      <c r="H31" s="28" t="str">
        <f aca="true">IF(OR(F31="Completed",F31="Cancelled"),"",IF(NOT(ISNUMBER(G31)),"Date not added",IF(TODAY()&gt;G31,TODAY()-G31,G31-TODAY()&amp;" days left")))</f>
        <v>Date not added</v>
      </c>
      <c r="I31" s="25" t="n">
        <f aca="false">COUNTIF(M31,"Completed")+COUNTIF(Q31,"Completed")+COUNTIF(U31,"Completed")+COUNTIF(Y31,"Completed")+COUNTIF(AC31,"Completed")+COUNTIF(AG31,"Completed")+COUNTIF(AK31,"Completed")</f>
        <v>1</v>
      </c>
      <c r="J31" s="25" t="n">
        <f aca="false">7-(COUNTIF(M31,"NA")+COUNTIF(Q31,"NA")+COUNTIF(U31,"NA")+COUNTIF(Y31,"NA")+COUNTIF(AC31,"NA")+COUNTIF(AG31,"NA")+COUNTIF(AK31,"NA"))</f>
        <v>5</v>
      </c>
      <c r="K31" s="30" t="n">
        <f aca="false">IFERROR(I31/J31,"")</f>
        <v>0.2</v>
      </c>
      <c r="L31" s="26" t="s">
        <v>101</v>
      </c>
      <c r="M31" s="25" t="s">
        <v>48</v>
      </c>
      <c r="N31" s="31" t="n">
        <v>46254</v>
      </c>
      <c r="O31" s="31"/>
      <c r="P31" s="26"/>
      <c r="Q31" s="25" t="s">
        <v>50</v>
      </c>
      <c r="R31" s="31"/>
      <c r="S31" s="31"/>
      <c r="T31" s="26"/>
      <c r="U31" s="25" t="s">
        <v>50</v>
      </c>
      <c r="V31" s="31"/>
      <c r="W31" s="31"/>
      <c r="X31" s="26"/>
      <c r="Y31" s="25" t="s">
        <v>50</v>
      </c>
      <c r="Z31" s="31"/>
      <c r="AA31" s="31"/>
      <c r="AB31" s="26"/>
      <c r="AC31" s="25" t="s">
        <v>50</v>
      </c>
      <c r="AD31" s="31"/>
      <c r="AE31" s="31"/>
      <c r="AF31" s="26"/>
      <c r="AG31" s="25" t="s">
        <v>53</v>
      </c>
      <c r="AH31" s="31"/>
      <c r="AI31" s="31"/>
      <c r="AJ31" s="26"/>
      <c r="AK31" s="25" t="s">
        <v>53</v>
      </c>
      <c r="AL31" s="31"/>
      <c r="AM31" s="31"/>
      <c r="AN31" s="25"/>
      <c r="AO31" s="26"/>
      <c r="AP31" s="26"/>
      <c r="AQ31" s="32"/>
      <c r="AR31" s="26"/>
      <c r="AS31" s="34" t="str">
        <f aca="false">IF(OR(F31="Completed",F31="Cancelled"),"",IF(AND(OR(F31="On Hold",ISNUMBER(H31)),AR31=""),"Reason not given",""))</f>
        <v>Reason not given</v>
      </c>
      <c r="AT31" s="35" t="s">
        <v>307</v>
      </c>
      <c r="AU31" s="35"/>
    </row>
    <row r="32" customFormat="false" ht="30" hidden="false" customHeight="true" outlineLevel="0" collapsed="false">
      <c r="A32" s="25" t="n">
        <v>16</v>
      </c>
      <c r="B32" s="26" t="s">
        <v>102</v>
      </c>
      <c r="C32" s="27" t="s">
        <v>308</v>
      </c>
      <c r="D32" s="26" t="s">
        <v>162</v>
      </c>
      <c r="E32" s="25" t="str">
        <f aca="false">IF(NOT(OR(M32="Completed",M32="NA",M32="Cancelled")),"S1 Schematic",IF(NOT(OR(Q32="Completed",Q32="NA",Q32="Cancelled")),"S2 PCB Layout",IF(NOT(OR(U32="Completed",U32="NA",U32="Cancelled")),"S3 SI &amp; PI",IF(NOT(OR(Y32="Completed",Y32="NA",Y32="Cancelled")),"S4 Bare-PCB Fab",IF(NOT(OR(AC32="Completed",AC32="NA",AC32="Cancelled")),"S5 Assembly",IF(NOT(OR(AG32="Completed",AG32="NA",AG32="Cancelled")),"S6 Bring-up",IF(NOT(OR(AK32="Completed",AK32="NA",AK32="Cancelled")),"S7 BOM Procurement","All Stages Closed")))))))</f>
        <v>S5 Assembly</v>
      </c>
      <c r="F32" s="28" t="str">
        <f aca="false">IF(COUNTIF(M32,"Cancelled")+COUNTIF(Q32,"Cancelled")+COUNTIF(U32,"Cancelled")+COUNTIF(Y32,"Cancelled")+COUNTIF(AC32,"Cancelled")+COUNTIF(AG32,"Cancelled")+COUNTIF(AK32,"Cancelled")&gt;0,"Cancelled",IF(E32="All Stages Closed","Completed",IF(E32="S1 Schematic",M32,IF(E32="S2 PCB Layout",Q32,IF(E32="S3 SI &amp; PI",U32,IF(E32="S4 Bare-PCB Fab",Y32,IF(E32="S5 Assembly",AC32,IF(E32="S6 Bring-up",AG32,AK32))))))))</f>
        <v>In Progress</v>
      </c>
      <c r="G32" s="29" t="str">
        <f aca="false">IF(E32="All Stages Closed","",IF(E32="S1 Schematic",IF(N32="","Not added",N32),IF(E32="S2 PCB Layout",IF(R32="","Not added",R32),IF(E32="S3 SI &amp; PI",IF(V32="","Not added",V32),IF(E32="S4 Bare-PCB Fab",IF(Z32="","Not added",Z32),IF(E32="S5 Assembly",IF(AD32="","Not added",AD32),IF(E32="S6 Bring-up",IF(AH32="","Not added",AH32),IF(AL32="","Not added",AL32))))))))</f>
        <v>Not added</v>
      </c>
      <c r="H32" s="28" t="str">
        <f aca="true">IF(OR(F32="Completed",F32="Cancelled"),"",IF(NOT(ISNUMBER(G32)),"Date not added",IF(TODAY()&gt;G32,TODAY()-G32,G32-TODAY()&amp;" days left")))</f>
        <v>Date not added</v>
      </c>
      <c r="I32" s="25" t="n">
        <f aca="false">COUNTIF(M32,"Completed")+COUNTIF(Q32,"Completed")+COUNTIF(U32,"Completed")+COUNTIF(Y32,"Completed")+COUNTIF(AC32,"Completed")+COUNTIF(AG32,"Completed")+COUNTIF(AK32,"Completed")</f>
        <v>4</v>
      </c>
      <c r="J32" s="25" t="n">
        <f aca="false">7-(COUNTIF(M32,"NA")+COUNTIF(Q32,"NA")+COUNTIF(U32,"NA")+COUNTIF(Y32,"NA")+COUNTIF(AC32,"NA")+COUNTIF(AG32,"NA")+COUNTIF(AK32,"NA"))</f>
        <v>5</v>
      </c>
      <c r="K32" s="30" t="n">
        <f aca="false">IFERROR(I32/J32,"")</f>
        <v>0.8</v>
      </c>
      <c r="L32" s="26" t="s">
        <v>101</v>
      </c>
      <c r="M32" s="25" t="s">
        <v>48</v>
      </c>
      <c r="N32" s="31" t="n">
        <v>46206</v>
      </c>
      <c r="O32" s="31"/>
      <c r="P32" s="26"/>
      <c r="Q32" s="25" t="s">
        <v>48</v>
      </c>
      <c r="R32" s="31"/>
      <c r="S32" s="31"/>
      <c r="T32" s="26"/>
      <c r="U32" s="25" t="s">
        <v>48</v>
      </c>
      <c r="V32" s="31"/>
      <c r="W32" s="31"/>
      <c r="X32" s="26"/>
      <c r="Y32" s="25" t="s">
        <v>48</v>
      </c>
      <c r="Z32" s="31"/>
      <c r="AA32" s="31"/>
      <c r="AB32" s="26"/>
      <c r="AC32" s="25" t="s">
        <v>49</v>
      </c>
      <c r="AD32" s="31"/>
      <c r="AE32" s="31"/>
      <c r="AF32" s="26"/>
      <c r="AG32" s="25" t="s">
        <v>53</v>
      </c>
      <c r="AH32" s="31"/>
      <c r="AI32" s="31"/>
      <c r="AJ32" s="26"/>
      <c r="AK32" s="25" t="s">
        <v>53</v>
      </c>
      <c r="AL32" s="31"/>
      <c r="AM32" s="31"/>
      <c r="AN32" s="25"/>
      <c r="AO32" s="26"/>
      <c r="AP32" s="26"/>
      <c r="AQ32" s="32"/>
      <c r="AR32" s="26"/>
      <c r="AS32" s="34" t="str">
        <f aca="false">IF(OR(F32="Completed",F32="Cancelled"),"",IF(AND(OR(F32="On Hold",ISNUMBER(H32)),AR32=""),"Reason not given",""))</f>
        <v/>
      </c>
      <c r="AT32" s="35" t="s">
        <v>309</v>
      </c>
      <c r="AU32" s="35"/>
    </row>
    <row r="33" customFormat="false" ht="30" hidden="false" customHeight="true" outlineLevel="0" collapsed="false">
      <c r="A33" s="25" t="n">
        <v>17</v>
      </c>
      <c r="B33" s="26" t="s">
        <v>102</v>
      </c>
      <c r="C33" s="27" t="s">
        <v>310</v>
      </c>
      <c r="D33" s="26" t="s">
        <v>162</v>
      </c>
      <c r="E33" s="25" t="str">
        <f aca="false">IF(NOT(OR(M33="Completed",M33="NA",M33="Cancelled")),"S1 Schematic",IF(NOT(OR(Q33="Completed",Q33="NA",Q33="Cancelled")),"S2 PCB Layout",IF(NOT(OR(U33="Completed",U33="NA",U33="Cancelled")),"S3 SI &amp; PI",IF(NOT(OR(Y33="Completed",Y33="NA",Y33="Cancelled")),"S4 Bare-PCB Fab",IF(NOT(OR(AC33="Completed",AC33="NA",AC33="Cancelled")),"S5 Assembly",IF(NOT(OR(AG33="Completed",AG33="NA",AG33="Cancelled")),"S6 Bring-up",IF(NOT(OR(AK33="Completed",AK33="NA",AK33="Cancelled")),"S7 BOM Procurement","All Stages Closed")))))))</f>
        <v>S5 Assembly</v>
      </c>
      <c r="F33" s="28" t="str">
        <f aca="false">IF(COUNTIF(M33,"Cancelled")+COUNTIF(Q33,"Cancelled")+COUNTIF(U33,"Cancelled")+COUNTIF(Y33,"Cancelled")+COUNTIF(AC33,"Cancelled")+COUNTIF(AG33,"Cancelled")+COUNTIF(AK33,"Cancelled")&gt;0,"Cancelled",IF(E33="All Stages Closed","Completed",IF(E33="S1 Schematic",M33,IF(E33="S2 PCB Layout",Q33,IF(E33="S3 SI &amp; PI",U33,IF(E33="S4 Bare-PCB Fab",Y33,IF(E33="S5 Assembly",AC33,IF(E33="S6 Bring-up",AG33,AK33))))))))</f>
        <v>In Progress</v>
      </c>
      <c r="G33" s="29" t="str">
        <f aca="false">IF(E33="All Stages Closed","",IF(E33="S1 Schematic",IF(N33="","Not added",N33),IF(E33="S2 PCB Layout",IF(R33="","Not added",R33),IF(E33="S3 SI &amp; PI",IF(V33="","Not added",V33),IF(E33="S4 Bare-PCB Fab",IF(Z33="","Not added",Z33),IF(E33="S5 Assembly",IF(AD33="","Not added",AD33),IF(E33="S6 Bring-up",IF(AH33="","Not added",AH33),IF(AL33="","Not added",AL33))))))))</f>
        <v>Not added</v>
      </c>
      <c r="H33" s="28" t="str">
        <f aca="true">IF(OR(F33="Completed",F33="Cancelled"),"",IF(NOT(ISNUMBER(G33)),"Date not added",IF(TODAY()&gt;G33,TODAY()-G33,G33-TODAY()&amp;" days left")))</f>
        <v>Date not added</v>
      </c>
      <c r="I33" s="25" t="n">
        <f aca="false">COUNTIF(M33,"Completed")+COUNTIF(Q33,"Completed")+COUNTIF(U33,"Completed")+COUNTIF(Y33,"Completed")+COUNTIF(AC33,"Completed")+COUNTIF(AG33,"Completed")+COUNTIF(AK33,"Completed")</f>
        <v>4</v>
      </c>
      <c r="J33" s="25" t="n">
        <f aca="false">7-(COUNTIF(M33,"NA")+COUNTIF(Q33,"NA")+COUNTIF(U33,"NA")+COUNTIF(Y33,"NA")+COUNTIF(AC33,"NA")+COUNTIF(AG33,"NA")+COUNTIF(AK33,"NA"))</f>
        <v>5</v>
      </c>
      <c r="K33" s="30" t="n">
        <f aca="false">IFERROR(I33/J33,"")</f>
        <v>0.8</v>
      </c>
      <c r="L33" s="26" t="s">
        <v>101</v>
      </c>
      <c r="M33" s="25" t="s">
        <v>48</v>
      </c>
      <c r="N33" s="31"/>
      <c r="O33" s="31"/>
      <c r="P33" s="26"/>
      <c r="Q33" s="25" t="s">
        <v>48</v>
      </c>
      <c r="R33" s="31"/>
      <c r="S33" s="31"/>
      <c r="T33" s="26"/>
      <c r="U33" s="25" t="s">
        <v>48</v>
      </c>
      <c r="V33" s="31"/>
      <c r="W33" s="31"/>
      <c r="X33" s="26"/>
      <c r="Y33" s="25" t="s">
        <v>48</v>
      </c>
      <c r="Z33" s="31"/>
      <c r="AA33" s="31"/>
      <c r="AB33" s="26"/>
      <c r="AC33" s="25" t="s">
        <v>49</v>
      </c>
      <c r="AD33" s="31"/>
      <c r="AE33" s="31"/>
      <c r="AF33" s="26"/>
      <c r="AG33" s="25" t="s">
        <v>53</v>
      </c>
      <c r="AH33" s="31"/>
      <c r="AI33" s="31"/>
      <c r="AJ33" s="26"/>
      <c r="AK33" s="25" t="s">
        <v>53</v>
      </c>
      <c r="AL33" s="31"/>
      <c r="AM33" s="31"/>
      <c r="AN33" s="25"/>
      <c r="AO33" s="26"/>
      <c r="AP33" s="26"/>
      <c r="AQ33" s="32"/>
      <c r="AR33" s="26"/>
      <c r="AS33" s="34" t="str">
        <f aca="false">IF(OR(F33="Completed",F33="Cancelled"),"",IF(AND(OR(F33="On Hold",ISNUMBER(H33)),AR33=""),"Reason not given",""))</f>
        <v/>
      </c>
      <c r="AT33" s="35" t="s">
        <v>311</v>
      </c>
      <c r="AU33" s="35"/>
    </row>
    <row r="34" customFormat="false" ht="30" hidden="false" customHeight="true" outlineLevel="0" collapsed="false">
      <c r="A34" s="25" t="n">
        <v>18</v>
      </c>
      <c r="B34" s="26" t="s">
        <v>102</v>
      </c>
      <c r="C34" s="27" t="s">
        <v>312</v>
      </c>
      <c r="D34" s="26" t="s">
        <v>247</v>
      </c>
      <c r="E34" s="25" t="str">
        <f aca="false">IF(NOT(OR(M34="Completed",M34="NA",M34="Cancelled")),"S1 Schematic",IF(NOT(OR(Q34="Completed",Q34="NA",Q34="Cancelled")),"S2 PCB Layout",IF(NOT(OR(U34="Completed",U34="NA",U34="Cancelled")),"S3 SI &amp; PI",IF(NOT(OR(Y34="Completed",Y34="NA",Y34="Cancelled")),"S4 Bare-PCB Fab",IF(NOT(OR(AC34="Completed",AC34="NA",AC34="Cancelled")),"S5 Assembly",IF(NOT(OR(AG34="Completed",AG34="NA",AG34="Cancelled")),"S6 Bring-up",IF(NOT(OR(AK34="Completed",AK34="NA",AK34="Cancelled")),"S7 BOM Procurement","All Stages Closed")))))))</f>
        <v>S2 PCB Layout</v>
      </c>
      <c r="F34" s="28" t="str">
        <f aca="false">IF(COUNTIF(M34,"Cancelled")+COUNTIF(Q34,"Cancelled")+COUNTIF(U34,"Cancelled")+COUNTIF(Y34,"Cancelled")+COUNTIF(AC34,"Cancelled")+COUNTIF(AG34,"Cancelled")+COUNTIF(AK34,"Cancelled")&gt;0,"Cancelled",IF(E34="All Stages Closed","Completed",IF(E34="S1 Schematic",M34,IF(E34="S2 PCB Layout",Q34,IF(E34="S3 SI &amp; PI",U34,IF(E34="S4 Bare-PCB Fab",Y34,IF(E34="S5 Assembly",AC34,IF(E34="S6 Bring-up",AG34,AK34))))))))</f>
        <v>In Progress</v>
      </c>
      <c r="G34" s="29" t="n">
        <f aca="false">IF(E34="All Stages Closed","",IF(E34="S1 Schematic",IF(N34="","Not added",N34),IF(E34="S2 PCB Layout",IF(R34="","Not added",R34),IF(E34="S3 SI &amp; PI",IF(V34="","Not added",V34),IF(E34="S4 Bare-PCB Fab",IF(Z34="","Not added",Z34),IF(E34="S5 Assembly",IF(AD34="","Not added",AD34),IF(E34="S6 Bring-up",IF(AH34="","Not added",AH34),IF(AL34="","Not added",AL34))))))))</f>
        <v>46266</v>
      </c>
      <c r="H34" s="28" t="n">
        <f aca="true">IF(OR(F34="Completed",F34="Cancelled"),"",IF(NOT(ISNUMBER(G34)),"Date not added",IF(TODAY()&gt;G34,TODAY()-G34,G34-TODAY()&amp;" days left")))</f>
        <v>2</v>
      </c>
      <c r="I34" s="25" t="n">
        <f aca="false">COUNTIF(M34,"Completed")+COUNTIF(Q34,"Completed")+COUNTIF(U34,"Completed")+COUNTIF(Y34,"Completed")+COUNTIF(AC34,"Completed")+COUNTIF(AG34,"Completed")+COUNTIF(AK34,"Completed")</f>
        <v>1</v>
      </c>
      <c r="J34" s="25" t="n">
        <f aca="false">7-(COUNTIF(M34,"NA")+COUNTIF(Q34,"NA")+COUNTIF(U34,"NA")+COUNTIF(Y34,"NA")+COUNTIF(AC34,"NA")+COUNTIF(AG34,"NA")+COUNTIF(AK34,"NA"))</f>
        <v>5</v>
      </c>
      <c r="K34" s="30" t="n">
        <f aca="false">IFERROR(I34/J34,"")</f>
        <v>0.2</v>
      </c>
      <c r="L34" s="26"/>
      <c r="M34" s="25" t="s">
        <v>48</v>
      </c>
      <c r="N34" s="31"/>
      <c r="O34" s="31"/>
      <c r="P34" s="26" t="s">
        <v>103</v>
      </c>
      <c r="Q34" s="25" t="s">
        <v>49</v>
      </c>
      <c r="R34" s="31" t="n">
        <v>46266</v>
      </c>
      <c r="S34" s="31"/>
      <c r="T34" s="26"/>
      <c r="U34" s="25" t="s">
        <v>51</v>
      </c>
      <c r="V34" s="31"/>
      <c r="W34" s="31"/>
      <c r="X34" s="26"/>
      <c r="Y34" s="25" t="s">
        <v>51</v>
      </c>
      <c r="Z34" s="31"/>
      <c r="AA34" s="31"/>
      <c r="AB34" s="26"/>
      <c r="AC34" s="25" t="s">
        <v>51</v>
      </c>
      <c r="AD34" s="31"/>
      <c r="AE34" s="31"/>
      <c r="AF34" s="26"/>
      <c r="AG34" s="25" t="s">
        <v>53</v>
      </c>
      <c r="AH34" s="31"/>
      <c r="AI34" s="31"/>
      <c r="AJ34" s="26"/>
      <c r="AK34" s="25" t="s">
        <v>53</v>
      </c>
      <c r="AL34" s="31"/>
      <c r="AM34" s="31"/>
      <c r="AN34" s="25"/>
      <c r="AO34" s="26"/>
      <c r="AP34" s="26"/>
      <c r="AQ34" s="32"/>
      <c r="AR34" s="26"/>
      <c r="AS34" s="34" t="str">
        <f aca="false">IF(OR(F34="Completed",F34="Cancelled"),"",IF(AND(OR(F34="On Hold",ISNUMBER(H34)),AR34=""),"Reason not given",""))</f>
        <v>Reason not given</v>
      </c>
      <c r="AT34" s="35" t="s">
        <v>313</v>
      </c>
      <c r="AU34" s="35"/>
    </row>
    <row r="35" customFormat="false" ht="30" hidden="false" customHeight="true" outlineLevel="0" collapsed="false">
      <c r="A35" s="25" t="n">
        <v>19</v>
      </c>
      <c r="B35" s="26" t="s">
        <v>102</v>
      </c>
      <c r="C35" s="27" t="s">
        <v>314</v>
      </c>
      <c r="D35" s="26" t="s">
        <v>162</v>
      </c>
      <c r="E35" s="25" t="str">
        <f aca="false">IF(NOT(OR(M35="Completed",M35="NA",M35="Cancelled")),"S1 Schematic",IF(NOT(OR(Q35="Completed",Q35="NA",Q35="Cancelled")),"S2 PCB Layout",IF(NOT(OR(U35="Completed",U35="NA",U35="Cancelled")),"S3 SI &amp; PI",IF(NOT(OR(Y35="Completed",Y35="NA",Y35="Cancelled")),"S4 Bare-PCB Fab",IF(NOT(OR(AC35="Completed",AC35="NA",AC35="Cancelled")),"S5 Assembly",IF(NOT(OR(AG35="Completed",AG35="NA",AG35="Cancelled")),"S6 Bring-up",IF(NOT(OR(AK35="Completed",AK35="NA",AK35="Cancelled")),"S7 BOM Procurement","All Stages Closed")))))))</f>
        <v>S2 PCB Layout</v>
      </c>
      <c r="F35" s="28" t="str">
        <f aca="false">IF(COUNTIF(M35,"Cancelled")+COUNTIF(Q35,"Cancelled")+COUNTIF(U35,"Cancelled")+COUNTIF(Y35,"Cancelled")+COUNTIF(AC35,"Cancelled")+COUNTIF(AG35,"Cancelled")+COUNTIF(AK35,"Cancelled")&gt;0,"Cancelled",IF(E35="All Stages Closed","Completed",IF(E35="S1 Schematic",M35,IF(E35="S2 PCB Layout",Q35,IF(E35="S3 SI &amp; PI",U35,IF(E35="S4 Bare-PCB Fab",Y35,IF(E35="S5 Assembly",AC35,IF(E35="S6 Bring-up",AG35,AK35))))))))</f>
        <v>In Progress</v>
      </c>
      <c r="G35" s="29" t="n">
        <f aca="false">IF(E35="All Stages Closed","",IF(E35="S1 Schematic",IF(N35="","Not added",N35),IF(E35="S2 PCB Layout",IF(R35="","Not added",R35),IF(E35="S3 SI &amp; PI",IF(V35="","Not added",V35),IF(E35="S4 Bare-PCB Fab",IF(Z35="","Not added",Z35),IF(E35="S5 Assembly",IF(AD35="","Not added",AD35),IF(E35="S6 Bring-up",IF(AH35="","Not added",AH35),IF(AL35="","Not added",AL35))))))))</f>
        <v>46269</v>
      </c>
      <c r="H35" s="28" t="str">
        <f aca="true">IF(OR(F35="Completed",F35="Cancelled"),"",IF(NOT(ISNUMBER(G35)),"Date not added",IF(TODAY()&gt;G35,TODAY()-G35,G35-TODAY()&amp;" days left")))</f>
        <v>1 days left</v>
      </c>
      <c r="I35" s="25" t="n">
        <f aca="false">COUNTIF(M35,"Completed")+COUNTIF(Q35,"Completed")+COUNTIF(U35,"Completed")+COUNTIF(Y35,"Completed")+COUNTIF(AC35,"Completed")+COUNTIF(AG35,"Completed")+COUNTIF(AK35,"Completed")</f>
        <v>1</v>
      </c>
      <c r="J35" s="25" t="n">
        <f aca="false">7-(COUNTIF(M35,"NA")+COUNTIF(Q35,"NA")+COUNTIF(U35,"NA")+COUNTIF(Y35,"NA")+COUNTIF(AC35,"NA")+COUNTIF(AG35,"NA")+COUNTIF(AK35,"NA"))</f>
        <v>5</v>
      </c>
      <c r="K35" s="30" t="n">
        <f aca="false">IFERROR(I35/J35,"")</f>
        <v>0.2</v>
      </c>
      <c r="L35" s="26"/>
      <c r="M35" s="25" t="s">
        <v>48</v>
      </c>
      <c r="N35" s="31"/>
      <c r="O35" s="31"/>
      <c r="P35" s="26" t="s">
        <v>108</v>
      </c>
      <c r="Q35" s="25" t="s">
        <v>49</v>
      </c>
      <c r="R35" s="31" t="n">
        <v>46269</v>
      </c>
      <c r="S35" s="31"/>
      <c r="T35" s="26" t="s">
        <v>89</v>
      </c>
      <c r="U35" s="25" t="s">
        <v>49</v>
      </c>
      <c r="V35" s="31"/>
      <c r="W35" s="31"/>
      <c r="X35" s="26"/>
      <c r="Y35" s="25" t="s">
        <v>51</v>
      </c>
      <c r="Z35" s="31"/>
      <c r="AA35" s="31"/>
      <c r="AB35" s="26"/>
      <c r="AC35" s="25" t="s">
        <v>51</v>
      </c>
      <c r="AD35" s="31"/>
      <c r="AE35" s="31"/>
      <c r="AF35" s="26"/>
      <c r="AG35" s="25" t="s">
        <v>53</v>
      </c>
      <c r="AH35" s="31"/>
      <c r="AI35" s="31"/>
      <c r="AJ35" s="26"/>
      <c r="AK35" s="25" t="s">
        <v>53</v>
      </c>
      <c r="AL35" s="31"/>
      <c r="AM35" s="31"/>
      <c r="AN35" s="25"/>
      <c r="AO35" s="26"/>
      <c r="AP35" s="26"/>
      <c r="AQ35" s="32"/>
      <c r="AR35" s="26"/>
      <c r="AS35" s="34" t="str">
        <f aca="false">IF(OR(F35="Completed",F35="Cancelled"),"",IF(AND(OR(F35="On Hold",ISNUMBER(H35)),AR35=""),"Reason not given",""))</f>
        <v/>
      </c>
      <c r="AT35" s="35" t="s">
        <v>315</v>
      </c>
      <c r="AU35" s="35" t="s">
        <v>316</v>
      </c>
    </row>
    <row r="36" customFormat="false" ht="30" hidden="false" customHeight="true" outlineLevel="0" collapsed="false">
      <c r="A36" s="25" t="n">
        <v>20</v>
      </c>
      <c r="B36" s="26" t="s">
        <v>102</v>
      </c>
      <c r="C36" s="27" t="s">
        <v>317</v>
      </c>
      <c r="D36" s="26" t="s">
        <v>247</v>
      </c>
      <c r="E36" s="25" t="str">
        <f aca="false">IF(NOT(OR(M36="Completed",M36="NA",M36="Cancelled")),"S1 Schematic",IF(NOT(OR(Q36="Completed",Q36="NA",Q36="Cancelled")),"S2 PCB Layout",IF(NOT(OR(U36="Completed",U36="NA",U36="Cancelled")),"S3 SI &amp; PI",IF(NOT(OR(Y36="Completed",Y36="NA",Y36="Cancelled")),"S4 Bare-PCB Fab",IF(NOT(OR(AC36="Completed",AC36="NA",AC36="Cancelled")),"S5 Assembly",IF(NOT(OR(AG36="Completed",AG36="NA",AG36="Cancelled")),"S6 Bring-up",IF(NOT(OR(AK36="Completed",AK36="NA",AK36="Cancelled")),"S7 BOM Procurement","All Stages Closed")))))))</f>
        <v>S2 PCB Layout</v>
      </c>
      <c r="F36" s="28" t="str">
        <f aca="false">IF(COUNTIF(M36,"Cancelled")+COUNTIF(Q36,"Cancelled")+COUNTIF(U36,"Cancelled")+COUNTIF(Y36,"Cancelled")+COUNTIF(AC36,"Cancelled")+COUNTIF(AG36,"Cancelled")+COUNTIF(AK36,"Cancelled")&gt;0,"Cancelled",IF(E36="All Stages Closed","Completed",IF(E36="S1 Schematic",M36,IF(E36="S2 PCB Layout",Q36,IF(E36="S3 SI &amp; PI",U36,IF(E36="S4 Bare-PCB Fab",Y36,IF(E36="S5 Assembly",AC36,IF(E36="S6 Bring-up",AG36,AK36))))))))</f>
        <v>In Progress</v>
      </c>
      <c r="G36" s="29" t="n">
        <f aca="false">IF(E36="All Stages Closed","",IF(E36="S1 Schematic",IF(N36="","Not added",N36),IF(E36="S2 PCB Layout",IF(R36="","Not added",R36),IF(E36="S3 SI &amp; PI",IF(V36="","Not added",V36),IF(E36="S4 Bare-PCB Fab",IF(Z36="","Not added",Z36),IF(E36="S5 Assembly",IF(AD36="","Not added",AD36),IF(E36="S6 Bring-up",IF(AH36="","Not added",AH36),IF(AL36="","Not added",AL36))))))))</f>
        <v>46267</v>
      </c>
      <c r="H36" s="28" t="n">
        <f aca="true">IF(OR(F36="Completed",F36="Cancelled"),"",IF(NOT(ISNUMBER(G36)),"Date not added",IF(TODAY()&gt;G36,TODAY()-G36,G36-TODAY()&amp;" days left")))</f>
        <v>1</v>
      </c>
      <c r="I36" s="25" t="n">
        <f aca="false">COUNTIF(M36,"Completed")+COUNTIF(Q36,"Completed")+COUNTIF(U36,"Completed")+COUNTIF(Y36,"Completed")+COUNTIF(AC36,"Completed")+COUNTIF(AG36,"Completed")+COUNTIF(AK36,"Completed")</f>
        <v>1</v>
      </c>
      <c r="J36" s="25" t="n">
        <f aca="false">7-(COUNTIF(M36,"NA")+COUNTIF(Q36,"NA")+COUNTIF(U36,"NA")+COUNTIF(Y36,"NA")+COUNTIF(AC36,"NA")+COUNTIF(AG36,"NA")+COUNTIF(AK36,"NA"))</f>
        <v>5</v>
      </c>
      <c r="K36" s="30" t="n">
        <f aca="false">IFERROR(I36/J36,"")</f>
        <v>0.2</v>
      </c>
      <c r="L36" s="26" t="s">
        <v>101</v>
      </c>
      <c r="M36" s="25" t="s">
        <v>48</v>
      </c>
      <c r="N36" s="31" t="n">
        <v>46224</v>
      </c>
      <c r="O36" s="31"/>
      <c r="P36" s="26" t="s">
        <v>97</v>
      </c>
      <c r="Q36" s="25" t="s">
        <v>49</v>
      </c>
      <c r="R36" s="31" t="n">
        <v>46267</v>
      </c>
      <c r="S36" s="31"/>
      <c r="T36" s="26"/>
      <c r="U36" s="25" t="s">
        <v>49</v>
      </c>
      <c r="V36" s="31"/>
      <c r="W36" s="31"/>
      <c r="X36" s="26"/>
      <c r="Y36" s="25" t="s">
        <v>51</v>
      </c>
      <c r="Z36" s="31"/>
      <c r="AA36" s="31"/>
      <c r="AB36" s="26"/>
      <c r="AC36" s="25" t="s">
        <v>51</v>
      </c>
      <c r="AD36" s="31"/>
      <c r="AE36" s="31"/>
      <c r="AF36" s="26"/>
      <c r="AG36" s="25" t="s">
        <v>53</v>
      </c>
      <c r="AH36" s="31"/>
      <c r="AI36" s="31"/>
      <c r="AJ36" s="26"/>
      <c r="AK36" s="25" t="s">
        <v>53</v>
      </c>
      <c r="AL36" s="31"/>
      <c r="AM36" s="31"/>
      <c r="AN36" s="25"/>
      <c r="AO36" s="26"/>
      <c r="AP36" s="26"/>
      <c r="AQ36" s="32"/>
      <c r="AR36" s="26"/>
      <c r="AS36" s="34" t="str">
        <f aca="false">IF(OR(F36="Completed",F36="Cancelled"),"",IF(AND(OR(F36="On Hold",ISNUMBER(H36)),AR36=""),"Reason not given",""))</f>
        <v>Reason not given</v>
      </c>
      <c r="AT36" s="35" t="s">
        <v>318</v>
      </c>
      <c r="AU36" s="35" t="s">
        <v>319</v>
      </c>
    </row>
    <row r="37" customFormat="false" ht="30" hidden="false" customHeight="true" outlineLevel="0" collapsed="false">
      <c r="A37" s="36" t="n">
        <v>21</v>
      </c>
      <c r="B37" s="37" t="s">
        <v>104</v>
      </c>
      <c r="C37" s="38" t="s">
        <v>320</v>
      </c>
      <c r="D37" s="37" t="s">
        <v>162</v>
      </c>
      <c r="E37" s="36" t="str">
        <f aca="false">IF(NOT(OR(M37="Completed",M37="NA",M37="Cancelled")),"S1 Schematic",IF(NOT(OR(Q37="Completed",Q37="NA",Q37="Cancelled")),"S2 PCB Layout",IF(NOT(OR(U37="Completed",U37="NA",U37="Cancelled")),"S3 SI &amp; PI",IF(NOT(OR(Y37="Completed",Y37="NA",Y37="Cancelled")),"S4 Bare-PCB Fab",IF(NOT(OR(AC37="Completed",AC37="NA",AC37="Cancelled")),"S5 Assembly",IF(NOT(OR(AG37="Completed",AG37="NA",AG37="Cancelled")),"S6 Bring-up",IF(NOT(OR(AK37="Completed",AK37="NA",AK37="Cancelled")),"S7 BOM Procurement","All Stages Closed")))))))</f>
        <v>S6 Bring-up</v>
      </c>
      <c r="F37" s="39" t="str">
        <f aca="false">IF(COUNTIF(M37,"Cancelled")+COUNTIF(Q37,"Cancelled")+COUNTIF(U37,"Cancelled")+COUNTIF(Y37,"Cancelled")+COUNTIF(AC37,"Cancelled")+COUNTIF(AG37,"Cancelled")+COUNTIF(AK37,"Cancelled")&gt;0,"Cancelled",IF(E37="All Stages Closed","Completed",IF(E37="S1 Schematic",M37,IF(E37="S2 PCB Layout",Q37,IF(E37="S3 SI &amp; PI",U37,IF(E37="S4 Bare-PCB Fab",Y37,IF(E37="S5 Assembly",AC37,IF(E37="S6 Bring-up",AG37,AK37))))))))</f>
        <v>In Progress</v>
      </c>
      <c r="G37" s="40" t="str">
        <f aca="false">IF(E37="All Stages Closed","",IF(E37="S1 Schematic",IF(N37="","Not added",N37),IF(E37="S2 PCB Layout",IF(R37="","Not added",R37),IF(E37="S3 SI &amp; PI",IF(V37="","Not added",V37),IF(E37="S4 Bare-PCB Fab",IF(Z37="","Not added",Z37),IF(E37="S5 Assembly",IF(AD37="","Not added",AD37),IF(E37="S6 Bring-up",IF(AH37="","Not added",AH37),IF(AL37="","Not added",AL37))))))))</f>
        <v>Not added</v>
      </c>
      <c r="H37" s="39" t="str">
        <f aca="true">IF(OR(F37="Completed",F37="Cancelled"),"",IF(NOT(ISNUMBER(G37)),"Date not added",IF(TODAY()&gt;G37,TODAY()-G37,G37-TODAY()&amp;" days left")))</f>
        <v>Date not added</v>
      </c>
      <c r="I37" s="36" t="n">
        <f aca="false">COUNTIF(M37,"Completed")+COUNTIF(Q37,"Completed")+COUNTIF(U37,"Completed")+COUNTIF(Y37,"Completed")+COUNTIF(AC37,"Completed")+COUNTIF(AG37,"Completed")+COUNTIF(AK37,"Completed")</f>
        <v>5</v>
      </c>
      <c r="J37" s="36" t="n">
        <f aca="false">7-(COUNTIF(M37,"NA")+COUNTIF(Q37,"NA")+COUNTIF(U37,"NA")+COUNTIF(Y37,"NA")+COUNTIF(AC37,"NA")+COUNTIF(AG37,"NA")+COUNTIF(AK37,"NA"))</f>
        <v>6</v>
      </c>
      <c r="K37" s="41" t="n">
        <f aca="false">IFERROR(I37/J37,"")</f>
        <v>0.833333333333333</v>
      </c>
      <c r="L37" s="37" t="s">
        <v>261</v>
      </c>
      <c r="M37" s="36" t="s">
        <v>48</v>
      </c>
      <c r="N37" s="42" t="n">
        <v>46254</v>
      </c>
      <c r="O37" s="42"/>
      <c r="P37" s="37" t="s">
        <v>103</v>
      </c>
      <c r="Q37" s="36" t="s">
        <v>48</v>
      </c>
      <c r="R37" s="42" t="n">
        <v>46216</v>
      </c>
      <c r="S37" s="42"/>
      <c r="T37" s="37" t="s">
        <v>89</v>
      </c>
      <c r="U37" s="36" t="s">
        <v>48</v>
      </c>
      <c r="V37" s="42" t="n">
        <v>46217</v>
      </c>
      <c r="W37" s="42"/>
      <c r="X37" s="37" t="s">
        <v>111</v>
      </c>
      <c r="Y37" s="36" t="s">
        <v>48</v>
      </c>
      <c r="Z37" s="42" t="n">
        <v>46253</v>
      </c>
      <c r="AA37" s="42"/>
      <c r="AB37" s="37"/>
      <c r="AC37" s="36" t="s">
        <v>48</v>
      </c>
      <c r="AD37" s="42"/>
      <c r="AE37" s="42"/>
      <c r="AF37" s="37"/>
      <c r="AG37" s="36" t="s">
        <v>49</v>
      </c>
      <c r="AH37" s="42"/>
      <c r="AI37" s="42"/>
      <c r="AJ37" s="37"/>
      <c r="AK37" s="36" t="s">
        <v>53</v>
      </c>
      <c r="AL37" s="42"/>
      <c r="AM37" s="42"/>
      <c r="AN37" s="36"/>
      <c r="AO37" s="37"/>
      <c r="AP37" s="37"/>
      <c r="AQ37" s="43"/>
      <c r="AR37" s="37"/>
      <c r="AS37" s="45" t="str">
        <f aca="false">IF(OR(F37="Completed",F37="Cancelled"),"",IF(AND(OR(F37="On Hold",ISNUMBER(H37)),AR37=""),"Reason not given",""))</f>
        <v/>
      </c>
      <c r="AT37" s="46" t="s">
        <v>321</v>
      </c>
      <c r="AU37" s="46"/>
    </row>
    <row r="38" customFormat="false" ht="30" hidden="false" customHeight="true" outlineLevel="0" collapsed="false">
      <c r="A38" s="36" t="n">
        <v>22</v>
      </c>
      <c r="B38" s="37" t="s">
        <v>104</v>
      </c>
      <c r="C38" s="38" t="s">
        <v>322</v>
      </c>
      <c r="D38" s="37" t="s">
        <v>247</v>
      </c>
      <c r="E38" s="36" t="str">
        <f aca="false">IF(NOT(OR(M38="Completed",M38="NA",M38="Cancelled")),"S1 Schematic",IF(NOT(OR(Q38="Completed",Q38="NA",Q38="Cancelled")),"S2 PCB Layout",IF(NOT(OR(U38="Completed",U38="NA",U38="Cancelled")),"S3 SI &amp; PI",IF(NOT(OR(Y38="Completed",Y38="NA",Y38="Cancelled")),"S4 Bare-PCB Fab",IF(NOT(OR(AC38="Completed",AC38="NA",AC38="Cancelled")),"S5 Assembly",IF(NOT(OR(AG38="Completed",AG38="NA",AG38="Cancelled")),"S6 Bring-up",IF(NOT(OR(AK38="Completed",AK38="NA",AK38="Cancelled")),"S7 BOM Procurement","All Stages Closed")))))))</f>
        <v>S4 Bare-PCB Fab</v>
      </c>
      <c r="F38" s="39" t="str">
        <f aca="false">IF(COUNTIF(M38,"Cancelled")+COUNTIF(Q38,"Cancelled")+COUNTIF(U38,"Cancelled")+COUNTIF(Y38,"Cancelled")+COUNTIF(AC38,"Cancelled")+COUNTIF(AG38,"Cancelled")+COUNTIF(AK38,"Cancelled")&gt;0,"Cancelled",IF(E38="All Stages Closed","Completed",IF(E38="S1 Schematic",M38,IF(E38="S2 PCB Layout",Q38,IF(E38="S3 SI &amp; PI",U38,IF(E38="S4 Bare-PCB Fab",Y38,IF(E38="S5 Assembly",AC38,IF(E38="S6 Bring-up",AG38,AK38))))))))</f>
        <v>On Hold</v>
      </c>
      <c r="G38" s="40" t="str">
        <f aca="false">IF(E38="All Stages Closed","",IF(E38="S1 Schematic",IF(N38="","Not added",N38),IF(E38="S2 PCB Layout",IF(R38="","Not added",R38),IF(E38="S3 SI &amp; PI",IF(V38="","Not added",V38),IF(E38="S4 Bare-PCB Fab",IF(Z38="","Not added",Z38),IF(E38="S5 Assembly",IF(AD38="","Not added",AD38),IF(E38="S6 Bring-up",IF(AH38="","Not added",AH38),IF(AL38="","Not added",AL38))))))))</f>
        <v>Not added</v>
      </c>
      <c r="H38" s="39" t="str">
        <f aca="true">IF(OR(F38="Completed",F38="Cancelled"),"",IF(NOT(ISNUMBER(G38)),"Date not added",IF(TODAY()&gt;G38,TODAY()-G38,G38-TODAY()&amp;" days left")))</f>
        <v>Date not added</v>
      </c>
      <c r="I38" s="36" t="n">
        <f aca="false">COUNTIF(M38,"Completed")+COUNTIF(Q38,"Completed")+COUNTIF(U38,"Completed")+COUNTIF(Y38,"Completed")+COUNTIF(AC38,"Completed")+COUNTIF(AG38,"Completed")+COUNTIF(AK38,"Completed")</f>
        <v>2</v>
      </c>
      <c r="J38" s="36" t="n">
        <f aca="false">7-(COUNTIF(M38,"NA")+COUNTIF(Q38,"NA")+COUNTIF(U38,"NA")+COUNTIF(Y38,"NA")+COUNTIF(AC38,"NA")+COUNTIF(AG38,"NA")+COUNTIF(AK38,"NA"))</f>
        <v>4</v>
      </c>
      <c r="K38" s="41" t="n">
        <f aca="false">IFERROR(I38/J38,"")</f>
        <v>0.5</v>
      </c>
      <c r="L38" s="37"/>
      <c r="M38" s="36" t="s">
        <v>48</v>
      </c>
      <c r="N38" s="42"/>
      <c r="O38" s="42"/>
      <c r="P38" s="37" t="s">
        <v>108</v>
      </c>
      <c r="Q38" s="36" t="s">
        <v>48</v>
      </c>
      <c r="R38" s="42"/>
      <c r="S38" s="42"/>
      <c r="T38" s="37"/>
      <c r="U38" s="36" t="s">
        <v>53</v>
      </c>
      <c r="V38" s="42"/>
      <c r="W38" s="42"/>
      <c r="X38" s="37"/>
      <c r="Y38" s="36" t="s">
        <v>50</v>
      </c>
      <c r="Z38" s="42"/>
      <c r="AA38" s="42"/>
      <c r="AB38" s="37"/>
      <c r="AC38" s="36" t="s">
        <v>50</v>
      </c>
      <c r="AD38" s="42"/>
      <c r="AE38" s="42"/>
      <c r="AF38" s="37"/>
      <c r="AG38" s="36" t="s">
        <v>53</v>
      </c>
      <c r="AH38" s="42"/>
      <c r="AI38" s="42"/>
      <c r="AJ38" s="37"/>
      <c r="AK38" s="36" t="s">
        <v>53</v>
      </c>
      <c r="AL38" s="42"/>
      <c r="AM38" s="42"/>
      <c r="AN38" s="36"/>
      <c r="AO38" s="37"/>
      <c r="AP38" s="37"/>
      <c r="AQ38" s="43"/>
      <c r="AR38" s="37"/>
      <c r="AS38" s="45" t="str">
        <f aca="false">IF(OR(F38="Completed",F38="Cancelled"),"",IF(AND(OR(F38="On Hold",ISNUMBER(H38)),AR38=""),"Reason not given",""))</f>
        <v>Reason not given</v>
      </c>
      <c r="AT38" s="46" t="s">
        <v>323</v>
      </c>
      <c r="AU38" s="46"/>
    </row>
    <row r="39" customFormat="false" ht="30" hidden="false" customHeight="true" outlineLevel="0" collapsed="false">
      <c r="A39" s="25" t="n">
        <v>23</v>
      </c>
      <c r="B39" s="26" t="s">
        <v>106</v>
      </c>
      <c r="C39" s="27" t="s">
        <v>324</v>
      </c>
      <c r="D39" s="26" t="s">
        <v>325</v>
      </c>
      <c r="E39" s="25" t="str">
        <f aca="false">IF(NOT(OR(M39="Completed",M39="NA",M39="Cancelled")),"S1 Schematic",IF(NOT(OR(Q39="Completed",Q39="NA",Q39="Cancelled")),"S2 PCB Layout",IF(NOT(OR(U39="Completed",U39="NA",U39="Cancelled")),"S3 SI &amp; PI",IF(NOT(OR(Y39="Completed",Y39="NA",Y39="Cancelled")),"S4 Bare-PCB Fab",IF(NOT(OR(AC39="Completed",AC39="NA",AC39="Cancelled")),"S5 Assembly",IF(NOT(OR(AG39="Completed",AG39="NA",AG39="Cancelled")),"S6 Bring-up",IF(NOT(OR(AK39="Completed",AK39="NA",AK39="Cancelled")),"S7 BOM Procurement","All Stages Closed")))))))</f>
        <v>S7 BOM Procurement</v>
      </c>
      <c r="F39" s="28" t="str">
        <f aca="false">IF(COUNTIF(M39,"Cancelled")+COUNTIF(Q39,"Cancelled")+COUNTIF(U39,"Cancelled")+COUNTIF(Y39,"Cancelled")+COUNTIF(AC39,"Cancelled")+COUNTIF(AG39,"Cancelled")+COUNTIF(AK39,"Cancelled")&gt;0,"Cancelled",IF(E39="All Stages Closed","Completed",IF(E39="S1 Schematic",M39,IF(E39="S2 PCB Layout",Q39,IF(E39="S3 SI &amp; PI",U39,IF(E39="S4 Bare-PCB Fab",Y39,IF(E39="S5 Assembly",AC39,IF(E39="S6 Bring-up",AG39,AK39))))))))</f>
        <v>In Progress</v>
      </c>
      <c r="G39" s="29" t="str">
        <f aca="false">IF(E39="All Stages Closed","",IF(E39="S1 Schematic",IF(N39="","Not added",N39),IF(E39="S2 PCB Layout",IF(R39="","Not added",R39),IF(E39="S3 SI &amp; PI",IF(V39="","Not added",V39),IF(E39="S4 Bare-PCB Fab",IF(Z39="","Not added",Z39),IF(E39="S5 Assembly",IF(AD39="","Not added",AD39),IF(E39="S6 Bring-up",IF(AH39="","Not added",AH39),IF(AL39="","Not added",AL39))))))))</f>
        <v>Not added</v>
      </c>
      <c r="H39" s="28" t="str">
        <f aca="true">IF(OR(F39="Completed",F39="Cancelled"),"",IF(NOT(ISNUMBER(G39)),"Date not added",IF(TODAY()&gt;G39,TODAY()-G39,G39-TODAY()&amp;" days left")))</f>
        <v>Date not added</v>
      </c>
      <c r="I39" s="25" t="n">
        <f aca="false">COUNTIF(M39,"Completed")+COUNTIF(Q39,"Completed")+COUNTIF(U39,"Completed")+COUNTIF(Y39,"Completed")+COUNTIF(AC39,"Completed")+COUNTIF(AG39,"Completed")+COUNTIF(AK39,"Completed")</f>
        <v>0</v>
      </c>
      <c r="J39" s="25" t="n">
        <f aca="false">7-(COUNTIF(M39,"NA")+COUNTIF(Q39,"NA")+COUNTIF(U39,"NA")+COUNTIF(Y39,"NA")+COUNTIF(AC39,"NA")+COUNTIF(AG39,"NA")+COUNTIF(AK39,"NA"))</f>
        <v>1</v>
      </c>
      <c r="K39" s="30" t="n">
        <f aca="false">IFERROR(I39/J39,"")</f>
        <v>0</v>
      </c>
      <c r="L39" s="26" t="s">
        <v>287</v>
      </c>
      <c r="M39" s="25" t="s">
        <v>53</v>
      </c>
      <c r="N39" s="31" t="n">
        <v>46242</v>
      </c>
      <c r="O39" s="31"/>
      <c r="P39" s="26" t="s">
        <v>77</v>
      </c>
      <c r="Q39" s="25" t="s">
        <v>53</v>
      </c>
      <c r="R39" s="31"/>
      <c r="S39" s="31"/>
      <c r="T39" s="26"/>
      <c r="U39" s="25" t="s">
        <v>53</v>
      </c>
      <c r="V39" s="31"/>
      <c r="W39" s="31"/>
      <c r="X39" s="26"/>
      <c r="Y39" s="25" t="s">
        <v>53</v>
      </c>
      <c r="Z39" s="31"/>
      <c r="AA39" s="31"/>
      <c r="AB39" s="26"/>
      <c r="AC39" s="25" t="s">
        <v>53</v>
      </c>
      <c r="AD39" s="31"/>
      <c r="AE39" s="31"/>
      <c r="AF39" s="26"/>
      <c r="AG39" s="25" t="s">
        <v>53</v>
      </c>
      <c r="AH39" s="31"/>
      <c r="AI39" s="31"/>
      <c r="AJ39" s="26"/>
      <c r="AK39" s="25" t="s">
        <v>49</v>
      </c>
      <c r="AL39" s="31"/>
      <c r="AM39" s="31"/>
      <c r="AN39" s="25"/>
      <c r="AO39" s="26"/>
      <c r="AP39" s="26"/>
      <c r="AQ39" s="32"/>
      <c r="AR39" s="26"/>
      <c r="AS39" s="34" t="str">
        <f aca="false">IF(OR(F39="Completed",F39="Cancelled"),"",IF(AND(OR(F39="On Hold",ISNUMBER(H39)),AR39=""),"Reason not given",""))</f>
        <v/>
      </c>
      <c r="AT39" s="35" t="s">
        <v>301</v>
      </c>
      <c r="AU39" s="35" t="s">
        <v>326</v>
      </c>
    </row>
    <row r="40" customFormat="false" ht="30" hidden="false" customHeight="true" outlineLevel="0" collapsed="false">
      <c r="A40" s="25" t="n">
        <v>24</v>
      </c>
      <c r="B40" s="26" t="s">
        <v>106</v>
      </c>
      <c r="C40" s="27" t="s">
        <v>327</v>
      </c>
      <c r="D40" s="26" t="s">
        <v>325</v>
      </c>
      <c r="E40" s="25" t="str">
        <f aca="false">IF(NOT(OR(M40="Completed",M40="NA",M40="Cancelled")),"S1 Schematic",IF(NOT(OR(Q40="Completed",Q40="NA",Q40="Cancelled")),"S2 PCB Layout",IF(NOT(OR(U40="Completed",U40="NA",U40="Cancelled")),"S3 SI &amp; PI",IF(NOT(OR(Y40="Completed",Y40="NA",Y40="Cancelled")),"S4 Bare-PCB Fab",IF(NOT(OR(AC40="Completed",AC40="NA",AC40="Cancelled")),"S5 Assembly",IF(NOT(OR(AG40="Completed",AG40="NA",AG40="Cancelled")),"S6 Bring-up",IF(NOT(OR(AK40="Completed",AK40="NA",AK40="Cancelled")),"S7 BOM Procurement","All Stages Closed")))))))</f>
        <v>S2 PCB Layout</v>
      </c>
      <c r="F40" s="28" t="str">
        <f aca="false">IF(COUNTIF(M40,"Cancelled")+COUNTIF(Q40,"Cancelled")+COUNTIF(U40,"Cancelled")+COUNTIF(Y40,"Cancelled")+COUNTIF(AC40,"Cancelled")+COUNTIF(AG40,"Cancelled")+COUNTIF(AK40,"Cancelled")&gt;0,"Cancelled",IF(E40="All Stages Closed","Completed",IF(E40="S1 Schematic",M40,IF(E40="S2 PCB Layout",Q40,IF(E40="S3 SI &amp; PI",U40,IF(E40="S4 Bare-PCB Fab",Y40,IF(E40="S5 Assembly",AC40,IF(E40="S6 Bring-up",AG40,AK40))))))))</f>
        <v>Not Started</v>
      </c>
      <c r="G40" s="29" t="str">
        <f aca="false">IF(E40="All Stages Closed","",IF(E40="S1 Schematic",IF(N40="","Not added",N40),IF(E40="S2 PCB Layout",IF(R40="","Not added",R40),IF(E40="S3 SI &amp; PI",IF(V40="","Not added",V40),IF(E40="S4 Bare-PCB Fab",IF(Z40="","Not added",Z40),IF(E40="S5 Assembly",IF(AD40="","Not added",AD40),IF(E40="S6 Bring-up",IF(AH40="","Not added",AH40),IF(AL40="","Not added",AL40))))))))</f>
        <v>Not added</v>
      </c>
      <c r="H40" s="28" t="str">
        <f aca="true">IF(OR(F40="Completed",F40="Cancelled"),"",IF(NOT(ISNUMBER(G40)),"Date not added",IF(TODAY()&gt;G40,TODAY()-G40,G40-TODAY()&amp;" days left")))</f>
        <v>Date not added</v>
      </c>
      <c r="I40" s="25" t="n">
        <f aca="false">COUNTIF(M40,"Completed")+COUNTIF(Q40,"Completed")+COUNTIF(U40,"Completed")+COUNTIF(Y40,"Completed")+COUNTIF(AC40,"Completed")+COUNTIF(AG40,"Completed")+COUNTIF(AK40,"Completed")</f>
        <v>1</v>
      </c>
      <c r="J40" s="25" t="n">
        <f aca="false">7-(COUNTIF(M40,"NA")+COUNTIF(Q40,"NA")+COUNTIF(U40,"NA")+COUNTIF(Y40,"NA")+COUNTIF(AC40,"NA")+COUNTIF(AG40,"NA")+COUNTIF(AK40,"NA"))</f>
        <v>5</v>
      </c>
      <c r="K40" s="30" t="n">
        <f aca="false">IFERROR(I40/J40,"")</f>
        <v>0.2</v>
      </c>
      <c r="L40" s="26" t="s">
        <v>328</v>
      </c>
      <c r="M40" s="25" t="s">
        <v>48</v>
      </c>
      <c r="N40" s="31" t="n">
        <v>46254</v>
      </c>
      <c r="O40" s="31"/>
      <c r="P40" s="26" t="s">
        <v>72</v>
      </c>
      <c r="Q40" s="25" t="s">
        <v>51</v>
      </c>
      <c r="R40" s="31"/>
      <c r="S40" s="31"/>
      <c r="T40" s="26"/>
      <c r="U40" s="25" t="s">
        <v>51</v>
      </c>
      <c r="V40" s="31"/>
      <c r="W40" s="31"/>
      <c r="X40" s="26"/>
      <c r="Y40" s="25" t="s">
        <v>51</v>
      </c>
      <c r="Z40" s="31"/>
      <c r="AA40" s="31"/>
      <c r="AB40" s="26"/>
      <c r="AC40" s="25" t="s">
        <v>51</v>
      </c>
      <c r="AD40" s="31"/>
      <c r="AE40" s="31"/>
      <c r="AF40" s="26"/>
      <c r="AG40" s="25" t="s">
        <v>53</v>
      </c>
      <c r="AH40" s="31"/>
      <c r="AI40" s="31"/>
      <c r="AJ40" s="26"/>
      <c r="AK40" s="25" t="s">
        <v>53</v>
      </c>
      <c r="AL40" s="31"/>
      <c r="AM40" s="31"/>
      <c r="AN40" s="25"/>
      <c r="AO40" s="26"/>
      <c r="AP40" s="26"/>
      <c r="AQ40" s="32"/>
      <c r="AR40" s="26"/>
      <c r="AS40" s="34" t="str">
        <f aca="false">IF(OR(F40="Completed",F40="Cancelled"),"",IF(AND(OR(F40="On Hold",ISNUMBER(H40)),AR40=""),"Reason not given",""))</f>
        <v/>
      </c>
      <c r="AT40" s="35" t="s">
        <v>301</v>
      </c>
      <c r="AU40" s="35" t="s">
        <v>329</v>
      </c>
    </row>
    <row r="41" customFormat="false" ht="30" hidden="false" customHeight="true" outlineLevel="0" collapsed="false">
      <c r="A41" s="25" t="n">
        <v>25</v>
      </c>
      <c r="B41" s="26" t="s">
        <v>106</v>
      </c>
      <c r="C41" s="27" t="s">
        <v>330</v>
      </c>
      <c r="D41" s="26" t="s">
        <v>162</v>
      </c>
      <c r="E41" s="25" t="str">
        <f aca="false">IF(NOT(OR(M41="Completed",M41="NA",M41="Cancelled")),"S1 Schematic",IF(NOT(OR(Q41="Completed",Q41="NA",Q41="Cancelled")),"S2 PCB Layout",IF(NOT(OR(U41="Completed",U41="NA",U41="Cancelled")),"S3 SI &amp; PI",IF(NOT(OR(Y41="Completed",Y41="NA",Y41="Cancelled")),"S4 Bare-PCB Fab",IF(NOT(OR(AC41="Completed",AC41="NA",AC41="Cancelled")),"S5 Assembly",IF(NOT(OR(AG41="Completed",AG41="NA",AG41="Cancelled")),"S6 Bring-up",IF(NOT(OR(AK41="Completed",AK41="NA",AK41="Cancelled")),"S7 BOM Procurement","All Stages Closed")))))))</f>
        <v>S3 SI &amp; PI</v>
      </c>
      <c r="F41" s="28" t="str">
        <f aca="false">IF(COUNTIF(M41,"Cancelled")+COUNTIF(Q41,"Cancelled")+COUNTIF(U41,"Cancelled")+COUNTIF(Y41,"Cancelled")+COUNTIF(AC41,"Cancelled")+COUNTIF(AG41,"Cancelled")+COUNTIF(AK41,"Cancelled")&gt;0,"Cancelled",IF(E41="All Stages Closed","Completed",IF(E41="S1 Schematic",M41,IF(E41="S2 PCB Layout",Q41,IF(E41="S3 SI &amp; PI",U41,IF(E41="S4 Bare-PCB Fab",Y41,IF(E41="S5 Assembly",AC41,IF(E41="S6 Bring-up",AG41,AK41))))))))</f>
        <v>In Progress</v>
      </c>
      <c r="G41" s="29" t="n">
        <f aca="false">IF(E41="All Stages Closed","",IF(E41="S1 Schematic",IF(N41="","Not added",N41),IF(E41="S2 PCB Layout",IF(R41="","Not added",R41),IF(E41="S3 SI &amp; PI",IF(V41="","Not added",V41),IF(E41="S4 Bare-PCB Fab",IF(Z41="","Not added",Z41),IF(E41="S5 Assembly",IF(AD41="","Not added",AD41),IF(E41="S6 Bring-up",IF(AH41="","Not added",AH41),IF(AL41="","Not added",AL41))))))))</f>
        <v>46235</v>
      </c>
      <c r="H41" s="28" t="n">
        <f aca="true">IF(OR(F41="Completed",F41="Cancelled"),"",IF(NOT(ISNUMBER(G41)),"Date not added",IF(TODAY()&gt;G41,TODAY()-G41,G41-TODAY()&amp;" days left")))</f>
        <v>33</v>
      </c>
      <c r="I41" s="25" t="n">
        <f aca="false">COUNTIF(M41,"Completed")+COUNTIF(Q41,"Completed")+COUNTIF(U41,"Completed")+COUNTIF(Y41,"Completed")+COUNTIF(AC41,"Completed")+COUNTIF(AG41,"Completed")+COUNTIF(AK41,"Completed")</f>
        <v>1</v>
      </c>
      <c r="J41" s="25" t="n">
        <f aca="false">7-(COUNTIF(M41,"NA")+COUNTIF(Q41,"NA")+COUNTIF(U41,"NA")+COUNTIF(Y41,"NA")+COUNTIF(AC41,"NA")+COUNTIF(AG41,"NA")+COUNTIF(AK41,"NA"))</f>
        <v>4</v>
      </c>
      <c r="K41" s="30" t="n">
        <f aca="false">IFERROR(I41/J41,"")</f>
        <v>0.25</v>
      </c>
      <c r="L41" s="26"/>
      <c r="M41" s="25" t="s">
        <v>48</v>
      </c>
      <c r="N41" s="31"/>
      <c r="O41" s="31"/>
      <c r="P41" s="26"/>
      <c r="Q41" s="25" t="s">
        <v>53</v>
      </c>
      <c r="R41" s="31"/>
      <c r="S41" s="31"/>
      <c r="T41" s="26" t="s">
        <v>89</v>
      </c>
      <c r="U41" s="25" t="s">
        <v>49</v>
      </c>
      <c r="V41" s="31" t="n">
        <v>46235</v>
      </c>
      <c r="W41" s="31"/>
      <c r="X41" s="26"/>
      <c r="Y41" s="25" t="s">
        <v>51</v>
      </c>
      <c r="Z41" s="31"/>
      <c r="AA41" s="31"/>
      <c r="AB41" s="26"/>
      <c r="AC41" s="25" t="s">
        <v>51</v>
      </c>
      <c r="AD41" s="31"/>
      <c r="AE41" s="31"/>
      <c r="AF41" s="26"/>
      <c r="AG41" s="25" t="s">
        <v>53</v>
      </c>
      <c r="AH41" s="31"/>
      <c r="AI41" s="31"/>
      <c r="AJ41" s="26"/>
      <c r="AK41" s="25" t="s">
        <v>53</v>
      </c>
      <c r="AL41" s="31"/>
      <c r="AM41" s="31"/>
      <c r="AN41" s="25"/>
      <c r="AO41" s="26"/>
      <c r="AP41" s="26"/>
      <c r="AQ41" s="32"/>
      <c r="AR41" s="26"/>
      <c r="AS41" s="34" t="str">
        <f aca="false">IF(OR(F41="Completed",F41="Cancelled"),"",IF(AND(OR(F41="On Hold",ISNUMBER(H41)),AR41=""),"Reason not given",""))</f>
        <v>Reason not given</v>
      </c>
      <c r="AT41" s="35" t="s">
        <v>331</v>
      </c>
      <c r="AU41" s="35" t="s">
        <v>332</v>
      </c>
    </row>
  </sheetData>
  <autoFilter ref="A16:AU41"/>
  <mergeCells count="12">
    <mergeCell ref="A2:P2"/>
    <mergeCell ref="A15:D15"/>
    <mergeCell ref="E15:K15"/>
    <mergeCell ref="L15:O15"/>
    <mergeCell ref="P15:S15"/>
    <mergeCell ref="T15:W15"/>
    <mergeCell ref="X15:AA15"/>
    <mergeCell ref="AB15:AE15"/>
    <mergeCell ref="AF15:AI15"/>
    <mergeCell ref="AJ15:AM15"/>
    <mergeCell ref="AN15:AQ15"/>
    <mergeCell ref="AR15:AU15"/>
  </mergeCells>
  <conditionalFormatting sqref="A6:G13">
    <cfRule type="expression" priority="2" aboveAverage="0" equalAverage="0" bottom="0" percent="0" rank="0" text="" dxfId="25">
      <formula>$C6&lt;&gt;""</formula>
    </cfRule>
  </conditionalFormatting>
  <conditionalFormatting sqref="F17:F241 M17:M241 Q17:Q241 U17:U241 Y17:Y241 AC17:AC241 AG17:AG241 AK17:AK241">
    <cfRule type="cellIs" priority="3" operator="equal" aboveAverage="0" equalAverage="0" bottom="0" percent="0" rank="0" text="" dxfId="12">
      <formula>"Completed"</formula>
    </cfRule>
    <cfRule type="cellIs" priority="4" operator="equal" aboveAverage="0" equalAverage="0" bottom="0" percent="0" rank="0" text="" dxfId="13">
      <formula>"In Progress"</formula>
    </cfRule>
    <cfRule type="cellIs" priority="5" operator="equal" aboveAverage="0" equalAverage="0" bottom="0" percent="0" rank="0" text="" dxfId="14">
      <formula>"On Hold"</formula>
    </cfRule>
    <cfRule type="cellIs" priority="6" operator="equal" aboveAverage="0" equalAverage="0" bottom="0" percent="0" rank="0" text="" dxfId="15">
      <formula>"Not Started"</formula>
    </cfRule>
    <cfRule type="cellIs" priority="7" operator="equal" aboveAverage="0" equalAverage="0" bottom="0" percent="0" rank="0" text="" dxfId="16">
      <formula>"Cancelled"</formula>
    </cfRule>
    <cfRule type="cellIs" priority="8" operator="equal" aboveAverage="0" equalAverage="0" bottom="0" percent="0" rank="0" text="" dxfId="17">
      <formula>"NA"</formula>
    </cfRule>
  </conditionalFormatting>
  <conditionalFormatting sqref="H17:H241">
    <cfRule type="cellIs" priority="9" operator="greaterThan" aboveAverage="0" equalAverage="0" bottom="0" percent="0" rank="0" text="" dxfId="16">
      <formula>0</formula>
    </cfRule>
    <cfRule type="cellIs" priority="10" operator="equal" aboveAverage="0" equalAverage="0" bottom="0" percent="0" rank="0" text="" dxfId="18">
      <formula>"Date not added"</formula>
    </cfRule>
  </conditionalFormatting>
  <conditionalFormatting sqref="AS17:AS241">
    <cfRule type="cellIs" priority="11" operator="equal" aboveAverage="0" equalAverage="0" bottom="0" percent="0" rank="0" text="" dxfId="13">
      <formula>"Reason not given"</formula>
    </cfRule>
  </conditionalFormatting>
  <dataValidations count="18">
    <dataValidation allowBlank="true" error="Pick one of: Completed, In Progress, On Hold, Not Started, NA, Cancelled" errorStyle="stop" errorTitle="Status" operator="between" showDropDown="false" showErrorMessage="true" showInputMessage="false" sqref="M17:M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L17:L241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Q17:Q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P17:P241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U17:U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T17:T241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Y17:Y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X17:X241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C17:AC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AB17:AB241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G17:AG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AF17:AF241" type="list">
      <formula1>LISTS!$G$2:$G$17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K17:AK241" type="list">
      <formula1>LISTS!$A$2:$A$7</formula1>
      <formula2>0</formula2>
    </dataValidation>
    <dataValidation allowBlank="true" error="Pick a name from the PEOPLE sheet, or add one there." errorStyle="stop" errorTitle="Owner" operator="between" showDropDown="false" showErrorMessage="true" showInputMessage="false" sqref="AJ17:AJ241" type="list">
      <formula1>LISTS!$G$2:$G$17</formula1>
      <formula2>0</formula2>
    </dataValidation>
    <dataValidation allowBlank="true" error="Pick an existing customer or add it on LISTS." errorStyle="stop" errorTitle="Customer" operator="between" showDropDown="false" showErrorMessage="true" showInputMessage="false" sqref="B17:B241" type="list">
      <formula1>LISTS!$E$2:$E$12</formula1>
      <formula2>0</formula2>
    </dataValidation>
    <dataValidation allowBlank="true" error="Pick a reason code." errorStyle="stop" errorTitle="Hold / delay reason" operator="between" showDropDown="false" showErrorMessage="true" showInputMessage="false" sqref="AR17:AR241" type="list">
      <formula1>LISTS!$F$2:$F$10</formula1>
      <formula2>0</formula2>
    </dataValidation>
    <dataValidation allowBlank="true" error="Pick a reason code." errorStyle="stop" errorTitle="Respin Reason" operator="between" showDropDown="false" showErrorMessage="true" showInputMessage="false" sqref="AP17:AP241" type="list">
      <formula1>LISTS!$C$2:$C$9</formula1>
      <formula2>0</formula2>
    </dataValidation>
    <dataValidation allowBlank="true" error="Pick the stage the board re-enters at." errorStyle="stop" errorTitle="Stage" operator="between" showDropDown="false" showErrorMessage="true" showInputMessage="false" sqref="AO17:AO241" type="list">
      <formula1>LISTS!$B$2:$B$8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2026-09-03T21:16:19Z</dcterms:created>
  <dc:creator>openpyxl</dc:creator>
  <dc:description/>
  <dc:language>en-US</dc:language>
  <cp:lastModifiedBy/>
  <dcterms:modified xsi:type="dcterms:W3CDTF">2026-09-03T21:16:19Z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