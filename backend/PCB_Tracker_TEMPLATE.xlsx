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LIENTS" sheetId="2" state="visible" r:id="rId4"/>
    <sheet name="EMPLOYEES" sheetId="3" state="visible" r:id="rId5"/>
    <sheet name="PROCESS DEFINITION" sheetId="4" state="visible" r:id="rId6"/>
    <sheet name="ACTIVE" sheetId="5" state="visible" r:id="rId7"/>
    <sheet name="COMPLETED" sheetId="6" state="visible" r:id="rId8"/>
    <sheet name="LISTS" sheetId="7" state="hidden" r:id="rId9"/>
  </sheets>
  <definedNames>
    <definedName function="false" hidden="true" localSheetId="4" name="_xlnm._FilterDatabase" vbProcedure="false">ACTIVE!$A$16:$BA$266</definedName>
    <definedName function="false" hidden="true" localSheetId="5" name="_xlnm._FilterDatabase" vbProcedure="false">COMPLETED!$A$5:$BC$255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<sst xmlns="http://schemas.openxmlformats.org/spreadsheetml/2006/main" count="346" uniqueCount="206">
  <si>
    <t xml:space="preserve">PCB Tracker — fill these in</t>
  </si>
  <si>
    <t xml:space="preserve">Work through the sheets in this order. Everything else is calculated or filled by the dashboard.</t>
  </si>
  <si>
    <t xml:space="preserve">Step</t>
  </si>
  <si>
    <t xml:space="preserve">Sheet</t>
  </si>
  <si>
    <t xml:space="preserve">What to do</t>
  </si>
  <si>
    <t xml:space="preserve">1</t>
  </si>
  <si>
    <t xml:space="preserve">CLIENTS</t>
  </si>
  <si>
    <t xml:space="preserve">List every customer once. The name you type here is what appears everywhere else, so settle the naming now — change it later and old rows will not match.</t>
  </si>
  <si>
    <t xml:space="preserve">2</t>
  </si>
  <si>
    <t xml:space="preserve">EMPLOYEES</t>
  </si>
  <si>
    <t xml:space="preserve">Your team. The "Name in sheet" column is the short name people actually type as a stage owner. Get this right or the People tab cannot attribute work.</t>
  </si>
  <si>
    <t xml:space="preserve">3</t>
  </si>
  <si>
    <t xml:space="preserve">LISTS</t>
  </si>
  <si>
    <t xml:space="preserve">Statuses, reasons and stage names. Already filled — only edit if you want different wording.</t>
  </si>
  <si>
    <t xml:space="preserve">4</t>
  </si>
  <si>
    <t xml:space="preserve">ACTIVE</t>
  </si>
  <si>
    <t xml:space="preserve">One row per board still in progress. Fill Customer, Board, Manager, then each stage: Owner, Status, EDC. Leave EDA until the stage finishes.</t>
  </si>
  <si>
    <t xml:space="preserve">5</t>
  </si>
  <si>
    <t xml:space="preserve">COMPLETED</t>
  </si>
  <si>
    <t xml:space="preserve">Boards where every stage is done. Same columns. You can leave this empty and let the dashboard move boards here as they close.</t>
  </si>
  <si>
    <t xml:space="preserve">6</t>
  </si>
  <si>
    <t xml:space="preserve">—</t>
  </si>
  <si>
    <t xml:space="preserve">Publish the dashboard. From then on the team fills everything through it and these sheets update themselves.</t>
  </si>
  <si>
    <t xml:space="preserve">Rules worth knowing</t>
  </si>
  <si>
    <t xml:space="preserve">-  Cream-coloured cells are yours to fill. White cells with formulas calculate themselves — do not type over them.</t>
  </si>
  <si>
    <t xml:space="preserve">-  A stage marked NA is not part of that board. It is hidden from the dashboard and excluded from the completion percentage.</t>
  </si>
  <si>
    <t xml:space="preserve">-  EDC is the expected date of completion. EDA is the actual one. The dashboard writes EDA when someone presses Review done.</t>
  </si>
  <si>
    <t xml:space="preserve">-  Overall Status decides which sheet a board belongs on. The dashboard reads it back after every save and moves the row.</t>
  </si>
  <si>
    <t xml:space="preserve">-  Stage owners may combine two people with " + ", for example "Samudra + Sandhya". Both are matched against EMPLOYEES.</t>
  </si>
  <si>
    <t xml:space="preserve">Clients</t>
  </si>
  <si>
    <t xml:space="preserve">One row per customer. The Client name column feeds every dropdown in the tracker.</t>
  </si>
  <si>
    <t xml:space="preserve">Client name</t>
  </si>
  <si>
    <t xml:space="preserve">Short code</t>
  </si>
  <si>
    <t xml:space="preserve">Sector / domain</t>
  </si>
  <si>
    <t xml:space="preserve">Account owner</t>
  </si>
  <si>
    <t xml:space="preserve">Status</t>
  </si>
  <si>
    <t xml:space="preserve">Notes</t>
  </si>
  <si>
    <t xml:space="preserve">Employees</t>
  </si>
  <si>
    <t xml:space="preserve">Your roster, pre-filled from what you sent. "Name in sheet" is the short name typed into stage Owner cells — it is the join the People tab depends on.</t>
  </si>
  <si>
    <t xml:space="preserve">Employee code</t>
  </si>
  <si>
    <t xml:space="preserve">Full name</t>
  </si>
  <si>
    <t xml:space="preserve">Function</t>
  </si>
  <si>
    <t xml:space="preserve">Experience (yrs)</t>
  </si>
  <si>
    <t xml:space="preserve">Billing</t>
  </si>
  <si>
    <t xml:space="preserve">Name in sheet</t>
  </si>
  <si>
    <t xml:space="preserve">Projects</t>
  </si>
  <si>
    <t xml:space="preserve">Plan</t>
  </si>
  <si>
    <t xml:space="preserve">Active?</t>
  </si>
  <si>
    <t xml:space="preserve">Srinivasa Rao Supuri</t>
  </si>
  <si>
    <t xml:space="preserve">Hardware</t>
  </si>
  <si>
    <t xml:space="preserve">Billed</t>
  </si>
  <si>
    <t xml:space="preserve">Srinivas</t>
  </si>
  <si>
    <t xml:space="preserve">Yes</t>
  </si>
  <si>
    <t xml:space="preserve">VC_124</t>
  </si>
  <si>
    <t xml:space="preserve">Galipothu Sunil Kumar</t>
  </si>
  <si>
    <t xml:space="preserve">Sunil</t>
  </si>
  <si>
    <t xml:space="preserve">VC_176</t>
  </si>
  <si>
    <t xml:space="preserve">Jampani Samudralankaiah</t>
  </si>
  <si>
    <t xml:space="preserve">Samudra</t>
  </si>
  <si>
    <t xml:space="preserve">VC_183</t>
  </si>
  <si>
    <t xml:space="preserve">Varimadla Anjaneyulu</t>
  </si>
  <si>
    <t xml:space="preserve">Anji</t>
  </si>
  <si>
    <t xml:space="preserve">VC_224</t>
  </si>
  <si>
    <t xml:space="preserve">Chintha Vivek Sai</t>
  </si>
  <si>
    <t xml:space="preserve">Vivek</t>
  </si>
  <si>
    <t xml:space="preserve">VC_161</t>
  </si>
  <si>
    <t xml:space="preserve">Veeresh Meeniga</t>
  </si>
  <si>
    <t xml:space="preserve">Veeresh</t>
  </si>
  <si>
    <t xml:space="preserve">VC_141</t>
  </si>
  <si>
    <t xml:space="preserve">Ravada Ramesh</t>
  </si>
  <si>
    <t xml:space="preserve">Ramesh</t>
  </si>
  <si>
    <t xml:space="preserve">VC_163</t>
  </si>
  <si>
    <t xml:space="preserve">Ruka Nandi Vardhan Reddy</t>
  </si>
  <si>
    <t xml:space="preserve">Vardhan</t>
  </si>
  <si>
    <t xml:space="preserve">VC_196</t>
  </si>
  <si>
    <t xml:space="preserve">Keerthi Sepana</t>
  </si>
  <si>
    <t xml:space="preserve">Keerthi</t>
  </si>
  <si>
    <t xml:space="preserve">VC_200</t>
  </si>
  <si>
    <t xml:space="preserve">Harika Kunduru</t>
  </si>
  <si>
    <t xml:space="preserve">Harika</t>
  </si>
  <si>
    <t xml:space="preserve">VC_229</t>
  </si>
  <si>
    <t xml:space="preserve">Bommi Sandhya</t>
  </si>
  <si>
    <t xml:space="preserve">Sandhya</t>
  </si>
  <si>
    <t xml:space="preserve">Naveen</t>
  </si>
  <si>
    <t xml:space="preserve">Rajesh</t>
  </si>
  <si>
    <t xml:space="preserve">Rajesh Sir</t>
  </si>
  <si>
    <t xml:space="preserve">Fabrication vendors</t>
  </si>
  <si>
    <t xml:space="preserve">Listed separately so fab work is never counted as someone's workload.</t>
  </si>
  <si>
    <t xml:space="preserve">PCB Power</t>
  </si>
  <si>
    <t xml:space="preserve">JLC</t>
  </si>
  <si>
    <t xml:space="preserve">Micropack</t>
  </si>
  <si>
    <t xml:space="preserve">Process definition</t>
  </si>
  <si>
    <t xml:space="preserve">Seven stages, four columns each: Owner, Status, EDC, EDA.</t>
  </si>
  <si>
    <t xml:space="preserve">Stage</t>
  </si>
  <si>
    <t xml:space="preserve">Stage name</t>
  </si>
  <si>
    <t xml:space="preserve">Completed when</t>
  </si>
  <si>
    <t xml:space="preserve">Owner column holds</t>
  </si>
  <si>
    <t xml:space="preserve">S1</t>
  </si>
  <si>
    <t xml:space="preserve">Schematic Design</t>
  </si>
  <si>
    <t xml:space="preserve">Schematic released and netlist handed to layout.</t>
  </si>
  <si>
    <t xml:space="preserve">A design engineer</t>
  </si>
  <si>
    <t xml:space="preserve">S2</t>
  </si>
  <si>
    <t xml:space="preserve">PCB Layout / Design</t>
  </si>
  <si>
    <t xml:space="preserve">DRC and DFM clean, Gerber released.</t>
  </si>
  <si>
    <t xml:space="preserve">A layout engineer</t>
  </si>
  <si>
    <t xml:space="preserve">S3</t>
  </si>
  <si>
    <t xml:space="preserve">SI &amp; PI Simulation</t>
  </si>
  <si>
    <t xml:space="preserve">All in-scope interfaces within margin and report shared.</t>
  </si>
  <si>
    <t xml:space="preserve">A simulation engineer</t>
  </si>
  <si>
    <t xml:space="preserve">S4</t>
  </si>
  <si>
    <t xml:space="preserve">Bare-PCB Fabrication</t>
  </si>
  <si>
    <t xml:space="preserve">Bare boards received and inspected.</t>
  </si>
  <si>
    <t xml:space="preserve">The fabricator, not a staff member</t>
  </si>
  <si>
    <t xml:space="preserve">S5</t>
  </si>
  <si>
    <t xml:space="preserve">Assembly</t>
  </si>
  <si>
    <t xml:space="preserve">Board populated and inspected.</t>
  </si>
  <si>
    <t xml:space="preserve">A hardware engineer</t>
  </si>
  <si>
    <t xml:space="preserve">S6</t>
  </si>
  <si>
    <t xml:space="preserve">Bring-up</t>
  </si>
  <si>
    <t xml:space="preserve">Board powers up, passes validation and is handed over.</t>
  </si>
  <si>
    <t xml:space="preserve">S7</t>
  </si>
  <si>
    <t xml:space="preserve">BOM Procurement</t>
  </si>
  <si>
    <t xml:space="preserve">Parts sourced, or alternates agreed.</t>
  </si>
  <si>
    <t xml:space="preserve">Column contract the dashboard depends on</t>
  </si>
  <si>
    <t xml:space="preserve">-  The field header row must contain "Project / Board", with the stage group headers in the row directly above.</t>
  </si>
  <si>
    <t xml:space="preserve">-  Each stage group header must keep its name — SCHEMATIC, PCB LAYOUT, SI &amp; PI, BARE-PCB FAB, ASSEMBLY, BRING-UP, BOM PROCUREMENT. The S&lt;n&gt; prefix is ignored.</t>
  </si>
  <si>
    <t xml:space="preserve">-  Within a stage block the order is Owner, Status, EDC, EDA.</t>
  </si>
  <si>
    <t xml:space="preserve">-  Owner values must match the "Name in sheet" column on EMPLOYEES. Two people combine with " + ".</t>
  </si>
  <si>
    <t xml:space="preserve">-  Customer values must match the Client name column on CLIENTS.</t>
  </si>
  <si>
    <t xml:space="preserve">ACTIVE / PENDING BOARDS</t>
  </si>
  <si>
    <t xml:space="preserve">One row per board still in progress. Fill the cream cells; the white ones calculate. EDC is the expected date of completion, EDA the actual one.</t>
  </si>
  <si>
    <t xml:space="preserve">RESPIN QUEUE</t>
  </si>
  <si>
    <t xml:space="preserve">#</t>
  </si>
  <si>
    <t xml:space="preserve">Customer</t>
  </si>
  <si>
    <t xml:space="preserve">Board</t>
  </si>
  <si>
    <t xml:space="preserve">Re-entry Stage</t>
  </si>
  <si>
    <t xml:space="preserve">Respin Reason</t>
  </si>
  <si>
    <t xml:space="preserve">Raised On</t>
  </si>
  <si>
    <t xml:space="preserve">Pull in and start at</t>
  </si>
  <si>
    <t xml:space="preserve">PROJECT</t>
  </si>
  <si>
    <t xml:space="preserve">PROCESS ROLL-UP</t>
  </si>
  <si>
    <t xml:space="preserve">S1 SCHEMATIC</t>
  </si>
  <si>
    <t xml:space="preserve">S2 PCB LAYOUT</t>
  </si>
  <si>
    <t xml:space="preserve">S3 SI &amp; PI</t>
  </si>
  <si>
    <t xml:space="preserve">S4 BARE-PCB FAB</t>
  </si>
  <si>
    <t xml:space="preserve">S5 ASSEMBLY</t>
  </si>
  <si>
    <t xml:space="preserve">S6 BRING-UP</t>
  </si>
  <si>
    <t xml:space="preserve">S7 BOM PROCUREMENT</t>
  </si>
  <si>
    <t xml:space="preserve">RESPIN ORIGIN</t>
  </si>
  <si>
    <t xml:space="preserve">FOLLOW-UP</t>
  </si>
  <si>
    <t xml:space="preserve">S.No</t>
  </si>
  <si>
    <t xml:space="preserve">Project / Board</t>
  </si>
  <si>
    <t xml:space="preserve">Project Manager</t>
  </si>
  <si>
    <t xml:space="preserve">Current Stage</t>
  </si>
  <si>
    <t xml:space="preserve">Overall Status</t>
  </si>
  <si>
    <t xml:space="preserve">EDC (current stage)</t>
  </si>
  <si>
    <t xml:space="preserve">Days</t>
  </si>
  <si>
    <t xml:space="preserve">Stages Done</t>
  </si>
  <si>
    <t xml:space="preserve">Stages In Scope</t>
  </si>
  <si>
    <t xml:space="preserve">% Complete</t>
  </si>
  <si>
    <t xml:space="preserve">Owner</t>
  </si>
  <si>
    <t xml:space="preserve">EDC</t>
  </si>
  <si>
    <t xml:space="preserve">EDA</t>
  </si>
  <si>
    <t xml:space="preserve">Comment</t>
  </si>
  <si>
    <t xml:space="preserve">Fabricator</t>
  </si>
  <si>
    <t xml:space="preserve">Rev / Respin No.</t>
  </si>
  <si>
    <t xml:space="preserve">Re-entered At</t>
  </si>
  <si>
    <t xml:space="preserve">Hold / delay reason</t>
  </si>
  <si>
    <t xml:space="preserve">Reason check</t>
  </si>
  <si>
    <t xml:space="preserve">Notes / Data Check</t>
  </si>
  <si>
    <t xml:space="preserve">COMPLETED BOARDS</t>
  </si>
  <si>
    <t xml:space="preserve">Boards where every stage is Completed or NA. You can leave this empty — the dashboard moves boards here as they close. Set Respin Needed? = Yes with a Re-entry Stage to send one back.</t>
  </si>
  <si>
    <t xml:space="preserve">RESPIN CONTROL</t>
  </si>
  <si>
    <t xml:space="preserve">Respin Needed?</t>
  </si>
  <si>
    <t xml:space="preserve">ACTION</t>
  </si>
  <si>
    <t xml:space="preserve">Yes/No</t>
  </si>
  <si>
    <t xml:space="preserve">Client</t>
  </si>
  <si>
    <t xml:space="preserve">Completed</t>
  </si>
  <si>
    <t xml:space="preserve">S1 Schematic</t>
  </si>
  <si>
    <t xml:space="preserve">Design defect found at bring-up</t>
  </si>
  <si>
    <t xml:space="preserve">Waiting on customer feedback</t>
  </si>
  <si>
    <t xml:space="preserve">In Progress</t>
  </si>
  <si>
    <t xml:space="preserve">S2 PCB Layout</t>
  </si>
  <si>
    <t xml:space="preserve">Component obsolete / not sourceable</t>
  </si>
  <si>
    <t xml:space="preserve">No</t>
  </si>
  <si>
    <t xml:space="preserve">Waiting on component / long-lead part</t>
  </si>
  <si>
    <t xml:space="preserve">On Hold</t>
  </si>
  <si>
    <t xml:space="preserve">Customer change request</t>
  </si>
  <si>
    <t xml:space="preserve">De-prioritised for another board</t>
  </si>
  <si>
    <t xml:space="preserve">Not Started</t>
  </si>
  <si>
    <t xml:space="preserve">S4 Bare-PCB Fab</t>
  </si>
  <si>
    <t xml:space="preserve">SI / PI failure</t>
  </si>
  <si>
    <t xml:space="preserve">Rework after SI/PI review</t>
  </si>
  <si>
    <t xml:space="preserve">NA</t>
  </si>
  <si>
    <t xml:space="preserve">S5 Assembly</t>
  </si>
  <si>
    <t xml:space="preserve">Fabrication defect</t>
  </si>
  <si>
    <t xml:space="preserve">Waiting on updated schematic</t>
  </si>
  <si>
    <t xml:space="preserve">Cancelled</t>
  </si>
  <si>
    <t xml:space="preserve">S6 Bring-up</t>
  </si>
  <si>
    <t xml:space="preserve">Assembly or footprint error</t>
  </si>
  <si>
    <t xml:space="preserve">Fab or assembly queue</t>
  </si>
  <si>
    <t xml:space="preserve">S7 BOM Procurement</t>
  </si>
  <si>
    <t xml:space="preserve">Performance not met</t>
  </si>
  <si>
    <t xml:space="preserve">Owner not available</t>
  </si>
  <si>
    <t xml:space="preserve">Other - see comment</t>
  </si>
  <si>
    <t xml:space="preserve">Scope or SoW not agreed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</si>
</sst>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;;;@"/>
    <numFmt numFmtId="166" formatCode="0%"/>
    <numFmt numFmtId="167" formatCode="dd\-mmm\-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9C6500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7E6E6"/>
      </patternFill>
    </fill>
    <fill>
      <patternFill patternType="solid">
        <fgColor rgb="FFFFF6E5"/>
        <bgColor rgb="FFF7F7F7"/>
      </patternFill>
    </fill>
    <fill>
      <patternFill patternType="solid">
        <fgColor rgb="FF7B3F00"/>
        <bgColor rgb="FF974706"/>
      </patternFill>
    </fill>
    <fill>
      <patternFill patternType="solid">
        <fgColor rgb="FF44546A"/>
        <bgColor rgb="FF595959"/>
      </patternFill>
    </fill>
    <fill>
      <patternFill patternType="solid">
        <fgColor rgb="FF2E5C8A"/>
        <bgColor rgb="FF44546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E5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E3E3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74706"/>
        <sz val="9"/>
      </font>
      <fill>
        <patternFill>
          <bgColor rgb="FFFCD5B4"/>
        </patternFill>
      </fill>
    </dxf>
    <dxf>
      <font>
        <name val="Arial"/>
        <charset val="1"/>
        <family val="0"/>
        <b val="1"/>
        <color rgb="FF595959"/>
        <sz val="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A6A6A6"/>
        <sz val="9"/>
      </font>
      <fill>
        <patternFill>
          <bgColor rgb="FFF7F7F7"/>
        </patternFill>
      </fill>
    </dxf>
    <dxf>
      <font>
        <name val="Arial"/>
        <charset val="1"/>
        <family val="0"/>
        <color rgb="FF9C6500"/>
        <sz val="8"/>
      </font>
      <fill>
        <patternFill>
          <bgColor rgb="FFFFEB9C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B3F00"/>
      <rgbColor rgb="FFFFF6E5"/>
      <rgbColor rgb="FFF7F7F7"/>
      <rgbColor rgb="FF660066"/>
      <rgbColor rgb="FFFF8080"/>
      <rgbColor rgb="FF2E5C8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FFE3E3"/>
      <rgbColor rgb="FFFFC7CE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74706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9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B4" s="3" t="s">
        <v>2</v>
      </c>
      <c r="C4" s="3" t="s">
        <v>3</v>
      </c>
      <c r="D4" s="3" t="s">
        <v>4</v>
      </c>
    </row>
    <row r="5" customFormat="false" ht="42" hidden="false" customHeight="true" outlineLevel="0" collapsed="false">
      <c r="B5" s="4" t="s">
        <v>5</v>
      </c>
      <c r="C5" s="5" t="s">
        <v>6</v>
      </c>
      <c r="D5" s="6" t="s">
        <v>7</v>
      </c>
    </row>
    <row r="6" customFormat="false" ht="42" hidden="false" customHeight="true" outlineLevel="0" collapsed="false">
      <c r="B6" s="4" t="s">
        <v>8</v>
      </c>
      <c r="C6" s="5" t="s">
        <v>9</v>
      </c>
      <c r="D6" s="6" t="s">
        <v>10</v>
      </c>
    </row>
    <row r="7" customFormat="false" ht="42" hidden="false" customHeight="true" outlineLevel="0" collapsed="false">
      <c r="B7" s="4" t="s">
        <v>11</v>
      </c>
      <c r="C7" s="5" t="s">
        <v>12</v>
      </c>
      <c r="D7" s="6" t="s">
        <v>13</v>
      </c>
    </row>
    <row r="8" customFormat="false" ht="42" hidden="false" customHeight="true" outlineLevel="0" collapsed="false">
      <c r="B8" s="4" t="s">
        <v>14</v>
      </c>
      <c r="C8" s="5" t="s">
        <v>15</v>
      </c>
      <c r="D8" s="6" t="s">
        <v>16</v>
      </c>
    </row>
    <row r="9" customFormat="false" ht="42" hidden="false" customHeight="true" outlineLevel="0" collapsed="false">
      <c r="B9" s="4" t="s">
        <v>17</v>
      </c>
      <c r="C9" s="5" t="s">
        <v>18</v>
      </c>
      <c r="D9" s="6" t="s">
        <v>19</v>
      </c>
    </row>
    <row r="10" customFormat="false" ht="42" hidden="false" customHeight="true" outlineLevel="0" collapsed="false">
      <c r="B10" s="4" t="s">
        <v>20</v>
      </c>
      <c r="C10" s="5" t="s">
        <v>21</v>
      </c>
      <c r="D10" s="6" t="s">
        <v>22</v>
      </c>
    </row>
    <row r="12" customFormat="false" ht="15" hidden="false" customHeight="false" outlineLevel="0" collapsed="false">
      <c r="B12" s="7" t="s">
        <v>23</v>
      </c>
    </row>
    <row r="13" customFormat="false" ht="27.75" hidden="false" customHeight="true" outlineLevel="0" collapsed="false">
      <c r="B13" s="8" t="s">
        <v>24</v>
      </c>
      <c r="C13" s="8"/>
      <c r="D13" s="8"/>
    </row>
    <row r="14" customFormat="false" ht="27.75" hidden="false" customHeight="true" outlineLevel="0" collapsed="false">
      <c r="B14" s="8" t="s">
        <v>25</v>
      </c>
      <c r="C14" s="8"/>
      <c r="D14" s="8"/>
    </row>
    <row r="15" customFormat="false" ht="27.75" hidden="false" customHeight="true" outlineLevel="0" collapsed="false">
      <c r="B15" s="8" t="s">
        <v>26</v>
      </c>
      <c r="C15" s="8"/>
      <c r="D15" s="8"/>
    </row>
    <row r="16" customFormat="false" ht="27.75" hidden="false" customHeight="true" outlineLevel="0" collapsed="false">
      <c r="B16" s="8" t="s">
        <v>27</v>
      </c>
      <c r="C16" s="8"/>
      <c r="D16" s="8"/>
    </row>
    <row r="17" customFormat="false" ht="27.75" hidden="false" customHeight="true" outlineLevel="0" collapsed="false">
      <c r="B17" s="8" t="s">
        <v>28</v>
      </c>
      <c r="C17" s="8"/>
      <c r="D17" s="8"/>
    </row>
  </sheetData>
  <mergeCells count="6">
    <mergeCell ref="A2:J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8.5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9.5" hidden="false" customHeight="true" outlineLevel="0" collapsed="false">
      <c r="B5" s="9"/>
      <c r="C5" s="9"/>
      <c r="D5" s="9"/>
      <c r="E5" s="9"/>
      <c r="F5" s="9"/>
      <c r="G5" s="9"/>
    </row>
    <row r="6" customFormat="false" ht="19.5" hidden="false" customHeight="true" outlineLevel="0" collapsed="false">
      <c r="B6" s="9"/>
      <c r="C6" s="9"/>
      <c r="D6" s="9"/>
      <c r="E6" s="9"/>
      <c r="F6" s="9"/>
      <c r="G6" s="9"/>
    </row>
    <row r="7" customFormat="false" ht="19.5" hidden="false" customHeight="true" outlineLevel="0" collapsed="false">
      <c r="B7" s="9"/>
      <c r="C7" s="9"/>
      <c r="D7" s="9"/>
      <c r="E7" s="9"/>
      <c r="F7" s="9"/>
      <c r="G7" s="9"/>
    </row>
    <row r="8" customFormat="false" ht="19.5" hidden="false" customHeight="true" outlineLevel="0" collapsed="false">
      <c r="B8" s="9"/>
      <c r="C8" s="9"/>
      <c r="D8" s="9"/>
      <c r="E8" s="9"/>
      <c r="F8" s="9"/>
      <c r="G8" s="9"/>
    </row>
    <row r="9" customFormat="false" ht="19.5" hidden="false" customHeight="true" outlineLevel="0" collapsed="false">
      <c r="B9" s="9"/>
      <c r="C9" s="9"/>
      <c r="D9" s="9"/>
      <c r="E9" s="9"/>
      <c r="F9" s="9"/>
      <c r="G9" s="9"/>
    </row>
    <row r="10" customFormat="false" ht="19.5" hidden="false" customHeight="true" outlineLevel="0" collapsed="false">
      <c r="B10" s="9"/>
      <c r="C10" s="9"/>
      <c r="D10" s="9"/>
      <c r="E10" s="9"/>
      <c r="F10" s="9"/>
      <c r="G10" s="9"/>
    </row>
    <row r="11" customFormat="false" ht="19.5" hidden="false" customHeight="true" outlineLevel="0" collapsed="false">
      <c r="B11" s="9"/>
      <c r="C11" s="9"/>
      <c r="D11" s="9"/>
      <c r="E11" s="9"/>
      <c r="F11" s="9"/>
      <c r="G11" s="9"/>
    </row>
    <row r="12" customFormat="false" ht="19.5" hidden="false" customHeight="true" outlineLevel="0" collapsed="false">
      <c r="B12" s="9"/>
      <c r="C12" s="9"/>
      <c r="D12" s="9"/>
      <c r="E12" s="9"/>
      <c r="F12" s="9"/>
      <c r="G12" s="9"/>
    </row>
    <row r="13" customFormat="false" ht="19.5" hidden="false" customHeight="true" outlineLevel="0" collapsed="false">
      <c r="B13" s="9"/>
      <c r="C13" s="9"/>
      <c r="D13" s="9"/>
      <c r="E13" s="9"/>
      <c r="F13" s="9"/>
      <c r="G13" s="9"/>
    </row>
    <row r="14" customFormat="false" ht="19.5" hidden="false" customHeight="true" outlineLevel="0" collapsed="false">
      <c r="B14" s="9"/>
      <c r="C14" s="9"/>
      <c r="D14" s="9"/>
      <c r="E14" s="9"/>
      <c r="F14" s="9"/>
      <c r="G14" s="9"/>
    </row>
    <row r="15" customFormat="false" ht="19.5" hidden="false" customHeight="true" outlineLevel="0" collapsed="false">
      <c r="B15" s="9"/>
      <c r="C15" s="9"/>
      <c r="D15" s="9"/>
      <c r="E15" s="9"/>
      <c r="F15" s="9"/>
      <c r="G15" s="9"/>
    </row>
    <row r="16" customFormat="false" ht="19.5" hidden="false" customHeight="true" outlineLevel="0" collapsed="false">
      <c r="B16" s="9"/>
      <c r="C16" s="9"/>
      <c r="D16" s="9"/>
      <c r="E16" s="9"/>
      <c r="F16" s="9"/>
      <c r="G16" s="9"/>
    </row>
    <row r="17" customFormat="false" ht="19.5" hidden="false" customHeight="true" outlineLevel="0" collapsed="false">
      <c r="B17" s="9"/>
      <c r="C17" s="9"/>
      <c r="D17" s="9"/>
      <c r="E17" s="9"/>
      <c r="F17" s="9"/>
      <c r="G17" s="9"/>
    </row>
    <row r="18" customFormat="false" ht="19.5" hidden="false" customHeight="true" outlineLevel="0" collapsed="false">
      <c r="B18" s="9"/>
      <c r="C18" s="9"/>
      <c r="D18" s="9"/>
      <c r="E18" s="9"/>
      <c r="F18" s="9"/>
      <c r="G18" s="9"/>
    </row>
    <row r="19" customFormat="false" ht="19.5" hidden="false" customHeight="true" outlineLevel="0" collapsed="false">
      <c r="B19" s="9"/>
      <c r="C19" s="9"/>
      <c r="D19" s="9"/>
      <c r="E19" s="9"/>
      <c r="F19" s="9"/>
      <c r="G19" s="9"/>
    </row>
    <row r="20" customFormat="false" ht="19.5" hidden="false" customHeight="true" outlineLevel="0" collapsed="false">
      <c r="B20" s="9"/>
      <c r="C20" s="9"/>
      <c r="D20" s="9"/>
      <c r="E20" s="9"/>
      <c r="F20" s="9"/>
      <c r="G20" s="9"/>
    </row>
    <row r="21" customFormat="false" ht="19.5" hidden="false" customHeight="true" outlineLevel="0" collapsed="false">
      <c r="B21" s="9"/>
      <c r="C21" s="9"/>
      <c r="D21" s="9"/>
      <c r="E21" s="9"/>
      <c r="F21" s="9"/>
      <c r="G21" s="9"/>
    </row>
    <row r="22" customFormat="false" ht="19.5" hidden="false" customHeight="true" outlineLevel="0" collapsed="false">
      <c r="B22" s="9"/>
      <c r="C22" s="9"/>
      <c r="D22" s="9"/>
      <c r="E22" s="9"/>
      <c r="F22" s="9"/>
      <c r="G22" s="9"/>
    </row>
    <row r="23" customFormat="false" ht="19.5" hidden="false" customHeight="true" outlineLevel="0" collapsed="false">
      <c r="B23" s="9"/>
      <c r="C23" s="9"/>
      <c r="D23" s="9"/>
      <c r="E23" s="9"/>
      <c r="F23" s="9"/>
      <c r="G23" s="9"/>
    </row>
    <row r="24" customFormat="false" ht="19.5" hidden="false" customHeight="true" outlineLevel="0" collapsed="false">
      <c r="B24" s="9"/>
      <c r="C24" s="9"/>
      <c r="D24" s="9"/>
      <c r="E24" s="9"/>
      <c r="F24" s="9"/>
      <c r="G24" s="9"/>
    </row>
    <row r="25" customFormat="false" ht="19.5" hidden="false" customHeight="true" outlineLevel="0" collapsed="false">
      <c r="B25" s="9"/>
      <c r="C25" s="9"/>
      <c r="D25" s="9"/>
      <c r="E25" s="9"/>
      <c r="F25" s="9"/>
      <c r="G25" s="9"/>
    </row>
    <row r="26" customFormat="false" ht="19.5" hidden="false" customHeight="true" outlineLevel="0" collapsed="false">
      <c r="B26" s="9"/>
      <c r="C26" s="9"/>
      <c r="D26" s="9"/>
      <c r="E26" s="9"/>
      <c r="F26" s="9"/>
      <c r="G26" s="9"/>
    </row>
    <row r="27" customFormat="false" ht="19.5" hidden="false" customHeight="true" outlineLevel="0" collapsed="false">
      <c r="B27" s="9"/>
      <c r="C27" s="9"/>
      <c r="D27" s="9"/>
      <c r="E27" s="9"/>
      <c r="F27" s="9"/>
      <c r="G27" s="9"/>
    </row>
    <row r="28" customFormat="false" ht="19.5" hidden="false" customHeight="true" outlineLevel="0" collapsed="false">
      <c r="B28" s="9"/>
      <c r="C28" s="9"/>
      <c r="D28" s="9"/>
      <c r="E28" s="9"/>
      <c r="F28" s="9"/>
      <c r="G28" s="9"/>
    </row>
    <row r="29" customFormat="false" ht="19.5" hidden="false" customHeight="true" outlineLevel="0" collapsed="false">
      <c r="B29" s="9"/>
      <c r="C29" s="9"/>
      <c r="D29" s="9"/>
      <c r="E29" s="9"/>
      <c r="F29" s="9"/>
      <c r="G29" s="9"/>
    </row>
    <row r="30" customFormat="false" ht="19.5" hidden="false" customHeight="true" outlineLevel="0" collapsed="false">
      <c r="B30" s="9"/>
      <c r="C30" s="9"/>
      <c r="D30" s="9"/>
      <c r="E30" s="9"/>
      <c r="F30" s="9"/>
      <c r="G30" s="9"/>
    </row>
    <row r="31" customFormat="false" ht="19.5" hidden="false" customHeight="true" outlineLevel="0" collapsed="false">
      <c r="B31" s="9"/>
      <c r="C31" s="9"/>
      <c r="D31" s="9"/>
      <c r="E31" s="9"/>
      <c r="F31" s="9"/>
      <c r="G31" s="9"/>
    </row>
    <row r="32" customFormat="false" ht="19.5" hidden="false" customHeight="true" outlineLevel="0" collapsed="false">
      <c r="B32" s="9"/>
      <c r="C32" s="9"/>
      <c r="D32" s="9"/>
      <c r="E32" s="9"/>
      <c r="F32" s="9"/>
      <c r="G32" s="9"/>
    </row>
    <row r="33" customFormat="false" ht="19.5" hidden="false" customHeight="true" outlineLevel="0" collapsed="false">
      <c r="B33" s="9"/>
      <c r="C33" s="9"/>
      <c r="D33" s="9"/>
      <c r="E33" s="9"/>
      <c r="F33" s="9"/>
      <c r="G33" s="9"/>
    </row>
    <row r="34" customFormat="false" ht="19.5" hidden="false" customHeight="true" outlineLevel="0" collapsed="false">
      <c r="B34" s="9"/>
      <c r="C34" s="9"/>
      <c r="D34" s="9"/>
      <c r="E34" s="9"/>
      <c r="F34" s="9"/>
      <c r="G34" s="9"/>
    </row>
    <row r="35" customFormat="false" ht="19.5" hidden="false" customHeight="true" outlineLevel="0" collapsed="false">
      <c r="B35" s="9"/>
      <c r="C35" s="9"/>
      <c r="D35" s="9"/>
      <c r="E35" s="9"/>
      <c r="F35" s="9"/>
      <c r="G35" s="9"/>
    </row>
    <row r="36" customFormat="false" ht="19.5" hidden="false" customHeight="true" outlineLevel="0" collapsed="false">
      <c r="B36" s="9"/>
      <c r="C36" s="9"/>
      <c r="D36" s="9"/>
      <c r="E36" s="9"/>
      <c r="F36" s="9"/>
      <c r="G36" s="9"/>
    </row>
    <row r="37" customFormat="false" ht="19.5" hidden="false" customHeight="true" outlineLevel="0" collapsed="false">
      <c r="B37" s="9"/>
      <c r="C37" s="9"/>
      <c r="D37" s="9"/>
      <c r="E37" s="9"/>
      <c r="F37" s="9"/>
      <c r="G37" s="9"/>
    </row>
    <row r="38" customFormat="false" ht="19.5" hidden="false" customHeight="true" outlineLevel="0" collapsed="false">
      <c r="B38" s="9"/>
      <c r="C38" s="9"/>
      <c r="D38" s="9"/>
      <c r="E38" s="9"/>
      <c r="F38" s="9"/>
      <c r="G38" s="9"/>
    </row>
    <row r="39" customFormat="false" ht="19.5" hidden="false" customHeight="true" outlineLevel="0" collapsed="false">
      <c r="B39" s="9"/>
      <c r="C39" s="9"/>
      <c r="D39" s="9"/>
      <c r="E39" s="9"/>
      <c r="F39" s="9"/>
      <c r="G39" s="9"/>
    </row>
    <row r="40" customFormat="false" ht="19.5" hidden="false" customHeight="true" outlineLevel="0" collapsed="false">
      <c r="B40" s="9"/>
      <c r="C40" s="9"/>
      <c r="D40" s="9"/>
      <c r="E40" s="9"/>
      <c r="F40" s="9"/>
      <c r="G40" s="9"/>
    </row>
    <row r="41" customFormat="false" ht="19.5" hidden="false" customHeight="true" outlineLevel="0" collapsed="false">
      <c r="B41" s="9"/>
      <c r="C41" s="9"/>
      <c r="D41" s="9"/>
      <c r="E41" s="9"/>
      <c r="F41" s="9"/>
      <c r="G41" s="9"/>
    </row>
    <row r="42" customFormat="false" ht="19.5" hidden="false" customHeight="true" outlineLevel="0" collapsed="false">
      <c r="B42" s="9"/>
      <c r="C42" s="9"/>
      <c r="D42" s="9"/>
      <c r="E42" s="9"/>
      <c r="F42" s="9"/>
      <c r="G42" s="9"/>
    </row>
    <row r="43" customFormat="false" ht="19.5" hidden="false" customHeight="true" outlineLevel="0" collapsed="false">
      <c r="B43" s="9"/>
      <c r="C43" s="9"/>
      <c r="D43" s="9"/>
      <c r="E43" s="9"/>
      <c r="F43" s="9"/>
      <c r="G43" s="9"/>
    </row>
    <row r="44" customFormat="false" ht="19.5" hidden="false" customHeight="true" outlineLevel="0" collapsed="false">
      <c r="B44" s="9"/>
      <c r="C44" s="9"/>
      <c r="D44" s="9"/>
      <c r="E44" s="9"/>
      <c r="F44" s="9"/>
      <c r="G44" s="9"/>
    </row>
    <row r="45" customFormat="false" ht="19.5" hidden="false" customHeight="true" outlineLevel="0" collapsed="false">
      <c r="B45" s="9"/>
      <c r="C45" s="9"/>
      <c r="D45" s="9"/>
      <c r="E45" s="9"/>
      <c r="F45" s="9"/>
      <c r="G45" s="9"/>
    </row>
    <row r="46" customFormat="false" ht="19.5" hidden="false" customHeight="true" outlineLevel="0" collapsed="false">
      <c r="B46" s="9"/>
      <c r="C46" s="9"/>
      <c r="D46" s="9"/>
      <c r="E46" s="9"/>
      <c r="F46" s="9"/>
      <c r="G46" s="9"/>
    </row>
    <row r="47" customFormat="false" ht="19.5" hidden="false" customHeight="true" outlineLevel="0" collapsed="false">
      <c r="B47" s="9"/>
      <c r="C47" s="9"/>
      <c r="D47" s="9"/>
      <c r="E47" s="9"/>
      <c r="F47" s="9"/>
      <c r="G47" s="9"/>
    </row>
    <row r="48" customFormat="false" ht="19.5" hidden="false" customHeight="true" outlineLevel="0" collapsed="false">
      <c r="B48" s="9"/>
      <c r="C48" s="9"/>
      <c r="D48" s="9"/>
      <c r="E48" s="9"/>
      <c r="F48" s="9"/>
      <c r="G48" s="9"/>
    </row>
    <row r="49" customFormat="false" ht="19.5" hidden="false" customHeight="true" outlineLevel="0" collapsed="false">
      <c r="B49" s="9"/>
      <c r="C49" s="9"/>
      <c r="D49" s="9"/>
      <c r="E49" s="9"/>
      <c r="F49" s="9"/>
      <c r="G49" s="9"/>
    </row>
    <row r="50" customFormat="false" ht="19.5" hidden="false" customHeight="true" outlineLevel="0" collapsed="false">
      <c r="B50" s="9"/>
      <c r="C50" s="9"/>
      <c r="D50" s="9"/>
      <c r="E50" s="9"/>
      <c r="F50" s="9"/>
      <c r="G50" s="9"/>
    </row>
    <row r="51" customFormat="false" ht="19.5" hidden="false" customHeight="true" outlineLevel="0" collapsed="false">
      <c r="B51" s="9"/>
      <c r="C51" s="9"/>
      <c r="D51" s="9"/>
      <c r="E51" s="9"/>
      <c r="F51" s="9"/>
      <c r="G51" s="9"/>
    </row>
    <row r="52" customFormat="false" ht="19.5" hidden="false" customHeight="true" outlineLevel="0" collapsed="false">
      <c r="B52" s="9"/>
      <c r="C52" s="9"/>
      <c r="D52" s="9"/>
      <c r="E52" s="9"/>
      <c r="F52" s="9"/>
      <c r="G52" s="9"/>
    </row>
    <row r="53" customFormat="false" ht="19.5" hidden="false" customHeight="true" outlineLevel="0" collapsed="false">
      <c r="B53" s="9"/>
      <c r="C53" s="9"/>
      <c r="D53" s="9"/>
      <c r="E53" s="9"/>
      <c r="F53" s="9"/>
      <c r="G53" s="9"/>
    </row>
    <row r="54" customFormat="false" ht="19.5" hidden="false" customHeight="true" outlineLevel="0" collapsed="false">
      <c r="B54" s="9"/>
      <c r="C54" s="9"/>
      <c r="D54" s="9"/>
      <c r="E54" s="9"/>
      <c r="F54" s="9"/>
      <c r="G54" s="9"/>
    </row>
    <row r="55" customFormat="false" ht="19.5" hidden="false" customHeight="true" outlineLevel="0" collapsed="false">
      <c r="B55" s="9"/>
      <c r="C55" s="9"/>
      <c r="D55" s="9"/>
      <c r="E55" s="9"/>
      <c r="F55" s="9"/>
      <c r="G55" s="9"/>
    </row>
    <row r="56" customFormat="false" ht="19.5" hidden="false" customHeight="true" outlineLevel="0" collapsed="false">
      <c r="B56" s="9"/>
      <c r="C56" s="9"/>
      <c r="D56" s="9"/>
      <c r="E56" s="9"/>
      <c r="F56" s="9"/>
      <c r="G56" s="9"/>
    </row>
    <row r="57" customFormat="false" ht="19.5" hidden="false" customHeight="true" outlineLevel="0" collapsed="false">
      <c r="B57" s="9"/>
      <c r="C57" s="9"/>
      <c r="D57" s="9"/>
      <c r="E57" s="9"/>
      <c r="F57" s="9"/>
      <c r="G57" s="9"/>
    </row>
    <row r="58" customFormat="false" ht="19.5" hidden="false" customHeight="true" outlineLevel="0" collapsed="false">
      <c r="B58" s="9"/>
      <c r="C58" s="9"/>
      <c r="D58" s="9"/>
      <c r="E58" s="9"/>
      <c r="F58" s="9"/>
      <c r="G58" s="9"/>
    </row>
    <row r="59" customFormat="false" ht="19.5" hidden="false" customHeight="true" outlineLevel="0" collapsed="false">
      <c r="B59" s="9"/>
      <c r="C59" s="9"/>
      <c r="D59" s="9"/>
      <c r="E59" s="9"/>
      <c r="F59" s="9"/>
      <c r="G59" s="9"/>
    </row>
    <row r="60" customFormat="false" ht="19.5" hidden="false" customHeight="true" outlineLevel="0" collapsed="false">
      <c r="B60" s="9"/>
      <c r="C60" s="9"/>
      <c r="D60" s="9"/>
      <c r="E60" s="9"/>
      <c r="F60" s="9"/>
      <c r="G60" s="9"/>
    </row>
    <row r="61" customFormat="false" ht="19.5" hidden="false" customHeight="true" outlineLevel="0" collapsed="false">
      <c r="B61" s="9"/>
      <c r="C61" s="9"/>
      <c r="D61" s="9"/>
      <c r="E61" s="9"/>
      <c r="F61" s="9"/>
      <c r="G61" s="9"/>
    </row>
    <row r="62" customFormat="false" ht="19.5" hidden="false" customHeight="true" outlineLevel="0" collapsed="false">
      <c r="B62" s="9"/>
      <c r="C62" s="9"/>
      <c r="D62" s="9"/>
      <c r="E62" s="9"/>
      <c r="F62" s="9"/>
      <c r="G62" s="9"/>
    </row>
    <row r="63" customFormat="false" ht="19.5" hidden="false" customHeight="true" outlineLevel="0" collapsed="false">
      <c r="B63" s="9"/>
      <c r="C63" s="9"/>
      <c r="D63" s="9"/>
      <c r="E63" s="9"/>
      <c r="F63" s="9"/>
      <c r="G63" s="9"/>
    </row>
    <row r="64" customFormat="false" ht="19.5" hidden="false" customHeight="true" outlineLevel="0" collapsed="false">
      <c r="B64" s="9"/>
      <c r="C64" s="9"/>
      <c r="D64" s="9"/>
      <c r="E64" s="9"/>
      <c r="F64" s="9"/>
      <c r="G64" s="9"/>
    </row>
  </sheetData>
  <mergeCells count="1">
    <mergeCell ref="A2:H2"/>
  </mergeCells>
  <dataValidations count="1">
    <dataValidation allowBlank="true" errorStyle="stop" operator="between" showDropDown="false" showErrorMessage="false" showInputMessage="false" sqref="F5:F200" type="list">
      <formula1>"Active,Prospect,Dormant,Closed"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28"/>
    <col collapsed="false" customWidth="true" hidden="false" outlineLevel="0" max="10" min="10" style="0" width="10"/>
  </cols>
  <sheetData>
    <row r="1" customFormat="false" ht="18.5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</row>
    <row r="5" customFormat="false" ht="21.75" hidden="false" customHeight="true" outlineLevel="0" collapsed="false">
      <c r="B5" s="10"/>
      <c r="C5" s="11" t="s">
        <v>48</v>
      </c>
      <c r="D5" s="10" t="s">
        <v>49</v>
      </c>
      <c r="E5" s="10" t="n">
        <v>14</v>
      </c>
      <c r="F5" s="10" t="s">
        <v>50</v>
      </c>
      <c r="G5" s="10" t="s">
        <v>51</v>
      </c>
      <c r="H5" s="12"/>
      <c r="I5" s="12"/>
      <c r="J5" s="10" t="s">
        <v>52</v>
      </c>
    </row>
    <row r="6" customFormat="false" ht="21.75" hidden="false" customHeight="true" outlineLevel="0" collapsed="false">
      <c r="B6" s="10" t="s">
        <v>53</v>
      </c>
      <c r="C6" s="11" t="s">
        <v>54</v>
      </c>
      <c r="D6" s="10" t="s">
        <v>49</v>
      </c>
      <c r="E6" s="10" t="n">
        <v>18</v>
      </c>
      <c r="F6" s="10" t="s">
        <v>50</v>
      </c>
      <c r="G6" s="10" t="s">
        <v>55</v>
      </c>
      <c r="H6" s="12"/>
      <c r="I6" s="12"/>
      <c r="J6" s="10" t="s">
        <v>52</v>
      </c>
    </row>
    <row r="7" customFormat="false" ht="21.75" hidden="false" customHeight="true" outlineLevel="0" collapsed="false">
      <c r="B7" s="10" t="s">
        <v>56</v>
      </c>
      <c r="C7" s="11" t="s">
        <v>57</v>
      </c>
      <c r="D7" s="10" t="s">
        <v>49</v>
      </c>
      <c r="E7" s="10" t="n">
        <v>6.4</v>
      </c>
      <c r="F7" s="10" t="s">
        <v>50</v>
      </c>
      <c r="G7" s="10" t="s">
        <v>58</v>
      </c>
      <c r="H7" s="12"/>
      <c r="I7" s="12"/>
      <c r="J7" s="10" t="s">
        <v>52</v>
      </c>
    </row>
    <row r="8" customFormat="false" ht="21.75" hidden="false" customHeight="true" outlineLevel="0" collapsed="false">
      <c r="B8" s="10" t="s">
        <v>59</v>
      </c>
      <c r="C8" s="11" t="s">
        <v>60</v>
      </c>
      <c r="D8" s="10" t="s">
        <v>49</v>
      </c>
      <c r="E8" s="10" t="n">
        <v>8.1</v>
      </c>
      <c r="F8" s="10" t="s">
        <v>50</v>
      </c>
      <c r="G8" s="10" t="s">
        <v>61</v>
      </c>
      <c r="H8" s="12"/>
      <c r="I8" s="12"/>
      <c r="J8" s="10" t="s">
        <v>52</v>
      </c>
    </row>
    <row r="9" customFormat="false" ht="21.75" hidden="false" customHeight="true" outlineLevel="0" collapsed="false">
      <c r="B9" s="10" t="s">
        <v>62</v>
      </c>
      <c r="C9" s="11" t="s">
        <v>63</v>
      </c>
      <c r="D9" s="10" t="s">
        <v>49</v>
      </c>
      <c r="E9" s="10" t="n">
        <v>0.1</v>
      </c>
      <c r="F9" s="10" t="s">
        <v>50</v>
      </c>
      <c r="G9" s="10" t="s">
        <v>64</v>
      </c>
      <c r="H9" s="12"/>
      <c r="I9" s="12"/>
      <c r="J9" s="10" t="s">
        <v>52</v>
      </c>
    </row>
    <row r="10" customFormat="false" ht="21.75" hidden="false" customHeight="true" outlineLevel="0" collapsed="false">
      <c r="B10" s="10" t="s">
        <v>65</v>
      </c>
      <c r="C10" s="11" t="s">
        <v>66</v>
      </c>
      <c r="D10" s="10" t="s">
        <v>49</v>
      </c>
      <c r="E10" s="10" t="n">
        <v>2.7</v>
      </c>
      <c r="F10" s="10" t="s">
        <v>50</v>
      </c>
      <c r="G10" s="10" t="s">
        <v>67</v>
      </c>
      <c r="H10" s="12"/>
      <c r="I10" s="12"/>
      <c r="J10" s="10" t="s">
        <v>52</v>
      </c>
    </row>
    <row r="11" customFormat="false" ht="21.75" hidden="false" customHeight="true" outlineLevel="0" collapsed="false">
      <c r="B11" s="10" t="s">
        <v>68</v>
      </c>
      <c r="C11" s="11" t="s">
        <v>69</v>
      </c>
      <c r="D11" s="10" t="s">
        <v>49</v>
      </c>
      <c r="E11" s="10" t="n">
        <v>4.2</v>
      </c>
      <c r="F11" s="10" t="s">
        <v>50</v>
      </c>
      <c r="G11" s="10" t="s">
        <v>70</v>
      </c>
      <c r="H11" s="12"/>
      <c r="I11" s="12"/>
      <c r="J11" s="10" t="s">
        <v>52</v>
      </c>
    </row>
    <row r="12" customFormat="false" ht="21.75" hidden="false" customHeight="true" outlineLevel="0" collapsed="false">
      <c r="B12" s="10" t="s">
        <v>71</v>
      </c>
      <c r="C12" s="11" t="s">
        <v>72</v>
      </c>
      <c r="D12" s="10" t="s">
        <v>49</v>
      </c>
      <c r="E12" s="10" t="n">
        <v>2.7</v>
      </c>
      <c r="F12" s="10" t="s">
        <v>50</v>
      </c>
      <c r="G12" s="10" t="s">
        <v>73</v>
      </c>
      <c r="H12" s="12"/>
      <c r="I12" s="12"/>
      <c r="J12" s="10" t="s">
        <v>52</v>
      </c>
    </row>
    <row r="13" customFormat="false" ht="21.75" hidden="false" customHeight="true" outlineLevel="0" collapsed="false">
      <c r="B13" s="10" t="s">
        <v>74</v>
      </c>
      <c r="C13" s="11" t="s">
        <v>75</v>
      </c>
      <c r="D13" s="10" t="s">
        <v>49</v>
      </c>
      <c r="E13" s="10" t="n">
        <v>1.3</v>
      </c>
      <c r="F13" s="10" t="s">
        <v>50</v>
      </c>
      <c r="G13" s="10" t="s">
        <v>76</v>
      </c>
      <c r="H13" s="12"/>
      <c r="I13" s="12"/>
      <c r="J13" s="10" t="s">
        <v>52</v>
      </c>
    </row>
    <row r="14" customFormat="false" ht="21.75" hidden="false" customHeight="true" outlineLevel="0" collapsed="false">
      <c r="B14" s="10" t="s">
        <v>77</v>
      </c>
      <c r="C14" s="11" t="s">
        <v>78</v>
      </c>
      <c r="D14" s="10" t="s">
        <v>49</v>
      </c>
      <c r="E14" s="10" t="n">
        <v>4</v>
      </c>
      <c r="F14" s="10" t="s">
        <v>50</v>
      </c>
      <c r="G14" s="10" t="s">
        <v>79</v>
      </c>
      <c r="H14" s="12"/>
      <c r="I14" s="12"/>
      <c r="J14" s="10" t="s">
        <v>52</v>
      </c>
    </row>
    <row r="15" customFormat="false" ht="21.75" hidden="false" customHeight="true" outlineLevel="0" collapsed="false">
      <c r="B15" s="10" t="s">
        <v>80</v>
      </c>
      <c r="C15" s="11" t="s">
        <v>81</v>
      </c>
      <c r="D15" s="10" t="s">
        <v>49</v>
      </c>
      <c r="E15" s="10"/>
      <c r="F15" s="10"/>
      <c r="G15" s="10" t="s">
        <v>82</v>
      </c>
      <c r="H15" s="12"/>
      <c r="I15" s="12"/>
      <c r="J15" s="10" t="s">
        <v>52</v>
      </c>
    </row>
    <row r="16" customFormat="false" ht="21.75" hidden="false" customHeight="true" outlineLevel="0" collapsed="false">
      <c r="B16" s="10"/>
      <c r="C16" s="11" t="s">
        <v>83</v>
      </c>
      <c r="D16" s="10" t="s">
        <v>49</v>
      </c>
      <c r="E16" s="10"/>
      <c r="F16" s="10"/>
      <c r="G16" s="10" t="s">
        <v>83</v>
      </c>
      <c r="H16" s="12"/>
      <c r="I16" s="12"/>
      <c r="J16" s="10" t="s">
        <v>52</v>
      </c>
    </row>
    <row r="17" customFormat="false" ht="21.75" hidden="false" customHeight="true" outlineLevel="0" collapsed="false">
      <c r="B17" s="10"/>
      <c r="C17" s="11" t="s">
        <v>84</v>
      </c>
      <c r="D17" s="10" t="s">
        <v>49</v>
      </c>
      <c r="E17" s="10"/>
      <c r="F17" s="10"/>
      <c r="G17" s="10" t="s">
        <v>85</v>
      </c>
      <c r="H17" s="12"/>
      <c r="I17" s="12"/>
      <c r="J17" s="10" t="s">
        <v>52</v>
      </c>
    </row>
    <row r="18" customFormat="false" ht="19.5" hidden="false" customHeight="true" outlineLevel="0" collapsed="false"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9.5" hidden="false" customHeight="true" outlineLevel="0" collapsed="false"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9.5" hidden="false" customHeight="true" outlineLevel="0" collapsed="false"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9.5" hidden="false" customHeight="true" outlineLevel="0" collapsed="false"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9.5" hidden="false" customHeight="true" outlineLevel="0" collapsed="false"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9.5" hidden="false" customHeight="true" outlineLevel="0" collapsed="false"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9.5" hidden="false" customHeight="true" outlineLevel="0" collapsed="false"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9.5" hidden="false" customHeight="true" outlineLevel="0" collapsed="false"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9.5" hidden="false" customHeight="true" outlineLevel="0" collapsed="false"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9.5" hidden="false" customHeight="true" outlineLevel="0" collapsed="false"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9.5" hidden="false" customHeight="true" outlineLevel="0" collapsed="false"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9.5" hidden="false" customHeight="true" outlineLevel="0" collapsed="false"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9.5" hidden="false" customHeight="true" outlineLevel="0" collapsed="false"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9.5" hidden="false" customHeight="true" outlineLevel="0" collapsed="false"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9.5" hidden="false" customHeight="true" outlineLevel="0" collapsed="false"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9.5" hidden="false" customHeight="true" outlineLevel="0" collapsed="false">
      <c r="B33" s="9"/>
      <c r="C33" s="9"/>
      <c r="D33" s="9"/>
      <c r="E33" s="9"/>
      <c r="F33" s="9"/>
      <c r="G33" s="9"/>
      <c r="H33" s="9"/>
      <c r="I33" s="9"/>
      <c r="J33" s="9"/>
    </row>
    <row r="34" customFormat="false" ht="19.5" hidden="false" customHeight="true" outlineLevel="0" collapsed="false"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9.5" hidden="false" customHeight="true" outlineLevel="0" collapsed="false">
      <c r="B35" s="9"/>
      <c r="C35" s="9"/>
      <c r="D35" s="9"/>
      <c r="E35" s="9"/>
      <c r="F35" s="9"/>
      <c r="G35" s="9"/>
      <c r="H35" s="9"/>
      <c r="I35" s="9"/>
      <c r="J35" s="9"/>
    </row>
    <row r="36" customFormat="false" ht="19.5" hidden="false" customHeight="true" outlineLevel="0" collapsed="false">
      <c r="B36" s="9"/>
      <c r="C36" s="9"/>
      <c r="D36" s="9"/>
      <c r="E36" s="9"/>
      <c r="F36" s="9"/>
      <c r="G36" s="9"/>
      <c r="H36" s="9"/>
      <c r="I36" s="9"/>
      <c r="J36" s="9"/>
    </row>
    <row r="37" customFormat="false" ht="19.5" hidden="false" customHeight="true" outlineLevel="0" collapsed="false">
      <c r="B37" s="9"/>
      <c r="C37" s="9"/>
      <c r="D37" s="9"/>
      <c r="E37" s="9"/>
      <c r="F37" s="9"/>
      <c r="G37" s="9"/>
      <c r="H37" s="9"/>
      <c r="I37" s="9"/>
      <c r="J37" s="9"/>
    </row>
    <row r="38" customFormat="false" ht="19.5" hidden="false" customHeight="true" outlineLevel="0" collapsed="false"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9.5" hidden="false" customHeight="true" outlineLevel="0" collapsed="false"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9.5" hidden="false" customHeight="true" outlineLevel="0" collapsed="false"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9.5" hidden="false" customHeight="true" outlineLevel="0" collapsed="false"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9.5" hidden="false" customHeight="true" outlineLevel="0" collapsed="false">
      <c r="B42" s="9"/>
      <c r="C42" s="9"/>
      <c r="D42" s="9"/>
      <c r="E42" s="9"/>
      <c r="F42" s="9"/>
      <c r="G42" s="9"/>
      <c r="H42" s="9"/>
      <c r="I42" s="9"/>
      <c r="J42" s="9"/>
    </row>
    <row r="44" customFormat="false" ht="15" hidden="false" customHeight="false" outlineLevel="0" collapsed="false">
      <c r="B44" s="7" t="s">
        <v>86</v>
      </c>
      <c r="C44" s="13" t="s">
        <v>87</v>
      </c>
    </row>
    <row r="45" customFormat="false" ht="15" hidden="false" customHeight="false" outlineLevel="0" collapsed="false">
      <c r="B45" s="14" t="s">
        <v>88</v>
      </c>
    </row>
    <row r="46" customFormat="false" ht="15" hidden="false" customHeight="false" outlineLevel="0" collapsed="false">
      <c r="B46" s="14" t="s">
        <v>89</v>
      </c>
    </row>
    <row r="47" customFormat="false" ht="15" hidden="false" customHeight="false" outlineLevel="0" collapsed="false">
      <c r="B47" s="14" t="s">
        <v>90</v>
      </c>
    </row>
  </sheetData>
  <mergeCells count="1">
    <mergeCell ref="A2:J2"/>
  </mergeCells>
  <dataValidations count="1">
    <dataValidation allowBlank="true" errorStyle="stop" operator="between" showDropDown="false" showErrorMessage="false" showInputMessage="false" sqref="J5:J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0"/>
  </cols>
  <sheetData>
    <row r="1" customFormat="false" ht="18.5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B4" s="3" t="s">
        <v>93</v>
      </c>
      <c r="C4" s="3" t="s">
        <v>94</v>
      </c>
      <c r="D4" s="3" t="s">
        <v>95</v>
      </c>
      <c r="E4" s="3" t="s">
        <v>96</v>
      </c>
    </row>
    <row r="5" customFormat="false" ht="27.75" hidden="false" customHeight="true" outlineLevel="0" collapsed="false">
      <c r="B5" s="4" t="s">
        <v>97</v>
      </c>
      <c r="C5" s="5" t="s">
        <v>98</v>
      </c>
      <c r="D5" s="6" t="s">
        <v>99</v>
      </c>
      <c r="E5" s="6" t="s">
        <v>100</v>
      </c>
    </row>
    <row r="6" customFormat="false" ht="27.75" hidden="false" customHeight="true" outlineLevel="0" collapsed="false">
      <c r="B6" s="4" t="s">
        <v>101</v>
      </c>
      <c r="C6" s="5" t="s">
        <v>102</v>
      </c>
      <c r="D6" s="6" t="s">
        <v>103</v>
      </c>
      <c r="E6" s="6" t="s">
        <v>104</v>
      </c>
    </row>
    <row r="7" customFormat="false" ht="27.75" hidden="false" customHeight="true" outlineLevel="0" collapsed="false">
      <c r="B7" s="4" t="s">
        <v>105</v>
      </c>
      <c r="C7" s="5" t="s">
        <v>106</v>
      </c>
      <c r="D7" s="6" t="s">
        <v>107</v>
      </c>
      <c r="E7" s="6" t="s">
        <v>108</v>
      </c>
    </row>
    <row r="8" customFormat="false" ht="27.75" hidden="false" customHeight="true" outlineLevel="0" collapsed="false">
      <c r="B8" s="4" t="s">
        <v>109</v>
      </c>
      <c r="C8" s="5" t="s">
        <v>110</v>
      </c>
      <c r="D8" s="6" t="s">
        <v>111</v>
      </c>
      <c r="E8" s="6" t="s">
        <v>112</v>
      </c>
    </row>
    <row r="9" customFormat="false" ht="27.75" hidden="false" customHeight="true" outlineLevel="0" collapsed="false">
      <c r="B9" s="4" t="s">
        <v>113</v>
      </c>
      <c r="C9" s="5" t="s">
        <v>114</v>
      </c>
      <c r="D9" s="6" t="s">
        <v>115</v>
      </c>
      <c r="E9" s="6" t="s">
        <v>116</v>
      </c>
    </row>
    <row r="10" customFormat="false" ht="27.75" hidden="false" customHeight="true" outlineLevel="0" collapsed="false">
      <c r="B10" s="4" t="s">
        <v>117</v>
      </c>
      <c r="C10" s="5" t="s">
        <v>118</v>
      </c>
      <c r="D10" s="6" t="s">
        <v>119</v>
      </c>
      <c r="E10" s="6" t="s">
        <v>116</v>
      </c>
    </row>
    <row r="11" customFormat="false" ht="27.75" hidden="false" customHeight="true" outlineLevel="0" collapsed="false">
      <c r="B11" s="4" t="s">
        <v>120</v>
      </c>
      <c r="C11" s="5" t="s">
        <v>121</v>
      </c>
      <c r="D11" s="6" t="s">
        <v>122</v>
      </c>
      <c r="E11" s="6" t="s">
        <v>100</v>
      </c>
    </row>
    <row r="13" customFormat="false" ht="15" hidden="false" customHeight="false" outlineLevel="0" collapsed="false">
      <c r="B13" s="7" t="s">
        <v>123</v>
      </c>
    </row>
    <row r="14" customFormat="false" ht="25.5" hidden="false" customHeight="true" outlineLevel="0" collapsed="false">
      <c r="B14" s="8" t="s">
        <v>124</v>
      </c>
      <c r="C14" s="8"/>
      <c r="D14" s="8"/>
      <c r="E14" s="8"/>
    </row>
    <row r="15" customFormat="false" ht="25.5" hidden="false" customHeight="true" outlineLevel="0" collapsed="false">
      <c r="B15" s="8" t="s">
        <v>125</v>
      </c>
      <c r="C15" s="8"/>
      <c r="D15" s="8"/>
      <c r="E15" s="8"/>
    </row>
    <row r="16" customFormat="false" ht="25.5" hidden="false" customHeight="true" outlineLevel="0" collapsed="false">
      <c r="B16" s="8" t="s">
        <v>126</v>
      </c>
      <c r="C16" s="8"/>
      <c r="D16" s="8"/>
      <c r="E16" s="8"/>
    </row>
    <row r="17" customFormat="false" ht="25.5" hidden="false" customHeight="true" outlineLevel="0" collapsed="false">
      <c r="B17" s="8" t="s">
        <v>127</v>
      </c>
      <c r="C17" s="8"/>
      <c r="D17" s="8"/>
      <c r="E17" s="8"/>
    </row>
    <row r="18" customFormat="false" ht="25.5" hidden="false" customHeight="true" outlineLevel="0" collapsed="false">
      <c r="B18" s="8" t="s">
        <v>128</v>
      </c>
      <c r="C18" s="8"/>
      <c r="D18" s="8"/>
      <c r="E18" s="8"/>
    </row>
  </sheetData>
  <mergeCells count="6">
    <mergeCell ref="A2:H2"/>
    <mergeCell ref="B14:E14"/>
    <mergeCell ref="B15:E15"/>
    <mergeCell ref="B16:E16"/>
    <mergeCell ref="B17:E17"/>
    <mergeCell ref="B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B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30"/>
    <col collapsed="false" customWidth="true" hidden="false" outlineLevel="0" max="17" min="17" style="0" width="15"/>
    <col collapsed="false" customWidth="true" hidden="false" outlineLevel="0" max="18" min="18" style="0" width="13"/>
    <col collapsed="false" customWidth="true" hidden="false" outlineLevel="0" max="20" min="19" style="0" width="12"/>
    <col collapsed="false" customWidth="true" hidden="false" outlineLevel="0" max="21" min="21" style="0" width="30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5" min="24" style="0" width="12"/>
    <col collapsed="false" customWidth="true" hidden="false" outlineLevel="0" max="26" min="26" style="0" width="30"/>
    <col collapsed="false" customWidth="true" hidden="false" outlineLevel="0" max="27" min="27" style="0" width="15"/>
    <col collapsed="false" customWidth="true" hidden="false" outlineLevel="0" max="28" min="28" style="0" width="13"/>
    <col collapsed="false" customWidth="true" hidden="false" outlineLevel="0" max="30" min="29" style="0" width="12"/>
    <col collapsed="false" customWidth="true" hidden="false" outlineLevel="0" max="31" min="31" style="0" width="30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5" min="34" style="0" width="12"/>
    <col collapsed="false" customWidth="true" hidden="false" outlineLevel="0" max="36" min="36" style="0" width="30"/>
    <col collapsed="false" customWidth="true" hidden="false" outlineLevel="0" max="37" min="37" style="0" width="15"/>
    <col collapsed="false" customWidth="true" hidden="false" outlineLevel="0" max="38" min="38" style="0" width="13"/>
    <col collapsed="false" customWidth="true" hidden="false" outlineLevel="0" max="40" min="39" style="0" width="12"/>
    <col collapsed="false" customWidth="true" hidden="false" outlineLevel="0" max="41" min="41" style="0" width="30"/>
    <col collapsed="false" customWidth="true" hidden="false" outlineLevel="0" max="42" min="42" style="0" width="15"/>
    <col collapsed="false" customWidth="true" hidden="false" outlineLevel="0" max="43" min="43" style="0" width="13"/>
    <col collapsed="false" customWidth="true" hidden="false" outlineLevel="0" max="45" min="44" style="0" width="12"/>
    <col collapsed="false" customWidth="true" hidden="false" outlineLevel="0" max="46" min="46" style="0" width="30"/>
    <col collapsed="false" customWidth="true" hidden="false" outlineLevel="0" max="47" min="47" style="0" width="11"/>
    <col collapsed="false" customWidth="true" hidden="false" outlineLevel="0" max="48" min="48" style="0" width="18"/>
    <col collapsed="false" customWidth="true" hidden="false" outlineLevel="0" max="49" min="49" style="0" width="26"/>
    <col collapsed="false" customWidth="true" hidden="false" outlineLevel="0" max="50" min="50" style="0" width="12"/>
    <col collapsed="false" customWidth="true" hidden="false" outlineLevel="0" max="51" min="51" style="0" width="24"/>
    <col collapsed="false" customWidth="true" hidden="false" outlineLevel="0" max="52" min="52" style="0" width="16"/>
    <col collapsed="false" customWidth="true" hidden="false" outlineLevel="0" max="53" min="53" style="0" width="34"/>
  </cols>
  <sheetData>
    <row r="1" customFormat="false" ht="18.5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15" t="s">
        <v>131</v>
      </c>
      <c r="B4" s="16"/>
      <c r="C4" s="16"/>
      <c r="D4" s="16"/>
      <c r="E4" s="16"/>
      <c r="F4" s="16"/>
      <c r="G4" s="16"/>
      <c r="H4" s="17" t="str">
        <f aca="false">COUNTIF(COMPLETED!$AU$6:$AU$255,"Yes")&amp;" board(s) flagged for respin"</f>
        <v>0 board(s) flagged for respin</v>
      </c>
    </row>
    <row r="5" customFormat="false" ht="15" hidden="false" customHeight="false" outlineLevel="0" collapsed="false">
      <c r="A5" s="18" t="s">
        <v>132</v>
      </c>
      <c r="B5" s="18" t="s">
        <v>133</v>
      </c>
      <c r="C5" s="18" t="s">
        <v>134</v>
      </c>
      <c r="D5" s="18" t="s">
        <v>135</v>
      </c>
      <c r="E5" s="18" t="s">
        <v>136</v>
      </c>
      <c r="F5" s="18" t="s">
        <v>137</v>
      </c>
      <c r="G5" s="18" t="s">
        <v>138</v>
      </c>
    </row>
    <row r="6" customFormat="false" ht="15" hidden="false" customHeight="false" outlineLevel="0" collapsed="false">
      <c r="A6" s="19" t="n">
        <v>1</v>
      </c>
      <c r="B6" s="19" t="str">
        <f aca="false">IFERROR(INDEX(COMPLETED!$B$6:$B$255,MATCH(1,COMPLETED!$AZ$6:$AZ$255,0))&amp;"","")</f>
        <v/>
      </c>
      <c r="C6" s="20" t="str">
        <f aca="false">IFERROR(INDEX(COMPLETED!$C$6:$C$255,MATCH(1,COMPLETED!$AZ$6:$AZ$255,0))&amp;"","")</f>
        <v/>
      </c>
      <c r="D6" s="19" t="str">
        <f aca="false">IFERROR(INDEX(COMPLETED!$AV$6:$AV$255,MATCH(1,COMPLETED!$AZ$6:$AZ$255,0))&amp;"","")</f>
        <v/>
      </c>
      <c r="E6" s="21" t="str">
        <f aca="false">IFERROR(INDEX(COMPLETED!$AW$6:$AW$255,MATCH(1,COMPLETED!$AZ$6:$AZ$255,0))&amp;"","")</f>
        <v/>
      </c>
      <c r="F6" s="22" t="str">
        <f aca="false">IFERROR(INDEX(COMPLETED!$AX$6:$AX$255,MATCH(1,COMPLETED!$AZ$6:$AZ$255,0))&amp;"","")</f>
        <v/>
      </c>
      <c r="G6" s="21" t="str">
        <f aca="false">IF(C6="","",IF(D6="","Re-entry stage not set","start at "&amp;D6))</f>
        <v/>
      </c>
    </row>
    <row r="7" customFormat="false" ht="15" hidden="false" customHeight="false" outlineLevel="0" collapsed="false">
      <c r="A7" s="19" t="n">
        <v>2</v>
      </c>
      <c r="B7" s="19" t="str">
        <f aca="false">IFERROR(INDEX(COMPLETED!$B$6:$B$255,MATCH(2,COMPLETED!$AZ$6:$AZ$255,0))&amp;"","")</f>
        <v/>
      </c>
      <c r="C7" s="20" t="str">
        <f aca="false">IFERROR(INDEX(COMPLETED!$C$6:$C$255,MATCH(2,COMPLETED!$AZ$6:$AZ$255,0))&amp;"","")</f>
        <v/>
      </c>
      <c r="D7" s="19" t="str">
        <f aca="false">IFERROR(INDEX(COMPLETED!$AV$6:$AV$255,MATCH(2,COMPLETED!$AZ$6:$AZ$255,0))&amp;"","")</f>
        <v/>
      </c>
      <c r="E7" s="21" t="str">
        <f aca="false">IFERROR(INDEX(COMPLETED!$AW$6:$AW$255,MATCH(2,COMPLETED!$AZ$6:$AZ$255,0))&amp;"","")</f>
        <v/>
      </c>
      <c r="F7" s="22" t="str">
        <f aca="false">IFERROR(INDEX(COMPLETED!$AX$6:$AX$255,MATCH(2,COMPLETED!$AZ$6:$AZ$255,0))&amp;"","")</f>
        <v/>
      </c>
      <c r="G7" s="21" t="str">
        <f aca="false">IF(C7="","",IF(D7="","Re-entry stage not set","start at "&amp;D7))</f>
        <v/>
      </c>
    </row>
    <row r="8" customFormat="false" ht="15" hidden="false" customHeight="false" outlineLevel="0" collapsed="false">
      <c r="A8" s="19" t="n">
        <v>3</v>
      </c>
      <c r="B8" s="19" t="str">
        <f aca="false">IFERROR(INDEX(COMPLETED!$B$6:$B$255,MATCH(3,COMPLETED!$AZ$6:$AZ$255,0))&amp;"","")</f>
        <v/>
      </c>
      <c r="C8" s="20" t="str">
        <f aca="false">IFERROR(INDEX(COMPLETED!$C$6:$C$255,MATCH(3,COMPLETED!$AZ$6:$AZ$255,0))&amp;"","")</f>
        <v/>
      </c>
      <c r="D8" s="19" t="str">
        <f aca="false">IFERROR(INDEX(COMPLETED!$AV$6:$AV$255,MATCH(3,COMPLETED!$AZ$6:$AZ$255,0))&amp;"","")</f>
        <v/>
      </c>
      <c r="E8" s="21" t="str">
        <f aca="false">IFERROR(INDEX(COMPLETED!$AW$6:$AW$255,MATCH(3,COMPLETED!$AZ$6:$AZ$255,0))&amp;"","")</f>
        <v/>
      </c>
      <c r="F8" s="22" t="str">
        <f aca="false">IFERROR(INDEX(COMPLETED!$AX$6:$AX$255,MATCH(3,COMPLETED!$AZ$6:$AZ$255,0))&amp;"","")</f>
        <v/>
      </c>
      <c r="G8" s="21" t="str">
        <f aca="false">IF(C8="","",IF(D8="","Re-entry stage not set","start at "&amp;D8))</f>
        <v/>
      </c>
    </row>
    <row r="9" customFormat="false" ht="15" hidden="false" customHeight="false" outlineLevel="0" collapsed="false">
      <c r="A9" s="19" t="n">
        <v>4</v>
      </c>
      <c r="B9" s="19" t="str">
        <f aca="false">IFERROR(INDEX(COMPLETED!$B$6:$B$255,MATCH(4,COMPLETED!$AZ$6:$AZ$255,0))&amp;"","")</f>
        <v/>
      </c>
      <c r="C9" s="20" t="str">
        <f aca="false">IFERROR(INDEX(COMPLETED!$C$6:$C$255,MATCH(4,COMPLETED!$AZ$6:$AZ$255,0))&amp;"","")</f>
        <v/>
      </c>
      <c r="D9" s="19" t="str">
        <f aca="false">IFERROR(INDEX(COMPLETED!$AV$6:$AV$255,MATCH(4,COMPLETED!$AZ$6:$AZ$255,0))&amp;"","")</f>
        <v/>
      </c>
      <c r="E9" s="21" t="str">
        <f aca="false">IFERROR(INDEX(COMPLETED!$AW$6:$AW$255,MATCH(4,COMPLETED!$AZ$6:$AZ$255,0))&amp;"","")</f>
        <v/>
      </c>
      <c r="F9" s="22" t="str">
        <f aca="false">IFERROR(INDEX(COMPLETED!$AX$6:$AX$255,MATCH(4,COMPLETED!$AZ$6:$AZ$255,0))&amp;"","")</f>
        <v/>
      </c>
      <c r="G9" s="21" t="str">
        <f aca="false">IF(C9="","",IF(D9="","Re-entry stage not set","start at "&amp;D9))</f>
        <v/>
      </c>
    </row>
    <row r="10" customFormat="false" ht="15" hidden="false" customHeight="false" outlineLevel="0" collapsed="false">
      <c r="A10" s="19" t="n">
        <v>5</v>
      </c>
      <c r="B10" s="19" t="str">
        <f aca="false">IFERROR(INDEX(COMPLETED!$B$6:$B$255,MATCH(5,COMPLETED!$AZ$6:$AZ$255,0))&amp;"","")</f>
        <v/>
      </c>
      <c r="C10" s="20" t="str">
        <f aca="false">IFERROR(INDEX(COMPLETED!$C$6:$C$255,MATCH(5,COMPLETED!$AZ$6:$AZ$255,0))&amp;"","")</f>
        <v/>
      </c>
      <c r="D10" s="19" t="str">
        <f aca="false">IFERROR(INDEX(COMPLETED!$AV$6:$AV$255,MATCH(5,COMPLETED!$AZ$6:$AZ$255,0))&amp;"","")</f>
        <v/>
      </c>
      <c r="E10" s="21" t="str">
        <f aca="false">IFERROR(INDEX(COMPLETED!$AW$6:$AW$255,MATCH(5,COMPLETED!$AZ$6:$AZ$255,0))&amp;"","")</f>
        <v/>
      </c>
      <c r="F10" s="22" t="str">
        <f aca="false">IFERROR(INDEX(COMPLETED!$AX$6:$AX$255,MATCH(5,COMPLETED!$AZ$6:$AZ$255,0))&amp;"","")</f>
        <v/>
      </c>
      <c r="G10" s="21" t="str">
        <f aca="false">IF(C10="","",IF(D10="","Re-entry stage not set","start at "&amp;D10))</f>
        <v/>
      </c>
    </row>
    <row r="11" customFormat="false" ht="15" hidden="false" customHeight="false" outlineLevel="0" collapsed="false">
      <c r="A11" s="19" t="n">
        <v>6</v>
      </c>
      <c r="B11" s="19" t="str">
        <f aca="false">IFERROR(INDEX(COMPLETED!$B$6:$B$255,MATCH(6,COMPLETED!$AZ$6:$AZ$255,0))&amp;"","")</f>
        <v/>
      </c>
      <c r="C11" s="20" t="str">
        <f aca="false">IFERROR(INDEX(COMPLETED!$C$6:$C$255,MATCH(6,COMPLETED!$AZ$6:$AZ$255,0))&amp;"","")</f>
        <v/>
      </c>
      <c r="D11" s="19" t="str">
        <f aca="false">IFERROR(INDEX(COMPLETED!$AV$6:$AV$255,MATCH(6,COMPLETED!$AZ$6:$AZ$255,0))&amp;"","")</f>
        <v/>
      </c>
      <c r="E11" s="21" t="str">
        <f aca="false">IFERROR(INDEX(COMPLETED!$AW$6:$AW$255,MATCH(6,COMPLETED!$AZ$6:$AZ$255,0))&amp;"","")</f>
        <v/>
      </c>
      <c r="F11" s="22" t="str">
        <f aca="false">IFERROR(INDEX(COMPLETED!$AX$6:$AX$255,MATCH(6,COMPLETED!$AZ$6:$AZ$255,0))&amp;"","")</f>
        <v/>
      </c>
      <c r="G11" s="21" t="str">
        <f aca="false">IF(C11="","",IF(D11="","Re-entry stage not set","start at "&amp;D11))</f>
        <v/>
      </c>
    </row>
    <row r="12" customFormat="false" ht="15" hidden="false" customHeight="false" outlineLevel="0" collapsed="false">
      <c r="A12" s="19" t="n">
        <v>7</v>
      </c>
      <c r="B12" s="19" t="str">
        <f aca="false">IFERROR(INDEX(COMPLETED!$B$6:$B$255,MATCH(7,COMPLETED!$AZ$6:$AZ$255,0))&amp;"","")</f>
        <v/>
      </c>
      <c r="C12" s="20" t="str">
        <f aca="false">IFERROR(INDEX(COMPLETED!$C$6:$C$255,MATCH(7,COMPLETED!$AZ$6:$AZ$255,0))&amp;"","")</f>
        <v/>
      </c>
      <c r="D12" s="19" t="str">
        <f aca="false">IFERROR(INDEX(COMPLETED!$AV$6:$AV$255,MATCH(7,COMPLETED!$AZ$6:$AZ$255,0))&amp;"","")</f>
        <v/>
      </c>
      <c r="E12" s="21" t="str">
        <f aca="false">IFERROR(INDEX(COMPLETED!$AW$6:$AW$255,MATCH(7,COMPLETED!$AZ$6:$AZ$255,0))&amp;"","")</f>
        <v/>
      </c>
      <c r="F12" s="22" t="str">
        <f aca="false">IFERROR(INDEX(COMPLETED!$AX$6:$AX$255,MATCH(7,COMPLETED!$AZ$6:$AZ$255,0))&amp;"","")</f>
        <v/>
      </c>
      <c r="G12" s="21" t="str">
        <f aca="false">IF(C12="","",IF(D12="","Re-entry stage not set","start at "&amp;D12))</f>
        <v/>
      </c>
    </row>
    <row r="13" customFormat="false" ht="15" hidden="false" customHeight="false" outlineLevel="0" collapsed="false">
      <c r="A13" s="19" t="n">
        <v>8</v>
      </c>
      <c r="B13" s="19" t="str">
        <f aca="false">IFERROR(INDEX(COMPLETED!$B$6:$B$255,MATCH(8,COMPLETED!$AZ$6:$AZ$255,0))&amp;"","")</f>
        <v/>
      </c>
      <c r="C13" s="20" t="str">
        <f aca="false">IFERROR(INDEX(COMPLETED!$C$6:$C$255,MATCH(8,COMPLETED!$AZ$6:$AZ$255,0))&amp;"","")</f>
        <v/>
      </c>
      <c r="D13" s="19" t="str">
        <f aca="false">IFERROR(INDEX(COMPLETED!$AV$6:$AV$255,MATCH(8,COMPLETED!$AZ$6:$AZ$255,0))&amp;"","")</f>
        <v/>
      </c>
      <c r="E13" s="21" t="str">
        <f aca="false">IFERROR(INDEX(COMPLETED!$AW$6:$AW$255,MATCH(8,COMPLETED!$AZ$6:$AZ$255,0))&amp;"","")</f>
        <v/>
      </c>
      <c r="F13" s="22" t="str">
        <f aca="false">IFERROR(INDEX(COMPLETED!$AX$6:$AX$255,MATCH(8,COMPLETED!$AZ$6:$AZ$255,0))&amp;"","")</f>
        <v/>
      </c>
      <c r="G13" s="21" t="str">
        <f aca="false">IF(C13="","",IF(D13="","Re-entry stage not set","start at "&amp;D13))</f>
        <v/>
      </c>
    </row>
    <row r="15" customFormat="false" ht="19.5" hidden="false" customHeight="true" outlineLevel="0" collapsed="false">
      <c r="A15" s="23" t="s">
        <v>139</v>
      </c>
      <c r="B15" s="23"/>
      <c r="C15" s="23"/>
      <c r="D15" s="23"/>
      <c r="E15" s="24" t="s">
        <v>140</v>
      </c>
      <c r="F15" s="24"/>
      <c r="G15" s="24"/>
      <c r="H15" s="24"/>
      <c r="I15" s="24"/>
      <c r="J15" s="24"/>
      <c r="K15" s="24"/>
      <c r="L15" s="25" t="s">
        <v>141</v>
      </c>
      <c r="M15" s="25"/>
      <c r="N15" s="25"/>
      <c r="O15" s="25"/>
      <c r="P15" s="25"/>
      <c r="Q15" s="25" t="s">
        <v>142</v>
      </c>
      <c r="R15" s="25"/>
      <c r="S15" s="25"/>
      <c r="T15" s="25"/>
      <c r="U15" s="25"/>
      <c r="V15" s="25" t="s">
        <v>143</v>
      </c>
      <c r="W15" s="25"/>
      <c r="X15" s="25"/>
      <c r="Y15" s="25"/>
      <c r="Z15" s="25"/>
      <c r="AA15" s="25" t="s">
        <v>144</v>
      </c>
      <c r="AB15" s="25"/>
      <c r="AC15" s="25"/>
      <c r="AD15" s="25"/>
      <c r="AE15" s="25"/>
      <c r="AF15" s="25" t="s">
        <v>145</v>
      </c>
      <c r="AG15" s="25"/>
      <c r="AH15" s="25"/>
      <c r="AI15" s="25"/>
      <c r="AJ15" s="25"/>
      <c r="AK15" s="25" t="s">
        <v>146</v>
      </c>
      <c r="AL15" s="25"/>
      <c r="AM15" s="25"/>
      <c r="AN15" s="25"/>
      <c r="AO15" s="25"/>
      <c r="AP15" s="25" t="s">
        <v>147</v>
      </c>
      <c r="AQ15" s="25"/>
      <c r="AR15" s="25"/>
      <c r="AS15" s="25"/>
      <c r="AT15" s="25"/>
      <c r="AU15" s="26" t="s">
        <v>148</v>
      </c>
      <c r="AV15" s="26"/>
      <c r="AW15" s="26"/>
      <c r="AX15" s="26"/>
      <c r="AY15" s="24" t="s">
        <v>149</v>
      </c>
      <c r="AZ15" s="24"/>
      <c r="BA15" s="24"/>
      <c r="BB15" s="24"/>
    </row>
    <row r="16" customFormat="false" ht="36" hidden="false" customHeight="true" outlineLevel="0" collapsed="false">
      <c r="A16" s="27" t="s">
        <v>150</v>
      </c>
      <c r="B16" s="27" t="s">
        <v>133</v>
      </c>
      <c r="C16" s="27" t="s">
        <v>151</v>
      </c>
      <c r="D16" s="27" t="s">
        <v>152</v>
      </c>
      <c r="E16" s="27" t="s">
        <v>153</v>
      </c>
      <c r="F16" s="27" t="s">
        <v>154</v>
      </c>
      <c r="G16" s="27" t="s">
        <v>155</v>
      </c>
      <c r="H16" s="27" t="s">
        <v>156</v>
      </c>
      <c r="I16" s="27" t="s">
        <v>157</v>
      </c>
      <c r="J16" s="27" t="s">
        <v>158</v>
      </c>
      <c r="K16" s="27" t="s">
        <v>159</v>
      </c>
      <c r="L16" s="27" t="s">
        <v>160</v>
      </c>
      <c r="M16" s="27" t="s">
        <v>35</v>
      </c>
      <c r="N16" s="27" t="s">
        <v>161</v>
      </c>
      <c r="O16" s="27" t="s">
        <v>162</v>
      </c>
      <c r="P16" s="27" t="s">
        <v>163</v>
      </c>
      <c r="Q16" s="27" t="s">
        <v>160</v>
      </c>
      <c r="R16" s="27" t="s">
        <v>35</v>
      </c>
      <c r="S16" s="27" t="s">
        <v>161</v>
      </c>
      <c r="T16" s="27" t="s">
        <v>162</v>
      </c>
      <c r="U16" s="27" t="s">
        <v>163</v>
      </c>
      <c r="V16" s="27" t="s">
        <v>160</v>
      </c>
      <c r="W16" s="27" t="s">
        <v>35</v>
      </c>
      <c r="X16" s="27" t="s">
        <v>161</v>
      </c>
      <c r="Y16" s="27" t="s">
        <v>162</v>
      </c>
      <c r="Z16" s="27" t="s">
        <v>163</v>
      </c>
      <c r="AA16" s="27" t="s">
        <v>164</v>
      </c>
      <c r="AB16" s="27" t="s">
        <v>35</v>
      </c>
      <c r="AC16" s="27" t="s">
        <v>161</v>
      </c>
      <c r="AD16" s="27" t="s">
        <v>162</v>
      </c>
      <c r="AE16" s="27" t="s">
        <v>163</v>
      </c>
      <c r="AF16" s="27" t="s">
        <v>160</v>
      </c>
      <c r="AG16" s="27" t="s">
        <v>35</v>
      </c>
      <c r="AH16" s="27" t="s">
        <v>161</v>
      </c>
      <c r="AI16" s="27" t="s">
        <v>162</v>
      </c>
      <c r="AJ16" s="27" t="s">
        <v>163</v>
      </c>
      <c r="AK16" s="27" t="s">
        <v>160</v>
      </c>
      <c r="AL16" s="27" t="s">
        <v>35</v>
      </c>
      <c r="AM16" s="27" t="s">
        <v>161</v>
      </c>
      <c r="AN16" s="27" t="s">
        <v>162</v>
      </c>
      <c r="AO16" s="27" t="s">
        <v>163</v>
      </c>
      <c r="AP16" s="27" t="s">
        <v>160</v>
      </c>
      <c r="AQ16" s="27" t="s">
        <v>35</v>
      </c>
      <c r="AR16" s="27" t="s">
        <v>161</v>
      </c>
      <c r="AS16" s="27" t="s">
        <v>162</v>
      </c>
      <c r="AT16" s="27" t="s">
        <v>163</v>
      </c>
      <c r="AU16" s="27" t="s">
        <v>165</v>
      </c>
      <c r="AV16" s="27" t="s">
        <v>166</v>
      </c>
      <c r="AW16" s="27" t="s">
        <v>136</v>
      </c>
      <c r="AX16" s="27" t="s">
        <v>137</v>
      </c>
      <c r="AY16" s="27" t="s">
        <v>167</v>
      </c>
      <c r="AZ16" s="27" t="s">
        <v>168</v>
      </c>
      <c r="BA16" s="27" t="s">
        <v>169</v>
      </c>
    </row>
    <row r="17" customFormat="false" ht="19.5" hidden="false" customHeight="true" outlineLevel="0" collapsed="false">
      <c r="A17" s="28" t="str">
        <f aca="false">IF($C17="","",COUNTA($C$17:$C17))</f>
        <v/>
      </c>
      <c r="B17" s="29"/>
      <c r="C17" s="30"/>
      <c r="D17" s="29"/>
      <c r="E17" s="31" t="str">
        <f aca="false">IF($C17="","",IF(NOT(OR(M17="Completed",M17="NA",M17="Cancelled")),"S1 Schematic",IF(NOT(OR(R17="Completed",R17="NA",R17="Cancelled")),"S2 PCB Layout",IF(NOT(OR(W17="Completed",W17="NA",W17="Cancelled")),"S3 SI &amp; PI",IF(NOT(OR(AB17="Completed",AB17="NA",AB17="Cancelled")),"S4 Bare-PCB Fab",IF(NOT(OR(AG17="Completed",AG17="NA",AG17="Cancelled")),"S5 Assembly",IF(NOT(OR(AL17="Completed",AL17="NA",AL17="Cancelled")),"S6 Bring-up",IF(NOT(OR(AQ17="Completed",AQ17="NA",AQ17="Cancelled")),"S7 BOM Procurement","All Stages Closed"))))))))</f>
        <v/>
      </c>
      <c r="F17" s="32" t="str">
        <f aca="false">IF($C17="","",IF(COUNTIF(M17,"Cancelled")+COUNTIF(R17,"Cancelled")+COUNTIF(W17,"Cancelled")+COUNTIF(AB17,"Cancelled")+COUNTIF(AG17,"Cancelled")+COUNTIF(AL17,"Cancelled")+COUNTIF(AQ17,"Cancelled")&gt;0,"Cancelled",IF(E17="All Stages Closed","Completed",IF(E17="S1 Schematic",M17,IF(E17="S2 PCB Layout",R17,IF(E17="S3 SI &amp; PI",W17,IF(E17="S4 Bare-PCB Fab",AB17,IF(E17="S5 Assembly",AG17,IF(E17="S6 Bring-up",AL17,AQ17)))))))))</f>
        <v/>
      </c>
      <c r="G17" s="33" t="str">
        <f aca="false">IF($C17="","",IF(E17="All Stages Closed","",IF(E17="S1 Schematic",IF(N17="","Not added",N17),IF(E17="S2 PCB Layout",IF(S17="","Not added",S17),IF(E17="S3 SI &amp; PI",IF(X17="","Not added",X17),IF(E17="S4 Bare-PCB Fab",IF(AC17="","Not added",AC17),IF(E17="S5 Assembly",IF(AH17="","Not added",AH17),IF(E17="S6 Bring-up",IF(AM17="","Not added",AM17),IF(AR17="","Not added",AR17)))))))))</f>
        <v/>
      </c>
      <c r="H17" s="32" t="str">
        <f aca="true">IF($C17="","",IF(OR(F17="Completed",F17="Cancelled"),"",IF(NOT(ISNUMBER(G17)),"No date set",IF(TODAY()&gt;G17,TODAY()-G17&amp;" days late",G17-TODAY()&amp;" days left"))))</f>
        <v/>
      </c>
      <c r="I17" s="31" t="str">
        <f aca="false">IF($C17="","",COUNTIF(M17,"Completed")+COUNTIF(R17,"Completed")+COUNTIF(W17,"Completed")+COUNTIF(AB17,"Completed")+COUNTIF(AG17,"Completed")+COUNTIF(AL17,"Completed")+COUNTIF(AQ17,"Completed"))</f>
        <v/>
      </c>
      <c r="J17" s="31" t="str">
        <f aca="false">IF($C17="","",7-(COUNTIF(M17,"NA")+COUNTIF(R17,"NA")+COUNTIF(W17,"NA")+COUNTIF(AB17,"NA")+COUNTIF(AG17,"NA")+COUNTIF(AL17,"NA")+COUNTIF(AQ17,"NA")))</f>
        <v/>
      </c>
      <c r="K17" s="34" t="str">
        <f aca="false">IFERROR(I17/J17,"")</f>
        <v/>
      </c>
      <c r="L17" s="29"/>
      <c r="M17" s="35"/>
      <c r="N17" s="36"/>
      <c r="O17" s="36"/>
      <c r="P17" s="30"/>
      <c r="Q17" s="29"/>
      <c r="R17" s="35"/>
      <c r="S17" s="36"/>
      <c r="T17" s="36"/>
      <c r="U17" s="30"/>
      <c r="V17" s="29"/>
      <c r="W17" s="35"/>
      <c r="X17" s="36"/>
      <c r="Y17" s="36"/>
      <c r="Z17" s="30"/>
      <c r="AA17" s="29"/>
      <c r="AB17" s="35"/>
      <c r="AC17" s="36"/>
      <c r="AD17" s="36"/>
      <c r="AE17" s="30"/>
      <c r="AF17" s="29"/>
      <c r="AG17" s="35"/>
      <c r="AH17" s="36"/>
      <c r="AI17" s="36"/>
      <c r="AJ17" s="30"/>
      <c r="AK17" s="29"/>
      <c r="AL17" s="35"/>
      <c r="AM17" s="36"/>
      <c r="AN17" s="36"/>
      <c r="AO17" s="30"/>
      <c r="AP17" s="29"/>
      <c r="AQ17" s="35"/>
      <c r="AR17" s="36"/>
      <c r="AS17" s="36"/>
      <c r="AT17" s="30"/>
      <c r="AU17" s="29"/>
      <c r="AV17" s="29"/>
      <c r="AW17" s="29"/>
      <c r="AX17" s="37"/>
      <c r="AY17" s="29"/>
      <c r="AZ17" s="38" t="str">
        <f aca="false">IF($C17="","",IF(OR(F17="Completed",F17="Cancelled"),"",IF(AND(OR(F17="On Hold",ISNUMBER(VALUE(LEFT(H17,2)))),AY17=""),"Reason not given","")))</f>
        <v/>
      </c>
      <c r="BA17" s="30"/>
    </row>
    <row r="18" customFormat="false" ht="19.5" hidden="false" customHeight="true" outlineLevel="0" collapsed="false">
      <c r="A18" s="28" t="str">
        <f aca="false">IF($C18="","",COUNTA($C$17:$C18))</f>
        <v/>
      </c>
      <c r="B18" s="29"/>
      <c r="C18" s="30"/>
      <c r="D18" s="29"/>
      <c r="E18" s="31" t="str">
        <f aca="false">IF($C18="","",IF(NOT(OR(M18="Completed",M18="NA",M18="Cancelled")),"S1 Schematic",IF(NOT(OR(R18="Completed",R18="NA",R18="Cancelled")),"S2 PCB Layout",IF(NOT(OR(W18="Completed",W18="NA",W18="Cancelled")),"S3 SI &amp; PI",IF(NOT(OR(AB18="Completed",AB18="NA",AB18="Cancelled")),"S4 Bare-PCB Fab",IF(NOT(OR(AG18="Completed",AG18="NA",AG18="Cancelled")),"S5 Assembly",IF(NOT(OR(AL18="Completed",AL18="NA",AL18="Cancelled")),"S6 Bring-up",IF(NOT(OR(AQ18="Completed",AQ18="NA",AQ18="Cancelled")),"S7 BOM Procurement","All Stages Closed"))))))))</f>
        <v/>
      </c>
      <c r="F18" s="32" t="str">
        <f aca="false">IF($C18="","",IF(COUNTIF(M18,"Cancelled")+COUNTIF(R18,"Cancelled")+COUNTIF(W18,"Cancelled")+COUNTIF(AB18,"Cancelled")+COUNTIF(AG18,"Cancelled")+COUNTIF(AL18,"Cancelled")+COUNTIF(AQ18,"Cancelled")&gt;0,"Cancelled",IF(E18="All Stages Closed","Completed",IF(E18="S1 Schematic",M18,IF(E18="S2 PCB Layout",R18,IF(E18="S3 SI &amp; PI",W18,IF(E18="S4 Bare-PCB Fab",AB18,IF(E18="S5 Assembly",AG18,IF(E18="S6 Bring-up",AL18,AQ18)))))))))</f>
        <v/>
      </c>
      <c r="G18" s="33" t="str">
        <f aca="false">IF($C18="","",IF(E18="All Stages Closed","",IF(E18="S1 Schematic",IF(N18="","Not added",N18),IF(E18="S2 PCB Layout",IF(S18="","Not added",S18),IF(E18="S3 SI &amp; PI",IF(X18="","Not added",X18),IF(E18="S4 Bare-PCB Fab",IF(AC18="","Not added",AC18),IF(E18="S5 Assembly",IF(AH18="","Not added",AH18),IF(E18="S6 Bring-up",IF(AM18="","Not added",AM18),IF(AR18="","Not added",AR18)))))))))</f>
        <v/>
      </c>
      <c r="H18" s="32" t="str">
        <f aca="true">IF($C18="","",IF(OR(F18="Completed",F18="Cancelled"),"",IF(NOT(ISNUMBER(G18)),"No date set",IF(TODAY()&gt;G18,TODAY()-G18&amp;" days late",G18-TODAY()&amp;" days left"))))</f>
        <v/>
      </c>
      <c r="I18" s="31" t="str">
        <f aca="false">IF($C18="","",COUNTIF(M18,"Completed")+COUNTIF(R18,"Completed")+COUNTIF(W18,"Completed")+COUNTIF(AB18,"Completed")+COUNTIF(AG18,"Completed")+COUNTIF(AL18,"Completed")+COUNTIF(AQ18,"Completed"))</f>
        <v/>
      </c>
      <c r="J18" s="31" t="str">
        <f aca="false">IF($C18="","",7-(COUNTIF(M18,"NA")+COUNTIF(R18,"NA")+COUNTIF(W18,"NA")+COUNTIF(AB18,"NA")+COUNTIF(AG18,"NA")+COUNTIF(AL18,"NA")+COUNTIF(AQ18,"NA")))</f>
        <v/>
      </c>
      <c r="K18" s="34" t="str">
        <f aca="false">IFERROR(I18/J18,"")</f>
        <v/>
      </c>
      <c r="L18" s="29"/>
      <c r="M18" s="35"/>
      <c r="N18" s="36"/>
      <c r="O18" s="36"/>
      <c r="P18" s="30"/>
      <c r="Q18" s="29"/>
      <c r="R18" s="35"/>
      <c r="S18" s="36"/>
      <c r="T18" s="36"/>
      <c r="U18" s="30"/>
      <c r="V18" s="29"/>
      <c r="W18" s="35"/>
      <c r="X18" s="36"/>
      <c r="Y18" s="36"/>
      <c r="Z18" s="30"/>
      <c r="AA18" s="29"/>
      <c r="AB18" s="35"/>
      <c r="AC18" s="36"/>
      <c r="AD18" s="36"/>
      <c r="AE18" s="30"/>
      <c r="AF18" s="29"/>
      <c r="AG18" s="35"/>
      <c r="AH18" s="36"/>
      <c r="AI18" s="36"/>
      <c r="AJ18" s="30"/>
      <c r="AK18" s="29"/>
      <c r="AL18" s="35"/>
      <c r="AM18" s="36"/>
      <c r="AN18" s="36"/>
      <c r="AO18" s="30"/>
      <c r="AP18" s="29"/>
      <c r="AQ18" s="35"/>
      <c r="AR18" s="36"/>
      <c r="AS18" s="36"/>
      <c r="AT18" s="30"/>
      <c r="AU18" s="29"/>
      <c r="AV18" s="29"/>
      <c r="AW18" s="29"/>
      <c r="AX18" s="37"/>
      <c r="AY18" s="29"/>
      <c r="AZ18" s="38" t="str">
        <f aca="false">IF($C18="","",IF(OR(F18="Completed",F18="Cancelled"),"",IF(AND(OR(F18="On Hold",ISNUMBER(VALUE(LEFT(H18,2)))),AY18=""),"Reason not given","")))</f>
        <v/>
      </c>
      <c r="BA18" s="30"/>
    </row>
    <row r="19" customFormat="false" ht="19.5" hidden="false" customHeight="true" outlineLevel="0" collapsed="false">
      <c r="A19" s="28" t="str">
        <f aca="false">IF($C19="","",COUNTA($C$17:$C19))</f>
        <v/>
      </c>
      <c r="B19" s="29"/>
      <c r="C19" s="30"/>
      <c r="D19" s="29"/>
      <c r="E19" s="31" t="str">
        <f aca="false">IF($C19="","",IF(NOT(OR(M19="Completed",M19="NA",M19="Cancelled")),"S1 Schematic",IF(NOT(OR(R19="Completed",R19="NA",R19="Cancelled")),"S2 PCB Layout",IF(NOT(OR(W19="Completed",W19="NA",W19="Cancelled")),"S3 SI &amp; PI",IF(NOT(OR(AB19="Completed",AB19="NA",AB19="Cancelled")),"S4 Bare-PCB Fab",IF(NOT(OR(AG19="Completed",AG19="NA",AG19="Cancelled")),"S5 Assembly",IF(NOT(OR(AL19="Completed",AL19="NA",AL19="Cancelled")),"S6 Bring-up",IF(NOT(OR(AQ19="Completed",AQ19="NA",AQ19="Cancelled")),"S7 BOM Procurement","All Stages Closed"))))))))</f>
        <v/>
      </c>
      <c r="F19" s="32" t="str">
        <f aca="false">IF($C19="","",IF(COUNTIF(M19,"Cancelled")+COUNTIF(R19,"Cancelled")+COUNTIF(W19,"Cancelled")+COUNTIF(AB19,"Cancelled")+COUNTIF(AG19,"Cancelled")+COUNTIF(AL19,"Cancelled")+COUNTIF(AQ19,"Cancelled")&gt;0,"Cancelled",IF(E19="All Stages Closed","Completed",IF(E19="S1 Schematic",M19,IF(E19="S2 PCB Layout",R19,IF(E19="S3 SI &amp; PI",W19,IF(E19="S4 Bare-PCB Fab",AB19,IF(E19="S5 Assembly",AG19,IF(E19="S6 Bring-up",AL19,AQ19)))))))))</f>
        <v/>
      </c>
      <c r="G19" s="33" t="str">
        <f aca="false">IF($C19="","",IF(E19="All Stages Closed","",IF(E19="S1 Schematic",IF(N19="","Not added",N19),IF(E19="S2 PCB Layout",IF(S19="","Not added",S19),IF(E19="S3 SI &amp; PI",IF(X19="","Not added",X19),IF(E19="S4 Bare-PCB Fab",IF(AC19="","Not added",AC19),IF(E19="S5 Assembly",IF(AH19="","Not added",AH19),IF(E19="S6 Bring-up",IF(AM19="","Not added",AM19),IF(AR19="","Not added",AR19)))))))))</f>
        <v/>
      </c>
      <c r="H19" s="32" t="str">
        <f aca="true">IF($C19="","",IF(OR(F19="Completed",F19="Cancelled"),"",IF(NOT(ISNUMBER(G19)),"No date set",IF(TODAY()&gt;G19,TODAY()-G19&amp;" days late",G19-TODAY()&amp;" days left"))))</f>
        <v/>
      </c>
      <c r="I19" s="31" t="str">
        <f aca="false">IF($C19="","",COUNTIF(M19,"Completed")+COUNTIF(R19,"Completed")+COUNTIF(W19,"Completed")+COUNTIF(AB19,"Completed")+COUNTIF(AG19,"Completed")+COUNTIF(AL19,"Completed")+COUNTIF(AQ19,"Completed"))</f>
        <v/>
      </c>
      <c r="J19" s="31" t="str">
        <f aca="false">IF($C19="","",7-(COUNTIF(M19,"NA")+COUNTIF(R19,"NA")+COUNTIF(W19,"NA")+COUNTIF(AB19,"NA")+COUNTIF(AG19,"NA")+COUNTIF(AL19,"NA")+COUNTIF(AQ19,"NA")))</f>
        <v/>
      </c>
      <c r="K19" s="34" t="str">
        <f aca="false">IFERROR(I19/J19,"")</f>
        <v/>
      </c>
      <c r="L19" s="29"/>
      <c r="M19" s="35"/>
      <c r="N19" s="36"/>
      <c r="O19" s="36"/>
      <c r="P19" s="30"/>
      <c r="Q19" s="29"/>
      <c r="R19" s="35"/>
      <c r="S19" s="36"/>
      <c r="T19" s="36"/>
      <c r="U19" s="30"/>
      <c r="V19" s="29"/>
      <c r="W19" s="35"/>
      <c r="X19" s="36"/>
      <c r="Y19" s="36"/>
      <c r="Z19" s="30"/>
      <c r="AA19" s="29"/>
      <c r="AB19" s="35"/>
      <c r="AC19" s="36"/>
      <c r="AD19" s="36"/>
      <c r="AE19" s="30"/>
      <c r="AF19" s="29"/>
      <c r="AG19" s="35"/>
      <c r="AH19" s="36"/>
      <c r="AI19" s="36"/>
      <c r="AJ19" s="30"/>
      <c r="AK19" s="29"/>
      <c r="AL19" s="35"/>
      <c r="AM19" s="36"/>
      <c r="AN19" s="36"/>
      <c r="AO19" s="30"/>
      <c r="AP19" s="29"/>
      <c r="AQ19" s="35"/>
      <c r="AR19" s="36"/>
      <c r="AS19" s="36"/>
      <c r="AT19" s="30"/>
      <c r="AU19" s="29"/>
      <c r="AV19" s="29"/>
      <c r="AW19" s="29"/>
      <c r="AX19" s="37"/>
      <c r="AY19" s="29"/>
      <c r="AZ19" s="38" t="str">
        <f aca="false">IF($C19="","",IF(OR(F19="Completed",F19="Cancelled"),"",IF(AND(OR(F19="On Hold",ISNUMBER(VALUE(LEFT(H19,2)))),AY19=""),"Reason not given","")))</f>
        <v/>
      </c>
      <c r="BA19" s="30"/>
    </row>
    <row r="20" customFormat="false" ht="19.5" hidden="false" customHeight="true" outlineLevel="0" collapsed="false">
      <c r="A20" s="28" t="str">
        <f aca="false">IF($C20="","",COUNTA($C$17:$C20))</f>
        <v/>
      </c>
      <c r="B20" s="29"/>
      <c r="C20" s="30"/>
      <c r="D20" s="29"/>
      <c r="E20" s="31" t="str">
        <f aca="false">IF($C20="","",IF(NOT(OR(M20="Completed",M20="NA",M20="Cancelled")),"S1 Schematic",IF(NOT(OR(R20="Completed",R20="NA",R20="Cancelled")),"S2 PCB Layout",IF(NOT(OR(W20="Completed",W20="NA",W20="Cancelled")),"S3 SI &amp; PI",IF(NOT(OR(AB20="Completed",AB20="NA",AB20="Cancelled")),"S4 Bare-PCB Fab",IF(NOT(OR(AG20="Completed",AG20="NA",AG20="Cancelled")),"S5 Assembly",IF(NOT(OR(AL20="Completed",AL20="NA",AL20="Cancelled")),"S6 Bring-up",IF(NOT(OR(AQ20="Completed",AQ20="NA",AQ20="Cancelled")),"S7 BOM Procurement","All Stages Closed"))))))))</f>
        <v/>
      </c>
      <c r="F20" s="32" t="str">
        <f aca="false">IF($C20="","",IF(COUNTIF(M20,"Cancelled")+COUNTIF(R20,"Cancelled")+COUNTIF(W20,"Cancelled")+COUNTIF(AB20,"Cancelled")+COUNTIF(AG20,"Cancelled")+COUNTIF(AL20,"Cancelled")+COUNTIF(AQ20,"Cancelled")&gt;0,"Cancelled",IF(E20="All Stages Closed","Completed",IF(E20="S1 Schematic",M20,IF(E20="S2 PCB Layout",R20,IF(E20="S3 SI &amp; PI",W20,IF(E20="S4 Bare-PCB Fab",AB20,IF(E20="S5 Assembly",AG20,IF(E20="S6 Bring-up",AL20,AQ20)))))))))</f>
        <v/>
      </c>
      <c r="G20" s="33" t="str">
        <f aca="false">IF($C20="","",IF(E20="All Stages Closed","",IF(E20="S1 Schematic",IF(N20="","Not added",N20),IF(E20="S2 PCB Layout",IF(S20="","Not added",S20),IF(E20="S3 SI &amp; PI",IF(X20="","Not added",X20),IF(E20="S4 Bare-PCB Fab",IF(AC20="","Not added",AC20),IF(E20="S5 Assembly",IF(AH20="","Not added",AH20),IF(E20="S6 Bring-up",IF(AM20="","Not added",AM20),IF(AR20="","Not added",AR20)))))))))</f>
        <v/>
      </c>
      <c r="H20" s="32" t="str">
        <f aca="true">IF($C20="","",IF(OR(F20="Completed",F20="Cancelled"),"",IF(NOT(ISNUMBER(G20)),"No date set",IF(TODAY()&gt;G20,TODAY()-G20&amp;" days late",G20-TODAY()&amp;" days left"))))</f>
        <v/>
      </c>
      <c r="I20" s="31" t="str">
        <f aca="false">IF($C20="","",COUNTIF(M20,"Completed")+COUNTIF(R20,"Completed")+COUNTIF(W20,"Completed")+COUNTIF(AB20,"Completed")+COUNTIF(AG20,"Completed")+COUNTIF(AL20,"Completed")+COUNTIF(AQ20,"Completed"))</f>
        <v/>
      </c>
      <c r="J20" s="31" t="str">
        <f aca="false">IF($C20="","",7-(COUNTIF(M20,"NA")+COUNTIF(R20,"NA")+COUNTIF(W20,"NA")+COUNTIF(AB20,"NA")+COUNTIF(AG20,"NA")+COUNTIF(AL20,"NA")+COUNTIF(AQ20,"NA")))</f>
        <v/>
      </c>
      <c r="K20" s="34" t="str">
        <f aca="false">IFERROR(I20/J20,"")</f>
        <v/>
      </c>
      <c r="L20" s="29"/>
      <c r="M20" s="35"/>
      <c r="N20" s="36"/>
      <c r="O20" s="36"/>
      <c r="P20" s="30"/>
      <c r="Q20" s="29"/>
      <c r="R20" s="35"/>
      <c r="S20" s="36"/>
      <c r="T20" s="36"/>
      <c r="U20" s="30"/>
      <c r="V20" s="29"/>
      <c r="W20" s="35"/>
      <c r="X20" s="36"/>
      <c r="Y20" s="36"/>
      <c r="Z20" s="30"/>
      <c r="AA20" s="29"/>
      <c r="AB20" s="35"/>
      <c r="AC20" s="36"/>
      <c r="AD20" s="36"/>
      <c r="AE20" s="30"/>
      <c r="AF20" s="29"/>
      <c r="AG20" s="35"/>
      <c r="AH20" s="36"/>
      <c r="AI20" s="36"/>
      <c r="AJ20" s="30"/>
      <c r="AK20" s="29"/>
      <c r="AL20" s="35"/>
      <c r="AM20" s="36"/>
      <c r="AN20" s="36"/>
      <c r="AO20" s="30"/>
      <c r="AP20" s="29"/>
      <c r="AQ20" s="35"/>
      <c r="AR20" s="36"/>
      <c r="AS20" s="36"/>
      <c r="AT20" s="30"/>
      <c r="AU20" s="29"/>
      <c r="AV20" s="29"/>
      <c r="AW20" s="29"/>
      <c r="AX20" s="37"/>
      <c r="AY20" s="29"/>
      <c r="AZ20" s="38" t="str">
        <f aca="false">IF($C20="","",IF(OR(F20="Completed",F20="Cancelled"),"",IF(AND(OR(F20="On Hold",ISNUMBER(VALUE(LEFT(H20,2)))),AY20=""),"Reason not given","")))</f>
        <v/>
      </c>
      <c r="BA20" s="30"/>
    </row>
    <row r="21" customFormat="false" ht="19.5" hidden="false" customHeight="true" outlineLevel="0" collapsed="false">
      <c r="A21" s="28" t="str">
        <f aca="false">IF($C21="","",COUNTA($C$17:$C21))</f>
        <v/>
      </c>
      <c r="B21" s="29"/>
      <c r="C21" s="30"/>
      <c r="D21" s="29"/>
      <c r="E21" s="31" t="str">
        <f aca="false">IF($C21="","",IF(NOT(OR(M21="Completed",M21="NA",M21="Cancelled")),"S1 Schematic",IF(NOT(OR(R21="Completed",R21="NA",R21="Cancelled")),"S2 PCB Layout",IF(NOT(OR(W21="Completed",W21="NA",W21="Cancelled")),"S3 SI &amp; PI",IF(NOT(OR(AB21="Completed",AB21="NA",AB21="Cancelled")),"S4 Bare-PCB Fab",IF(NOT(OR(AG21="Completed",AG21="NA",AG21="Cancelled")),"S5 Assembly",IF(NOT(OR(AL21="Completed",AL21="NA",AL21="Cancelled")),"S6 Bring-up",IF(NOT(OR(AQ21="Completed",AQ21="NA",AQ21="Cancelled")),"S7 BOM Procurement","All Stages Closed"))))))))</f>
        <v/>
      </c>
      <c r="F21" s="32" t="str">
        <f aca="false">IF($C21="","",IF(COUNTIF(M21,"Cancelled")+COUNTIF(R21,"Cancelled")+COUNTIF(W21,"Cancelled")+COUNTIF(AB21,"Cancelled")+COUNTIF(AG21,"Cancelled")+COUNTIF(AL21,"Cancelled")+COUNTIF(AQ21,"Cancelled")&gt;0,"Cancelled",IF(E21="All Stages Closed","Completed",IF(E21="S1 Schematic",M21,IF(E21="S2 PCB Layout",R21,IF(E21="S3 SI &amp; PI",W21,IF(E21="S4 Bare-PCB Fab",AB21,IF(E21="S5 Assembly",AG21,IF(E21="S6 Bring-up",AL21,AQ21)))))))))</f>
        <v/>
      </c>
      <c r="G21" s="33" t="str">
        <f aca="false">IF($C21="","",IF(E21="All Stages Closed","",IF(E21="S1 Schematic",IF(N21="","Not added",N21),IF(E21="S2 PCB Layout",IF(S21="","Not added",S21),IF(E21="S3 SI &amp; PI",IF(X21="","Not added",X21),IF(E21="S4 Bare-PCB Fab",IF(AC21="","Not added",AC21),IF(E21="S5 Assembly",IF(AH21="","Not added",AH21),IF(E21="S6 Bring-up",IF(AM21="","Not added",AM21),IF(AR21="","Not added",AR21)))))))))</f>
        <v/>
      </c>
      <c r="H21" s="32" t="str">
        <f aca="true">IF($C21="","",IF(OR(F21="Completed",F21="Cancelled"),"",IF(NOT(ISNUMBER(G21)),"No date set",IF(TODAY()&gt;G21,TODAY()-G21&amp;" days late",G21-TODAY()&amp;" days left"))))</f>
        <v/>
      </c>
      <c r="I21" s="31" t="str">
        <f aca="false">IF($C21="","",COUNTIF(M21,"Completed")+COUNTIF(R21,"Completed")+COUNTIF(W21,"Completed")+COUNTIF(AB21,"Completed")+COUNTIF(AG21,"Completed")+COUNTIF(AL21,"Completed")+COUNTIF(AQ21,"Completed"))</f>
        <v/>
      </c>
      <c r="J21" s="31" t="str">
        <f aca="false">IF($C21="","",7-(COUNTIF(M21,"NA")+COUNTIF(R21,"NA")+COUNTIF(W21,"NA")+COUNTIF(AB21,"NA")+COUNTIF(AG21,"NA")+COUNTIF(AL21,"NA")+COUNTIF(AQ21,"NA")))</f>
        <v/>
      </c>
      <c r="K21" s="34" t="str">
        <f aca="false">IFERROR(I21/J21,"")</f>
        <v/>
      </c>
      <c r="L21" s="29"/>
      <c r="M21" s="35"/>
      <c r="N21" s="36"/>
      <c r="O21" s="36"/>
      <c r="P21" s="30"/>
      <c r="Q21" s="29"/>
      <c r="R21" s="35"/>
      <c r="S21" s="36"/>
      <c r="T21" s="36"/>
      <c r="U21" s="30"/>
      <c r="V21" s="29"/>
      <c r="W21" s="35"/>
      <c r="X21" s="36"/>
      <c r="Y21" s="36"/>
      <c r="Z21" s="30"/>
      <c r="AA21" s="29"/>
      <c r="AB21" s="35"/>
      <c r="AC21" s="36"/>
      <c r="AD21" s="36"/>
      <c r="AE21" s="30"/>
      <c r="AF21" s="29"/>
      <c r="AG21" s="35"/>
      <c r="AH21" s="36"/>
      <c r="AI21" s="36"/>
      <c r="AJ21" s="30"/>
      <c r="AK21" s="29"/>
      <c r="AL21" s="35"/>
      <c r="AM21" s="36"/>
      <c r="AN21" s="36"/>
      <c r="AO21" s="30"/>
      <c r="AP21" s="29"/>
      <c r="AQ21" s="35"/>
      <c r="AR21" s="36"/>
      <c r="AS21" s="36"/>
      <c r="AT21" s="30"/>
      <c r="AU21" s="29"/>
      <c r="AV21" s="29"/>
      <c r="AW21" s="29"/>
      <c r="AX21" s="37"/>
      <c r="AY21" s="29"/>
      <c r="AZ21" s="38" t="str">
        <f aca="false">IF($C21="","",IF(OR(F21="Completed",F21="Cancelled"),"",IF(AND(OR(F21="On Hold",ISNUMBER(VALUE(LEFT(H21,2)))),AY21=""),"Reason not given","")))</f>
        <v/>
      </c>
      <c r="BA21" s="30"/>
    </row>
    <row r="22" customFormat="false" ht="19.5" hidden="false" customHeight="true" outlineLevel="0" collapsed="false">
      <c r="A22" s="28" t="str">
        <f aca="false">IF($C22="","",COUNTA($C$17:$C22))</f>
        <v/>
      </c>
      <c r="B22" s="29"/>
      <c r="C22" s="30"/>
      <c r="D22" s="29"/>
      <c r="E22" s="31" t="str">
        <f aca="false">IF($C22="","",IF(NOT(OR(M22="Completed",M22="NA",M22="Cancelled")),"S1 Schematic",IF(NOT(OR(R22="Completed",R22="NA",R22="Cancelled")),"S2 PCB Layout",IF(NOT(OR(W22="Completed",W22="NA",W22="Cancelled")),"S3 SI &amp; PI",IF(NOT(OR(AB22="Completed",AB22="NA",AB22="Cancelled")),"S4 Bare-PCB Fab",IF(NOT(OR(AG22="Completed",AG22="NA",AG22="Cancelled")),"S5 Assembly",IF(NOT(OR(AL22="Completed",AL22="NA",AL22="Cancelled")),"S6 Bring-up",IF(NOT(OR(AQ22="Completed",AQ22="NA",AQ22="Cancelled")),"S7 BOM Procurement","All Stages Closed"))))))))</f>
        <v/>
      </c>
      <c r="F22" s="32" t="str">
        <f aca="false">IF($C22="","",IF(COUNTIF(M22,"Cancelled")+COUNTIF(R22,"Cancelled")+COUNTIF(W22,"Cancelled")+COUNTIF(AB22,"Cancelled")+COUNTIF(AG22,"Cancelled")+COUNTIF(AL22,"Cancelled")+COUNTIF(AQ22,"Cancelled")&gt;0,"Cancelled",IF(E22="All Stages Closed","Completed",IF(E22="S1 Schematic",M22,IF(E22="S2 PCB Layout",R22,IF(E22="S3 SI &amp; PI",W22,IF(E22="S4 Bare-PCB Fab",AB22,IF(E22="S5 Assembly",AG22,IF(E22="S6 Bring-up",AL22,AQ22)))))))))</f>
        <v/>
      </c>
      <c r="G22" s="33" t="str">
        <f aca="false">IF($C22="","",IF(E22="All Stages Closed","",IF(E22="S1 Schematic",IF(N22="","Not added",N22),IF(E22="S2 PCB Layout",IF(S22="","Not added",S22),IF(E22="S3 SI &amp; PI",IF(X22="","Not added",X22),IF(E22="S4 Bare-PCB Fab",IF(AC22="","Not added",AC22),IF(E22="S5 Assembly",IF(AH22="","Not added",AH22),IF(E22="S6 Bring-up",IF(AM22="","Not added",AM22),IF(AR22="","Not added",AR22)))))))))</f>
        <v/>
      </c>
      <c r="H22" s="32" t="str">
        <f aca="true">IF($C22="","",IF(OR(F22="Completed",F22="Cancelled"),"",IF(NOT(ISNUMBER(G22)),"No date set",IF(TODAY()&gt;G22,TODAY()-G22&amp;" days late",G22-TODAY()&amp;" days left"))))</f>
        <v/>
      </c>
      <c r="I22" s="31" t="str">
        <f aca="false">IF($C22="","",COUNTIF(M22,"Completed")+COUNTIF(R22,"Completed")+COUNTIF(W22,"Completed")+COUNTIF(AB22,"Completed")+COUNTIF(AG22,"Completed")+COUNTIF(AL22,"Completed")+COUNTIF(AQ22,"Completed"))</f>
        <v/>
      </c>
      <c r="J22" s="31" t="str">
        <f aca="false">IF($C22="","",7-(COUNTIF(M22,"NA")+COUNTIF(R22,"NA")+COUNTIF(W22,"NA")+COUNTIF(AB22,"NA")+COUNTIF(AG22,"NA")+COUNTIF(AL22,"NA")+COUNTIF(AQ22,"NA")))</f>
        <v/>
      </c>
      <c r="K22" s="34" t="str">
        <f aca="false">IFERROR(I22/J22,"")</f>
        <v/>
      </c>
      <c r="L22" s="29"/>
      <c r="M22" s="35"/>
      <c r="N22" s="36"/>
      <c r="O22" s="36"/>
      <c r="P22" s="30"/>
      <c r="Q22" s="29"/>
      <c r="R22" s="35"/>
      <c r="S22" s="36"/>
      <c r="T22" s="36"/>
      <c r="U22" s="30"/>
      <c r="V22" s="29"/>
      <c r="W22" s="35"/>
      <c r="X22" s="36"/>
      <c r="Y22" s="36"/>
      <c r="Z22" s="30"/>
      <c r="AA22" s="29"/>
      <c r="AB22" s="35"/>
      <c r="AC22" s="36"/>
      <c r="AD22" s="36"/>
      <c r="AE22" s="30"/>
      <c r="AF22" s="29"/>
      <c r="AG22" s="35"/>
      <c r="AH22" s="36"/>
      <c r="AI22" s="36"/>
      <c r="AJ22" s="30"/>
      <c r="AK22" s="29"/>
      <c r="AL22" s="35"/>
      <c r="AM22" s="36"/>
      <c r="AN22" s="36"/>
      <c r="AO22" s="30"/>
      <c r="AP22" s="29"/>
      <c r="AQ22" s="35"/>
      <c r="AR22" s="36"/>
      <c r="AS22" s="36"/>
      <c r="AT22" s="30"/>
      <c r="AU22" s="29"/>
      <c r="AV22" s="29"/>
      <c r="AW22" s="29"/>
      <c r="AX22" s="37"/>
      <c r="AY22" s="29"/>
      <c r="AZ22" s="38" t="str">
        <f aca="false">IF($C22="","",IF(OR(F22="Completed",F22="Cancelled"),"",IF(AND(OR(F22="On Hold",ISNUMBER(VALUE(LEFT(H22,2)))),AY22=""),"Reason not given","")))</f>
        <v/>
      </c>
      <c r="BA22" s="30"/>
    </row>
    <row r="23" customFormat="false" ht="19.5" hidden="false" customHeight="true" outlineLevel="0" collapsed="false">
      <c r="A23" s="28" t="str">
        <f aca="false">IF($C23="","",COUNTA($C$17:$C23))</f>
        <v/>
      </c>
      <c r="B23" s="29"/>
      <c r="C23" s="30"/>
      <c r="D23" s="29"/>
      <c r="E23" s="31" t="str">
        <f aca="false">IF($C23="","",IF(NOT(OR(M23="Completed",M23="NA",M23="Cancelled")),"S1 Schematic",IF(NOT(OR(R23="Completed",R23="NA",R23="Cancelled")),"S2 PCB Layout",IF(NOT(OR(W23="Completed",W23="NA",W23="Cancelled")),"S3 SI &amp; PI",IF(NOT(OR(AB23="Completed",AB23="NA",AB23="Cancelled")),"S4 Bare-PCB Fab",IF(NOT(OR(AG23="Completed",AG23="NA",AG23="Cancelled")),"S5 Assembly",IF(NOT(OR(AL23="Completed",AL23="NA",AL23="Cancelled")),"S6 Bring-up",IF(NOT(OR(AQ23="Completed",AQ23="NA",AQ23="Cancelled")),"S7 BOM Procurement","All Stages Closed"))))))))</f>
        <v/>
      </c>
      <c r="F23" s="32" t="str">
        <f aca="false">IF($C23="","",IF(COUNTIF(M23,"Cancelled")+COUNTIF(R23,"Cancelled")+COUNTIF(W23,"Cancelled")+COUNTIF(AB23,"Cancelled")+COUNTIF(AG23,"Cancelled")+COUNTIF(AL23,"Cancelled")+COUNTIF(AQ23,"Cancelled")&gt;0,"Cancelled",IF(E23="All Stages Closed","Completed",IF(E23="S1 Schematic",M23,IF(E23="S2 PCB Layout",R23,IF(E23="S3 SI &amp; PI",W23,IF(E23="S4 Bare-PCB Fab",AB23,IF(E23="S5 Assembly",AG23,IF(E23="S6 Bring-up",AL23,AQ23)))))))))</f>
        <v/>
      </c>
      <c r="G23" s="33" t="str">
        <f aca="false">IF($C23="","",IF(E23="All Stages Closed","",IF(E23="S1 Schematic",IF(N23="","Not added",N23),IF(E23="S2 PCB Layout",IF(S23="","Not added",S23),IF(E23="S3 SI &amp; PI",IF(X23="","Not added",X23),IF(E23="S4 Bare-PCB Fab",IF(AC23="","Not added",AC23),IF(E23="S5 Assembly",IF(AH23="","Not added",AH23),IF(E23="S6 Bring-up",IF(AM23="","Not added",AM23),IF(AR23="","Not added",AR23)))))))))</f>
        <v/>
      </c>
      <c r="H23" s="32" t="str">
        <f aca="true">IF($C23="","",IF(OR(F23="Completed",F23="Cancelled"),"",IF(NOT(ISNUMBER(G23)),"No date set",IF(TODAY()&gt;G23,TODAY()-G23&amp;" days late",G23-TODAY()&amp;" days left"))))</f>
        <v/>
      </c>
      <c r="I23" s="31" t="str">
        <f aca="false">IF($C23="","",COUNTIF(M23,"Completed")+COUNTIF(R23,"Completed")+COUNTIF(W23,"Completed")+COUNTIF(AB23,"Completed")+COUNTIF(AG23,"Completed")+COUNTIF(AL23,"Completed")+COUNTIF(AQ23,"Completed"))</f>
        <v/>
      </c>
      <c r="J23" s="31" t="str">
        <f aca="false">IF($C23="","",7-(COUNTIF(M23,"NA")+COUNTIF(R23,"NA")+COUNTIF(W23,"NA")+COUNTIF(AB23,"NA")+COUNTIF(AG23,"NA")+COUNTIF(AL23,"NA")+COUNTIF(AQ23,"NA")))</f>
        <v/>
      </c>
      <c r="K23" s="34" t="str">
        <f aca="false">IFERROR(I23/J23,"")</f>
        <v/>
      </c>
      <c r="L23" s="29"/>
      <c r="M23" s="35"/>
      <c r="N23" s="36"/>
      <c r="O23" s="36"/>
      <c r="P23" s="30"/>
      <c r="Q23" s="29"/>
      <c r="R23" s="35"/>
      <c r="S23" s="36"/>
      <c r="T23" s="36"/>
      <c r="U23" s="30"/>
      <c r="V23" s="29"/>
      <c r="W23" s="35"/>
      <c r="X23" s="36"/>
      <c r="Y23" s="36"/>
      <c r="Z23" s="30"/>
      <c r="AA23" s="29"/>
      <c r="AB23" s="35"/>
      <c r="AC23" s="36"/>
      <c r="AD23" s="36"/>
      <c r="AE23" s="30"/>
      <c r="AF23" s="29"/>
      <c r="AG23" s="35"/>
      <c r="AH23" s="36"/>
      <c r="AI23" s="36"/>
      <c r="AJ23" s="30"/>
      <c r="AK23" s="29"/>
      <c r="AL23" s="35"/>
      <c r="AM23" s="36"/>
      <c r="AN23" s="36"/>
      <c r="AO23" s="30"/>
      <c r="AP23" s="29"/>
      <c r="AQ23" s="35"/>
      <c r="AR23" s="36"/>
      <c r="AS23" s="36"/>
      <c r="AT23" s="30"/>
      <c r="AU23" s="29"/>
      <c r="AV23" s="29"/>
      <c r="AW23" s="29"/>
      <c r="AX23" s="37"/>
      <c r="AY23" s="29"/>
      <c r="AZ23" s="38" t="str">
        <f aca="false">IF($C23="","",IF(OR(F23="Completed",F23="Cancelled"),"",IF(AND(OR(F23="On Hold",ISNUMBER(VALUE(LEFT(H23,2)))),AY23=""),"Reason not given","")))</f>
        <v/>
      </c>
      <c r="BA23" s="30"/>
    </row>
    <row r="24" customFormat="false" ht="19.5" hidden="false" customHeight="true" outlineLevel="0" collapsed="false">
      <c r="A24" s="28" t="str">
        <f aca="false">IF($C24="","",COUNTA($C$17:$C24))</f>
        <v/>
      </c>
      <c r="B24" s="29"/>
      <c r="C24" s="30"/>
      <c r="D24" s="29"/>
      <c r="E24" s="31" t="str">
        <f aca="false">IF($C24="","",IF(NOT(OR(M24="Completed",M24="NA",M24="Cancelled")),"S1 Schematic",IF(NOT(OR(R24="Completed",R24="NA",R24="Cancelled")),"S2 PCB Layout",IF(NOT(OR(W24="Completed",W24="NA",W24="Cancelled")),"S3 SI &amp; PI",IF(NOT(OR(AB24="Completed",AB24="NA",AB24="Cancelled")),"S4 Bare-PCB Fab",IF(NOT(OR(AG24="Completed",AG24="NA",AG24="Cancelled")),"S5 Assembly",IF(NOT(OR(AL24="Completed",AL24="NA",AL24="Cancelled")),"S6 Bring-up",IF(NOT(OR(AQ24="Completed",AQ24="NA",AQ24="Cancelled")),"S7 BOM Procurement","All Stages Closed"))))))))</f>
        <v/>
      </c>
      <c r="F24" s="32" t="str">
        <f aca="false">IF($C24="","",IF(COUNTIF(M24,"Cancelled")+COUNTIF(R24,"Cancelled")+COUNTIF(W24,"Cancelled")+COUNTIF(AB24,"Cancelled")+COUNTIF(AG24,"Cancelled")+COUNTIF(AL24,"Cancelled")+COUNTIF(AQ24,"Cancelled")&gt;0,"Cancelled",IF(E24="All Stages Closed","Completed",IF(E24="S1 Schematic",M24,IF(E24="S2 PCB Layout",R24,IF(E24="S3 SI &amp; PI",W24,IF(E24="S4 Bare-PCB Fab",AB24,IF(E24="S5 Assembly",AG24,IF(E24="S6 Bring-up",AL24,AQ24)))))))))</f>
        <v/>
      </c>
      <c r="G24" s="33" t="str">
        <f aca="false">IF($C24="","",IF(E24="All Stages Closed","",IF(E24="S1 Schematic",IF(N24="","Not added",N24),IF(E24="S2 PCB Layout",IF(S24="","Not added",S24),IF(E24="S3 SI &amp; PI",IF(X24="","Not added",X24),IF(E24="S4 Bare-PCB Fab",IF(AC24="","Not added",AC24),IF(E24="S5 Assembly",IF(AH24="","Not added",AH24),IF(E24="S6 Bring-up",IF(AM24="","Not added",AM24),IF(AR24="","Not added",AR24)))))))))</f>
        <v/>
      </c>
      <c r="H24" s="32" t="str">
        <f aca="true">IF($C24="","",IF(OR(F24="Completed",F24="Cancelled"),"",IF(NOT(ISNUMBER(G24)),"No date set",IF(TODAY()&gt;G24,TODAY()-G24&amp;" days late",G24-TODAY()&amp;" days left"))))</f>
        <v/>
      </c>
      <c r="I24" s="31" t="str">
        <f aca="false">IF($C24="","",COUNTIF(M24,"Completed")+COUNTIF(R24,"Completed")+COUNTIF(W24,"Completed")+COUNTIF(AB24,"Completed")+COUNTIF(AG24,"Completed")+COUNTIF(AL24,"Completed")+COUNTIF(AQ24,"Completed"))</f>
        <v/>
      </c>
      <c r="J24" s="31" t="str">
        <f aca="false">IF($C24="","",7-(COUNTIF(M24,"NA")+COUNTIF(R24,"NA")+COUNTIF(W24,"NA")+COUNTIF(AB24,"NA")+COUNTIF(AG24,"NA")+COUNTIF(AL24,"NA")+COUNTIF(AQ24,"NA")))</f>
        <v/>
      </c>
      <c r="K24" s="34" t="str">
        <f aca="false">IFERROR(I24/J24,"")</f>
        <v/>
      </c>
      <c r="L24" s="29"/>
      <c r="M24" s="35"/>
      <c r="N24" s="36"/>
      <c r="O24" s="36"/>
      <c r="P24" s="30"/>
      <c r="Q24" s="29"/>
      <c r="R24" s="35"/>
      <c r="S24" s="36"/>
      <c r="T24" s="36"/>
      <c r="U24" s="30"/>
      <c r="V24" s="29"/>
      <c r="W24" s="35"/>
      <c r="X24" s="36"/>
      <c r="Y24" s="36"/>
      <c r="Z24" s="30"/>
      <c r="AA24" s="29"/>
      <c r="AB24" s="35"/>
      <c r="AC24" s="36"/>
      <c r="AD24" s="36"/>
      <c r="AE24" s="30"/>
      <c r="AF24" s="29"/>
      <c r="AG24" s="35"/>
      <c r="AH24" s="36"/>
      <c r="AI24" s="36"/>
      <c r="AJ24" s="30"/>
      <c r="AK24" s="29"/>
      <c r="AL24" s="35"/>
      <c r="AM24" s="36"/>
      <c r="AN24" s="36"/>
      <c r="AO24" s="30"/>
      <c r="AP24" s="29"/>
      <c r="AQ24" s="35"/>
      <c r="AR24" s="36"/>
      <c r="AS24" s="36"/>
      <c r="AT24" s="30"/>
      <c r="AU24" s="29"/>
      <c r="AV24" s="29"/>
      <c r="AW24" s="29"/>
      <c r="AX24" s="37"/>
      <c r="AY24" s="29"/>
      <c r="AZ24" s="38" t="str">
        <f aca="false">IF($C24="","",IF(OR(F24="Completed",F24="Cancelled"),"",IF(AND(OR(F24="On Hold",ISNUMBER(VALUE(LEFT(H24,2)))),AY24=""),"Reason not given","")))</f>
        <v/>
      </c>
      <c r="BA24" s="30"/>
    </row>
    <row r="25" customFormat="false" ht="19.5" hidden="false" customHeight="true" outlineLevel="0" collapsed="false">
      <c r="A25" s="28" t="str">
        <f aca="false">IF($C25="","",COUNTA($C$17:$C25))</f>
        <v/>
      </c>
      <c r="B25" s="29"/>
      <c r="C25" s="30"/>
      <c r="D25" s="29"/>
      <c r="E25" s="31" t="str">
        <f aca="false">IF($C25="","",IF(NOT(OR(M25="Completed",M25="NA",M25="Cancelled")),"S1 Schematic",IF(NOT(OR(R25="Completed",R25="NA",R25="Cancelled")),"S2 PCB Layout",IF(NOT(OR(W25="Completed",W25="NA",W25="Cancelled")),"S3 SI &amp; PI",IF(NOT(OR(AB25="Completed",AB25="NA",AB25="Cancelled")),"S4 Bare-PCB Fab",IF(NOT(OR(AG25="Completed",AG25="NA",AG25="Cancelled")),"S5 Assembly",IF(NOT(OR(AL25="Completed",AL25="NA",AL25="Cancelled")),"S6 Bring-up",IF(NOT(OR(AQ25="Completed",AQ25="NA",AQ25="Cancelled")),"S7 BOM Procurement","All Stages Closed"))))))))</f>
        <v/>
      </c>
      <c r="F25" s="32" t="str">
        <f aca="false">IF($C25="","",IF(COUNTIF(M25,"Cancelled")+COUNTIF(R25,"Cancelled")+COUNTIF(W25,"Cancelled")+COUNTIF(AB25,"Cancelled")+COUNTIF(AG25,"Cancelled")+COUNTIF(AL25,"Cancelled")+COUNTIF(AQ25,"Cancelled")&gt;0,"Cancelled",IF(E25="All Stages Closed","Completed",IF(E25="S1 Schematic",M25,IF(E25="S2 PCB Layout",R25,IF(E25="S3 SI &amp; PI",W25,IF(E25="S4 Bare-PCB Fab",AB25,IF(E25="S5 Assembly",AG25,IF(E25="S6 Bring-up",AL25,AQ25)))))))))</f>
        <v/>
      </c>
      <c r="G25" s="33" t="str">
        <f aca="false">IF($C25="","",IF(E25="All Stages Closed","",IF(E25="S1 Schematic",IF(N25="","Not added",N25),IF(E25="S2 PCB Layout",IF(S25="","Not added",S25),IF(E25="S3 SI &amp; PI",IF(X25="","Not added",X25),IF(E25="S4 Bare-PCB Fab",IF(AC25="","Not added",AC25),IF(E25="S5 Assembly",IF(AH25="","Not added",AH25),IF(E25="S6 Bring-up",IF(AM25="","Not added",AM25),IF(AR25="","Not added",AR25)))))))))</f>
        <v/>
      </c>
      <c r="H25" s="32" t="str">
        <f aca="true">IF($C25="","",IF(OR(F25="Completed",F25="Cancelled"),"",IF(NOT(ISNUMBER(G25)),"No date set",IF(TODAY()&gt;G25,TODAY()-G25&amp;" days late",G25-TODAY()&amp;" days left"))))</f>
        <v/>
      </c>
      <c r="I25" s="31" t="str">
        <f aca="false">IF($C25="","",COUNTIF(M25,"Completed")+COUNTIF(R25,"Completed")+COUNTIF(W25,"Completed")+COUNTIF(AB25,"Completed")+COUNTIF(AG25,"Completed")+COUNTIF(AL25,"Completed")+COUNTIF(AQ25,"Completed"))</f>
        <v/>
      </c>
      <c r="J25" s="31" t="str">
        <f aca="false">IF($C25="","",7-(COUNTIF(M25,"NA")+COUNTIF(R25,"NA")+COUNTIF(W25,"NA")+COUNTIF(AB25,"NA")+COUNTIF(AG25,"NA")+COUNTIF(AL25,"NA")+COUNTIF(AQ25,"NA")))</f>
        <v/>
      </c>
      <c r="K25" s="34" t="str">
        <f aca="false">IFERROR(I25/J25,"")</f>
        <v/>
      </c>
      <c r="L25" s="29"/>
      <c r="M25" s="35"/>
      <c r="N25" s="36"/>
      <c r="O25" s="36"/>
      <c r="P25" s="30"/>
      <c r="Q25" s="29"/>
      <c r="R25" s="35"/>
      <c r="S25" s="36"/>
      <c r="T25" s="36"/>
      <c r="U25" s="30"/>
      <c r="V25" s="29"/>
      <c r="W25" s="35"/>
      <c r="X25" s="36"/>
      <c r="Y25" s="36"/>
      <c r="Z25" s="30"/>
      <c r="AA25" s="29"/>
      <c r="AB25" s="35"/>
      <c r="AC25" s="36"/>
      <c r="AD25" s="36"/>
      <c r="AE25" s="30"/>
      <c r="AF25" s="29"/>
      <c r="AG25" s="35"/>
      <c r="AH25" s="36"/>
      <c r="AI25" s="36"/>
      <c r="AJ25" s="30"/>
      <c r="AK25" s="29"/>
      <c r="AL25" s="35"/>
      <c r="AM25" s="36"/>
      <c r="AN25" s="36"/>
      <c r="AO25" s="30"/>
      <c r="AP25" s="29"/>
      <c r="AQ25" s="35"/>
      <c r="AR25" s="36"/>
      <c r="AS25" s="36"/>
      <c r="AT25" s="30"/>
      <c r="AU25" s="29"/>
      <c r="AV25" s="29"/>
      <c r="AW25" s="29"/>
      <c r="AX25" s="37"/>
      <c r="AY25" s="29"/>
      <c r="AZ25" s="38" t="str">
        <f aca="false">IF($C25="","",IF(OR(F25="Completed",F25="Cancelled"),"",IF(AND(OR(F25="On Hold",ISNUMBER(VALUE(LEFT(H25,2)))),AY25=""),"Reason not given","")))</f>
        <v/>
      </c>
      <c r="BA25" s="30"/>
    </row>
    <row r="26" customFormat="false" ht="19.5" hidden="false" customHeight="true" outlineLevel="0" collapsed="false">
      <c r="A26" s="28" t="str">
        <f aca="false">IF($C26="","",COUNTA($C$17:$C26))</f>
        <v/>
      </c>
      <c r="B26" s="29"/>
      <c r="C26" s="30"/>
      <c r="D26" s="29"/>
      <c r="E26" s="31" t="str">
        <f aca="false">IF($C26="","",IF(NOT(OR(M26="Completed",M26="NA",M26="Cancelled")),"S1 Schematic",IF(NOT(OR(R26="Completed",R26="NA",R26="Cancelled")),"S2 PCB Layout",IF(NOT(OR(W26="Completed",W26="NA",W26="Cancelled")),"S3 SI &amp; PI",IF(NOT(OR(AB26="Completed",AB26="NA",AB26="Cancelled")),"S4 Bare-PCB Fab",IF(NOT(OR(AG26="Completed",AG26="NA",AG26="Cancelled")),"S5 Assembly",IF(NOT(OR(AL26="Completed",AL26="NA",AL26="Cancelled")),"S6 Bring-up",IF(NOT(OR(AQ26="Completed",AQ26="NA",AQ26="Cancelled")),"S7 BOM Procurement","All Stages Closed"))))))))</f>
        <v/>
      </c>
      <c r="F26" s="32" t="str">
        <f aca="false">IF($C26="","",IF(COUNTIF(M26,"Cancelled")+COUNTIF(R26,"Cancelled")+COUNTIF(W26,"Cancelled")+COUNTIF(AB26,"Cancelled")+COUNTIF(AG26,"Cancelled")+COUNTIF(AL26,"Cancelled")+COUNTIF(AQ26,"Cancelled")&gt;0,"Cancelled",IF(E26="All Stages Closed","Completed",IF(E26="S1 Schematic",M26,IF(E26="S2 PCB Layout",R26,IF(E26="S3 SI &amp; PI",W26,IF(E26="S4 Bare-PCB Fab",AB26,IF(E26="S5 Assembly",AG26,IF(E26="S6 Bring-up",AL26,AQ26)))))))))</f>
        <v/>
      </c>
      <c r="G26" s="33" t="str">
        <f aca="false">IF($C26="","",IF(E26="All Stages Closed","",IF(E26="S1 Schematic",IF(N26="","Not added",N26),IF(E26="S2 PCB Layout",IF(S26="","Not added",S26),IF(E26="S3 SI &amp; PI",IF(X26="","Not added",X26),IF(E26="S4 Bare-PCB Fab",IF(AC26="","Not added",AC26),IF(E26="S5 Assembly",IF(AH26="","Not added",AH26),IF(E26="S6 Bring-up",IF(AM26="","Not added",AM26),IF(AR26="","Not added",AR26)))))))))</f>
        <v/>
      </c>
      <c r="H26" s="32" t="str">
        <f aca="true">IF($C26="","",IF(OR(F26="Completed",F26="Cancelled"),"",IF(NOT(ISNUMBER(G26)),"No date set",IF(TODAY()&gt;G26,TODAY()-G26&amp;" days late",G26-TODAY()&amp;" days left"))))</f>
        <v/>
      </c>
      <c r="I26" s="31" t="str">
        <f aca="false">IF($C26="","",COUNTIF(M26,"Completed")+COUNTIF(R26,"Completed")+COUNTIF(W26,"Completed")+COUNTIF(AB26,"Completed")+COUNTIF(AG26,"Completed")+COUNTIF(AL26,"Completed")+COUNTIF(AQ26,"Completed"))</f>
        <v/>
      </c>
      <c r="J26" s="31" t="str">
        <f aca="false">IF($C26="","",7-(COUNTIF(M26,"NA")+COUNTIF(R26,"NA")+COUNTIF(W26,"NA")+COUNTIF(AB26,"NA")+COUNTIF(AG26,"NA")+COUNTIF(AL26,"NA")+COUNTIF(AQ26,"NA")))</f>
        <v/>
      </c>
      <c r="K26" s="34" t="str">
        <f aca="false">IFERROR(I26/J26,"")</f>
        <v/>
      </c>
      <c r="L26" s="29"/>
      <c r="M26" s="35"/>
      <c r="N26" s="36"/>
      <c r="O26" s="36"/>
      <c r="P26" s="30"/>
      <c r="Q26" s="29"/>
      <c r="R26" s="35"/>
      <c r="S26" s="36"/>
      <c r="T26" s="36"/>
      <c r="U26" s="30"/>
      <c r="V26" s="29"/>
      <c r="W26" s="35"/>
      <c r="X26" s="36"/>
      <c r="Y26" s="36"/>
      <c r="Z26" s="30"/>
      <c r="AA26" s="29"/>
      <c r="AB26" s="35"/>
      <c r="AC26" s="36"/>
      <c r="AD26" s="36"/>
      <c r="AE26" s="30"/>
      <c r="AF26" s="29"/>
      <c r="AG26" s="35"/>
      <c r="AH26" s="36"/>
      <c r="AI26" s="36"/>
      <c r="AJ26" s="30"/>
      <c r="AK26" s="29"/>
      <c r="AL26" s="35"/>
      <c r="AM26" s="36"/>
      <c r="AN26" s="36"/>
      <c r="AO26" s="30"/>
      <c r="AP26" s="29"/>
      <c r="AQ26" s="35"/>
      <c r="AR26" s="36"/>
      <c r="AS26" s="36"/>
      <c r="AT26" s="30"/>
      <c r="AU26" s="29"/>
      <c r="AV26" s="29"/>
      <c r="AW26" s="29"/>
      <c r="AX26" s="37"/>
      <c r="AY26" s="29"/>
      <c r="AZ26" s="38" t="str">
        <f aca="false">IF($C26="","",IF(OR(F26="Completed",F26="Cancelled"),"",IF(AND(OR(F26="On Hold",ISNUMBER(VALUE(LEFT(H26,2)))),AY26=""),"Reason not given","")))</f>
        <v/>
      </c>
      <c r="BA26" s="30"/>
    </row>
    <row r="27" customFormat="false" ht="19.5" hidden="false" customHeight="true" outlineLevel="0" collapsed="false">
      <c r="A27" s="28" t="str">
        <f aca="false">IF($C27="","",COUNTA($C$17:$C27))</f>
        <v/>
      </c>
      <c r="B27" s="29"/>
      <c r="C27" s="30"/>
      <c r="D27" s="29"/>
      <c r="E27" s="31" t="str">
        <f aca="false">IF($C27="","",IF(NOT(OR(M27="Completed",M27="NA",M27="Cancelled")),"S1 Schematic",IF(NOT(OR(R27="Completed",R27="NA",R27="Cancelled")),"S2 PCB Layout",IF(NOT(OR(W27="Completed",W27="NA",W27="Cancelled")),"S3 SI &amp; PI",IF(NOT(OR(AB27="Completed",AB27="NA",AB27="Cancelled")),"S4 Bare-PCB Fab",IF(NOT(OR(AG27="Completed",AG27="NA",AG27="Cancelled")),"S5 Assembly",IF(NOT(OR(AL27="Completed",AL27="NA",AL27="Cancelled")),"S6 Bring-up",IF(NOT(OR(AQ27="Completed",AQ27="NA",AQ27="Cancelled")),"S7 BOM Procurement","All Stages Closed"))))))))</f>
        <v/>
      </c>
      <c r="F27" s="32" t="str">
        <f aca="false">IF($C27="","",IF(COUNTIF(M27,"Cancelled")+COUNTIF(R27,"Cancelled")+COUNTIF(W27,"Cancelled")+COUNTIF(AB27,"Cancelled")+COUNTIF(AG27,"Cancelled")+COUNTIF(AL27,"Cancelled")+COUNTIF(AQ27,"Cancelled")&gt;0,"Cancelled",IF(E27="All Stages Closed","Completed",IF(E27="S1 Schematic",M27,IF(E27="S2 PCB Layout",R27,IF(E27="S3 SI &amp; PI",W27,IF(E27="S4 Bare-PCB Fab",AB27,IF(E27="S5 Assembly",AG27,IF(E27="S6 Bring-up",AL27,AQ27)))))))))</f>
        <v/>
      </c>
      <c r="G27" s="33" t="str">
        <f aca="false">IF($C27="","",IF(E27="All Stages Closed","",IF(E27="S1 Schematic",IF(N27="","Not added",N27),IF(E27="S2 PCB Layout",IF(S27="","Not added",S27),IF(E27="S3 SI &amp; PI",IF(X27="","Not added",X27),IF(E27="S4 Bare-PCB Fab",IF(AC27="","Not added",AC27),IF(E27="S5 Assembly",IF(AH27="","Not added",AH27),IF(E27="S6 Bring-up",IF(AM27="","Not added",AM27),IF(AR27="","Not added",AR27)))))))))</f>
        <v/>
      </c>
      <c r="H27" s="32" t="str">
        <f aca="true">IF($C27="","",IF(OR(F27="Completed",F27="Cancelled"),"",IF(NOT(ISNUMBER(G27)),"No date set",IF(TODAY()&gt;G27,TODAY()-G27&amp;" days late",G27-TODAY()&amp;" days left"))))</f>
        <v/>
      </c>
      <c r="I27" s="31" t="str">
        <f aca="false">IF($C27="","",COUNTIF(M27,"Completed")+COUNTIF(R27,"Completed")+COUNTIF(W27,"Completed")+COUNTIF(AB27,"Completed")+COUNTIF(AG27,"Completed")+COUNTIF(AL27,"Completed")+COUNTIF(AQ27,"Completed"))</f>
        <v/>
      </c>
      <c r="J27" s="31" t="str">
        <f aca="false">IF($C27="","",7-(COUNTIF(M27,"NA")+COUNTIF(R27,"NA")+COUNTIF(W27,"NA")+COUNTIF(AB27,"NA")+COUNTIF(AG27,"NA")+COUNTIF(AL27,"NA")+COUNTIF(AQ27,"NA")))</f>
        <v/>
      </c>
      <c r="K27" s="34" t="str">
        <f aca="false">IFERROR(I27/J27,"")</f>
        <v/>
      </c>
      <c r="L27" s="29"/>
      <c r="M27" s="35"/>
      <c r="N27" s="36"/>
      <c r="O27" s="36"/>
      <c r="P27" s="30"/>
      <c r="Q27" s="29"/>
      <c r="R27" s="35"/>
      <c r="S27" s="36"/>
      <c r="T27" s="36"/>
      <c r="U27" s="30"/>
      <c r="V27" s="29"/>
      <c r="W27" s="35"/>
      <c r="X27" s="36"/>
      <c r="Y27" s="36"/>
      <c r="Z27" s="30"/>
      <c r="AA27" s="29"/>
      <c r="AB27" s="35"/>
      <c r="AC27" s="36"/>
      <c r="AD27" s="36"/>
      <c r="AE27" s="30"/>
      <c r="AF27" s="29"/>
      <c r="AG27" s="35"/>
      <c r="AH27" s="36"/>
      <c r="AI27" s="36"/>
      <c r="AJ27" s="30"/>
      <c r="AK27" s="29"/>
      <c r="AL27" s="35"/>
      <c r="AM27" s="36"/>
      <c r="AN27" s="36"/>
      <c r="AO27" s="30"/>
      <c r="AP27" s="29"/>
      <c r="AQ27" s="35"/>
      <c r="AR27" s="36"/>
      <c r="AS27" s="36"/>
      <c r="AT27" s="30"/>
      <c r="AU27" s="29"/>
      <c r="AV27" s="29"/>
      <c r="AW27" s="29"/>
      <c r="AX27" s="37"/>
      <c r="AY27" s="29"/>
      <c r="AZ27" s="38" t="str">
        <f aca="false">IF($C27="","",IF(OR(F27="Completed",F27="Cancelled"),"",IF(AND(OR(F27="On Hold",ISNUMBER(VALUE(LEFT(H27,2)))),AY27=""),"Reason not given","")))</f>
        <v/>
      </c>
      <c r="BA27" s="30"/>
    </row>
    <row r="28" customFormat="false" ht="19.5" hidden="false" customHeight="true" outlineLevel="0" collapsed="false">
      <c r="A28" s="28" t="str">
        <f aca="false">IF($C28="","",COUNTA($C$17:$C28))</f>
        <v/>
      </c>
      <c r="B28" s="29"/>
      <c r="C28" s="30"/>
      <c r="D28" s="29"/>
      <c r="E28" s="31" t="str">
        <f aca="false">IF($C28="","",IF(NOT(OR(M28="Completed",M28="NA",M28="Cancelled")),"S1 Schematic",IF(NOT(OR(R28="Completed",R28="NA",R28="Cancelled")),"S2 PCB Layout",IF(NOT(OR(W28="Completed",W28="NA",W28="Cancelled")),"S3 SI &amp; PI",IF(NOT(OR(AB28="Completed",AB28="NA",AB28="Cancelled")),"S4 Bare-PCB Fab",IF(NOT(OR(AG28="Completed",AG28="NA",AG28="Cancelled")),"S5 Assembly",IF(NOT(OR(AL28="Completed",AL28="NA",AL28="Cancelled")),"S6 Bring-up",IF(NOT(OR(AQ28="Completed",AQ28="NA",AQ28="Cancelled")),"S7 BOM Procurement","All Stages Closed"))))))))</f>
        <v/>
      </c>
      <c r="F28" s="32" t="str">
        <f aca="false">IF($C28="","",IF(COUNTIF(M28,"Cancelled")+COUNTIF(R28,"Cancelled")+COUNTIF(W28,"Cancelled")+COUNTIF(AB28,"Cancelled")+COUNTIF(AG28,"Cancelled")+COUNTIF(AL28,"Cancelled")+COUNTIF(AQ28,"Cancelled")&gt;0,"Cancelled",IF(E28="All Stages Closed","Completed",IF(E28="S1 Schematic",M28,IF(E28="S2 PCB Layout",R28,IF(E28="S3 SI &amp; PI",W28,IF(E28="S4 Bare-PCB Fab",AB28,IF(E28="S5 Assembly",AG28,IF(E28="S6 Bring-up",AL28,AQ28)))))))))</f>
        <v/>
      </c>
      <c r="G28" s="33" t="str">
        <f aca="false">IF($C28="","",IF(E28="All Stages Closed","",IF(E28="S1 Schematic",IF(N28="","Not added",N28),IF(E28="S2 PCB Layout",IF(S28="","Not added",S28),IF(E28="S3 SI &amp; PI",IF(X28="","Not added",X28),IF(E28="S4 Bare-PCB Fab",IF(AC28="","Not added",AC28),IF(E28="S5 Assembly",IF(AH28="","Not added",AH28),IF(E28="S6 Bring-up",IF(AM28="","Not added",AM28),IF(AR28="","Not added",AR28)))))))))</f>
        <v/>
      </c>
      <c r="H28" s="32" t="str">
        <f aca="true">IF($C28="","",IF(OR(F28="Completed",F28="Cancelled"),"",IF(NOT(ISNUMBER(G28)),"No date set",IF(TODAY()&gt;G28,TODAY()-G28&amp;" days late",G28-TODAY()&amp;" days left"))))</f>
        <v/>
      </c>
      <c r="I28" s="31" t="str">
        <f aca="false">IF($C28="","",COUNTIF(M28,"Completed")+COUNTIF(R28,"Completed")+COUNTIF(W28,"Completed")+COUNTIF(AB28,"Completed")+COUNTIF(AG28,"Completed")+COUNTIF(AL28,"Completed")+COUNTIF(AQ28,"Completed"))</f>
        <v/>
      </c>
      <c r="J28" s="31" t="str">
        <f aca="false">IF($C28="","",7-(COUNTIF(M28,"NA")+COUNTIF(R28,"NA")+COUNTIF(W28,"NA")+COUNTIF(AB28,"NA")+COUNTIF(AG28,"NA")+COUNTIF(AL28,"NA")+COUNTIF(AQ28,"NA")))</f>
        <v/>
      </c>
      <c r="K28" s="34" t="str">
        <f aca="false">IFERROR(I28/J28,"")</f>
        <v/>
      </c>
      <c r="L28" s="29"/>
      <c r="M28" s="35"/>
      <c r="N28" s="36"/>
      <c r="O28" s="36"/>
      <c r="P28" s="30"/>
      <c r="Q28" s="29"/>
      <c r="R28" s="35"/>
      <c r="S28" s="36"/>
      <c r="T28" s="36"/>
      <c r="U28" s="30"/>
      <c r="V28" s="29"/>
      <c r="W28" s="35"/>
      <c r="X28" s="36"/>
      <c r="Y28" s="36"/>
      <c r="Z28" s="30"/>
      <c r="AA28" s="29"/>
      <c r="AB28" s="35"/>
      <c r="AC28" s="36"/>
      <c r="AD28" s="36"/>
      <c r="AE28" s="30"/>
      <c r="AF28" s="29"/>
      <c r="AG28" s="35"/>
      <c r="AH28" s="36"/>
      <c r="AI28" s="36"/>
      <c r="AJ28" s="30"/>
      <c r="AK28" s="29"/>
      <c r="AL28" s="35"/>
      <c r="AM28" s="36"/>
      <c r="AN28" s="36"/>
      <c r="AO28" s="30"/>
      <c r="AP28" s="29"/>
      <c r="AQ28" s="35"/>
      <c r="AR28" s="36"/>
      <c r="AS28" s="36"/>
      <c r="AT28" s="30"/>
      <c r="AU28" s="29"/>
      <c r="AV28" s="29"/>
      <c r="AW28" s="29"/>
      <c r="AX28" s="37"/>
      <c r="AY28" s="29"/>
      <c r="AZ28" s="38" t="str">
        <f aca="false">IF($C28="","",IF(OR(F28="Completed",F28="Cancelled"),"",IF(AND(OR(F28="On Hold",ISNUMBER(VALUE(LEFT(H28,2)))),AY28=""),"Reason not given","")))</f>
        <v/>
      </c>
      <c r="BA28" s="30"/>
    </row>
    <row r="29" customFormat="false" ht="19.5" hidden="false" customHeight="true" outlineLevel="0" collapsed="false">
      <c r="A29" s="28" t="str">
        <f aca="false">IF($C29="","",COUNTA($C$17:$C29))</f>
        <v/>
      </c>
      <c r="B29" s="29"/>
      <c r="C29" s="30"/>
      <c r="D29" s="29"/>
      <c r="E29" s="31" t="str">
        <f aca="false">IF($C29="","",IF(NOT(OR(M29="Completed",M29="NA",M29="Cancelled")),"S1 Schematic",IF(NOT(OR(R29="Completed",R29="NA",R29="Cancelled")),"S2 PCB Layout",IF(NOT(OR(W29="Completed",W29="NA",W29="Cancelled")),"S3 SI &amp; PI",IF(NOT(OR(AB29="Completed",AB29="NA",AB29="Cancelled")),"S4 Bare-PCB Fab",IF(NOT(OR(AG29="Completed",AG29="NA",AG29="Cancelled")),"S5 Assembly",IF(NOT(OR(AL29="Completed",AL29="NA",AL29="Cancelled")),"S6 Bring-up",IF(NOT(OR(AQ29="Completed",AQ29="NA",AQ29="Cancelled")),"S7 BOM Procurement","All Stages Closed"))))))))</f>
        <v/>
      </c>
      <c r="F29" s="32" t="str">
        <f aca="false">IF($C29="","",IF(COUNTIF(M29,"Cancelled")+COUNTIF(R29,"Cancelled")+COUNTIF(W29,"Cancelled")+COUNTIF(AB29,"Cancelled")+COUNTIF(AG29,"Cancelled")+COUNTIF(AL29,"Cancelled")+COUNTIF(AQ29,"Cancelled")&gt;0,"Cancelled",IF(E29="All Stages Closed","Completed",IF(E29="S1 Schematic",M29,IF(E29="S2 PCB Layout",R29,IF(E29="S3 SI &amp; PI",W29,IF(E29="S4 Bare-PCB Fab",AB29,IF(E29="S5 Assembly",AG29,IF(E29="S6 Bring-up",AL29,AQ29)))))))))</f>
        <v/>
      </c>
      <c r="G29" s="33" t="str">
        <f aca="false">IF($C29="","",IF(E29="All Stages Closed","",IF(E29="S1 Schematic",IF(N29="","Not added",N29),IF(E29="S2 PCB Layout",IF(S29="","Not added",S29),IF(E29="S3 SI &amp; PI",IF(X29="","Not added",X29),IF(E29="S4 Bare-PCB Fab",IF(AC29="","Not added",AC29),IF(E29="S5 Assembly",IF(AH29="","Not added",AH29),IF(E29="S6 Bring-up",IF(AM29="","Not added",AM29),IF(AR29="","Not added",AR29)))))))))</f>
        <v/>
      </c>
      <c r="H29" s="32" t="str">
        <f aca="true">IF($C29="","",IF(OR(F29="Completed",F29="Cancelled"),"",IF(NOT(ISNUMBER(G29)),"No date set",IF(TODAY()&gt;G29,TODAY()-G29&amp;" days late",G29-TODAY()&amp;" days left"))))</f>
        <v/>
      </c>
      <c r="I29" s="31" t="str">
        <f aca="false">IF($C29="","",COUNTIF(M29,"Completed")+COUNTIF(R29,"Completed")+COUNTIF(W29,"Completed")+COUNTIF(AB29,"Completed")+COUNTIF(AG29,"Completed")+COUNTIF(AL29,"Completed")+COUNTIF(AQ29,"Completed"))</f>
        <v/>
      </c>
      <c r="J29" s="31" t="str">
        <f aca="false">IF($C29="","",7-(COUNTIF(M29,"NA")+COUNTIF(R29,"NA")+COUNTIF(W29,"NA")+COUNTIF(AB29,"NA")+COUNTIF(AG29,"NA")+COUNTIF(AL29,"NA")+COUNTIF(AQ29,"NA")))</f>
        <v/>
      </c>
      <c r="K29" s="34" t="str">
        <f aca="false">IFERROR(I29/J29,"")</f>
        <v/>
      </c>
      <c r="L29" s="29"/>
      <c r="M29" s="35"/>
      <c r="N29" s="36"/>
      <c r="O29" s="36"/>
      <c r="P29" s="30"/>
      <c r="Q29" s="29"/>
      <c r="R29" s="35"/>
      <c r="S29" s="36"/>
      <c r="T29" s="36"/>
      <c r="U29" s="30"/>
      <c r="V29" s="29"/>
      <c r="W29" s="35"/>
      <c r="X29" s="36"/>
      <c r="Y29" s="36"/>
      <c r="Z29" s="30"/>
      <c r="AA29" s="29"/>
      <c r="AB29" s="35"/>
      <c r="AC29" s="36"/>
      <c r="AD29" s="36"/>
      <c r="AE29" s="30"/>
      <c r="AF29" s="29"/>
      <c r="AG29" s="35"/>
      <c r="AH29" s="36"/>
      <c r="AI29" s="36"/>
      <c r="AJ29" s="30"/>
      <c r="AK29" s="29"/>
      <c r="AL29" s="35"/>
      <c r="AM29" s="36"/>
      <c r="AN29" s="36"/>
      <c r="AO29" s="30"/>
      <c r="AP29" s="29"/>
      <c r="AQ29" s="35"/>
      <c r="AR29" s="36"/>
      <c r="AS29" s="36"/>
      <c r="AT29" s="30"/>
      <c r="AU29" s="29"/>
      <c r="AV29" s="29"/>
      <c r="AW29" s="29"/>
      <c r="AX29" s="37"/>
      <c r="AY29" s="29"/>
      <c r="AZ29" s="38" t="str">
        <f aca="false">IF($C29="","",IF(OR(F29="Completed",F29="Cancelled"),"",IF(AND(OR(F29="On Hold",ISNUMBER(VALUE(LEFT(H29,2)))),AY29=""),"Reason not given","")))</f>
        <v/>
      </c>
      <c r="BA29" s="30"/>
    </row>
    <row r="30" customFormat="false" ht="19.5" hidden="false" customHeight="true" outlineLevel="0" collapsed="false">
      <c r="A30" s="28" t="str">
        <f aca="false">IF($C30="","",COUNTA($C$17:$C30))</f>
        <v/>
      </c>
      <c r="B30" s="29"/>
      <c r="C30" s="30"/>
      <c r="D30" s="29"/>
      <c r="E30" s="31" t="str">
        <f aca="false">IF($C30="","",IF(NOT(OR(M30="Completed",M30="NA",M30="Cancelled")),"S1 Schematic",IF(NOT(OR(R30="Completed",R30="NA",R30="Cancelled")),"S2 PCB Layout",IF(NOT(OR(W30="Completed",W30="NA",W30="Cancelled")),"S3 SI &amp; PI",IF(NOT(OR(AB30="Completed",AB30="NA",AB30="Cancelled")),"S4 Bare-PCB Fab",IF(NOT(OR(AG30="Completed",AG30="NA",AG30="Cancelled")),"S5 Assembly",IF(NOT(OR(AL30="Completed",AL30="NA",AL30="Cancelled")),"S6 Bring-up",IF(NOT(OR(AQ30="Completed",AQ30="NA",AQ30="Cancelled")),"S7 BOM Procurement","All Stages Closed"))))))))</f>
        <v/>
      </c>
      <c r="F30" s="32" t="str">
        <f aca="false">IF($C30="","",IF(COUNTIF(M30,"Cancelled")+COUNTIF(R30,"Cancelled")+COUNTIF(W30,"Cancelled")+COUNTIF(AB30,"Cancelled")+COUNTIF(AG30,"Cancelled")+COUNTIF(AL30,"Cancelled")+COUNTIF(AQ30,"Cancelled")&gt;0,"Cancelled",IF(E30="All Stages Closed","Completed",IF(E30="S1 Schematic",M30,IF(E30="S2 PCB Layout",R30,IF(E30="S3 SI &amp; PI",W30,IF(E30="S4 Bare-PCB Fab",AB30,IF(E30="S5 Assembly",AG30,IF(E30="S6 Bring-up",AL30,AQ30)))))))))</f>
        <v/>
      </c>
      <c r="G30" s="33" t="str">
        <f aca="false">IF($C30="","",IF(E30="All Stages Closed","",IF(E30="S1 Schematic",IF(N30="","Not added",N30),IF(E30="S2 PCB Layout",IF(S30="","Not added",S30),IF(E30="S3 SI &amp; PI",IF(X30="","Not added",X30),IF(E30="S4 Bare-PCB Fab",IF(AC30="","Not added",AC30),IF(E30="S5 Assembly",IF(AH30="","Not added",AH30),IF(E30="S6 Bring-up",IF(AM30="","Not added",AM30),IF(AR30="","Not added",AR30)))))))))</f>
        <v/>
      </c>
      <c r="H30" s="32" t="str">
        <f aca="true">IF($C30="","",IF(OR(F30="Completed",F30="Cancelled"),"",IF(NOT(ISNUMBER(G30)),"No date set",IF(TODAY()&gt;G30,TODAY()-G30&amp;" days late",G30-TODAY()&amp;" days left"))))</f>
        <v/>
      </c>
      <c r="I30" s="31" t="str">
        <f aca="false">IF($C30="","",COUNTIF(M30,"Completed")+COUNTIF(R30,"Completed")+COUNTIF(W30,"Completed")+COUNTIF(AB30,"Completed")+COUNTIF(AG30,"Completed")+COUNTIF(AL30,"Completed")+COUNTIF(AQ30,"Completed"))</f>
        <v/>
      </c>
      <c r="J30" s="31" t="str">
        <f aca="false">IF($C30="","",7-(COUNTIF(M30,"NA")+COUNTIF(R30,"NA")+COUNTIF(W30,"NA")+COUNTIF(AB30,"NA")+COUNTIF(AG30,"NA")+COUNTIF(AL30,"NA")+COUNTIF(AQ30,"NA")))</f>
        <v/>
      </c>
      <c r="K30" s="34" t="str">
        <f aca="false">IFERROR(I30/J30,"")</f>
        <v/>
      </c>
      <c r="L30" s="29"/>
      <c r="M30" s="35"/>
      <c r="N30" s="36"/>
      <c r="O30" s="36"/>
      <c r="P30" s="30"/>
      <c r="Q30" s="29"/>
      <c r="R30" s="35"/>
      <c r="S30" s="36"/>
      <c r="T30" s="36"/>
      <c r="U30" s="30"/>
      <c r="V30" s="29"/>
      <c r="W30" s="35"/>
      <c r="X30" s="36"/>
      <c r="Y30" s="36"/>
      <c r="Z30" s="30"/>
      <c r="AA30" s="29"/>
      <c r="AB30" s="35"/>
      <c r="AC30" s="36"/>
      <c r="AD30" s="36"/>
      <c r="AE30" s="30"/>
      <c r="AF30" s="29"/>
      <c r="AG30" s="35"/>
      <c r="AH30" s="36"/>
      <c r="AI30" s="36"/>
      <c r="AJ30" s="30"/>
      <c r="AK30" s="29"/>
      <c r="AL30" s="35"/>
      <c r="AM30" s="36"/>
      <c r="AN30" s="36"/>
      <c r="AO30" s="30"/>
      <c r="AP30" s="29"/>
      <c r="AQ30" s="35"/>
      <c r="AR30" s="36"/>
      <c r="AS30" s="36"/>
      <c r="AT30" s="30"/>
      <c r="AU30" s="29"/>
      <c r="AV30" s="29"/>
      <c r="AW30" s="29"/>
      <c r="AX30" s="37"/>
      <c r="AY30" s="29"/>
      <c r="AZ30" s="38" t="str">
        <f aca="false">IF($C30="","",IF(OR(F30="Completed",F30="Cancelled"),"",IF(AND(OR(F30="On Hold",ISNUMBER(VALUE(LEFT(H30,2)))),AY30=""),"Reason not given","")))</f>
        <v/>
      </c>
      <c r="BA30" s="30"/>
    </row>
    <row r="31" customFormat="false" ht="19.5" hidden="false" customHeight="true" outlineLevel="0" collapsed="false">
      <c r="A31" s="28" t="str">
        <f aca="false">IF($C31="","",COUNTA($C$17:$C31))</f>
        <v/>
      </c>
      <c r="B31" s="29"/>
      <c r="C31" s="30"/>
      <c r="D31" s="29"/>
      <c r="E31" s="31" t="str">
        <f aca="false">IF($C31="","",IF(NOT(OR(M31="Completed",M31="NA",M31="Cancelled")),"S1 Schematic",IF(NOT(OR(R31="Completed",R31="NA",R31="Cancelled")),"S2 PCB Layout",IF(NOT(OR(W31="Completed",W31="NA",W31="Cancelled")),"S3 SI &amp; PI",IF(NOT(OR(AB31="Completed",AB31="NA",AB31="Cancelled")),"S4 Bare-PCB Fab",IF(NOT(OR(AG31="Completed",AG31="NA",AG31="Cancelled")),"S5 Assembly",IF(NOT(OR(AL31="Completed",AL31="NA",AL31="Cancelled")),"S6 Bring-up",IF(NOT(OR(AQ31="Completed",AQ31="NA",AQ31="Cancelled")),"S7 BOM Procurement","All Stages Closed"))))))))</f>
        <v/>
      </c>
      <c r="F31" s="32" t="str">
        <f aca="false">IF($C31="","",IF(COUNTIF(M31,"Cancelled")+COUNTIF(R31,"Cancelled")+COUNTIF(W31,"Cancelled")+COUNTIF(AB31,"Cancelled")+COUNTIF(AG31,"Cancelled")+COUNTIF(AL31,"Cancelled")+COUNTIF(AQ31,"Cancelled")&gt;0,"Cancelled",IF(E31="All Stages Closed","Completed",IF(E31="S1 Schematic",M31,IF(E31="S2 PCB Layout",R31,IF(E31="S3 SI &amp; PI",W31,IF(E31="S4 Bare-PCB Fab",AB31,IF(E31="S5 Assembly",AG31,IF(E31="S6 Bring-up",AL31,AQ31)))))))))</f>
        <v/>
      </c>
      <c r="G31" s="33" t="str">
        <f aca="false">IF($C31="","",IF(E31="All Stages Closed","",IF(E31="S1 Schematic",IF(N31="","Not added",N31),IF(E31="S2 PCB Layout",IF(S31="","Not added",S31),IF(E31="S3 SI &amp; PI",IF(X31="","Not added",X31),IF(E31="S4 Bare-PCB Fab",IF(AC31="","Not added",AC31),IF(E31="S5 Assembly",IF(AH31="","Not added",AH31),IF(E31="S6 Bring-up",IF(AM31="","Not added",AM31),IF(AR31="","Not added",AR31)))))))))</f>
        <v/>
      </c>
      <c r="H31" s="32" t="str">
        <f aca="true">IF($C31="","",IF(OR(F31="Completed",F31="Cancelled"),"",IF(NOT(ISNUMBER(G31)),"No date set",IF(TODAY()&gt;G31,TODAY()-G31&amp;" days late",G31-TODAY()&amp;" days left"))))</f>
        <v/>
      </c>
      <c r="I31" s="31" t="str">
        <f aca="false">IF($C31="","",COUNTIF(M31,"Completed")+COUNTIF(R31,"Completed")+COUNTIF(W31,"Completed")+COUNTIF(AB31,"Completed")+COUNTIF(AG31,"Completed")+COUNTIF(AL31,"Completed")+COUNTIF(AQ31,"Completed"))</f>
        <v/>
      </c>
      <c r="J31" s="31" t="str">
        <f aca="false">IF($C31="","",7-(COUNTIF(M31,"NA")+COUNTIF(R31,"NA")+COUNTIF(W31,"NA")+COUNTIF(AB31,"NA")+COUNTIF(AG31,"NA")+COUNTIF(AL31,"NA")+COUNTIF(AQ31,"NA")))</f>
        <v/>
      </c>
      <c r="K31" s="34" t="str">
        <f aca="false">IFERROR(I31/J31,"")</f>
        <v/>
      </c>
      <c r="L31" s="29"/>
      <c r="M31" s="35"/>
      <c r="N31" s="36"/>
      <c r="O31" s="36"/>
      <c r="P31" s="30"/>
      <c r="Q31" s="29"/>
      <c r="R31" s="35"/>
      <c r="S31" s="36"/>
      <c r="T31" s="36"/>
      <c r="U31" s="30"/>
      <c r="V31" s="29"/>
      <c r="W31" s="35"/>
      <c r="X31" s="36"/>
      <c r="Y31" s="36"/>
      <c r="Z31" s="30"/>
      <c r="AA31" s="29"/>
      <c r="AB31" s="35"/>
      <c r="AC31" s="36"/>
      <c r="AD31" s="36"/>
      <c r="AE31" s="30"/>
      <c r="AF31" s="29"/>
      <c r="AG31" s="35"/>
      <c r="AH31" s="36"/>
      <c r="AI31" s="36"/>
      <c r="AJ31" s="30"/>
      <c r="AK31" s="29"/>
      <c r="AL31" s="35"/>
      <c r="AM31" s="36"/>
      <c r="AN31" s="36"/>
      <c r="AO31" s="30"/>
      <c r="AP31" s="29"/>
      <c r="AQ31" s="35"/>
      <c r="AR31" s="36"/>
      <c r="AS31" s="36"/>
      <c r="AT31" s="30"/>
      <c r="AU31" s="29"/>
      <c r="AV31" s="29"/>
      <c r="AW31" s="29"/>
      <c r="AX31" s="37"/>
      <c r="AY31" s="29"/>
      <c r="AZ31" s="38" t="str">
        <f aca="false">IF($C31="","",IF(OR(F31="Completed",F31="Cancelled"),"",IF(AND(OR(F31="On Hold",ISNUMBER(VALUE(LEFT(H31,2)))),AY31=""),"Reason not given","")))</f>
        <v/>
      </c>
      <c r="BA31" s="30"/>
    </row>
    <row r="32" customFormat="false" ht="19.5" hidden="false" customHeight="true" outlineLevel="0" collapsed="false">
      <c r="A32" s="28" t="str">
        <f aca="false">IF($C32="","",COUNTA($C$17:$C32))</f>
        <v/>
      </c>
      <c r="B32" s="29"/>
      <c r="C32" s="30"/>
      <c r="D32" s="29"/>
      <c r="E32" s="31" t="str">
        <f aca="false">IF($C32="","",IF(NOT(OR(M32="Completed",M32="NA",M32="Cancelled")),"S1 Schematic",IF(NOT(OR(R32="Completed",R32="NA",R32="Cancelled")),"S2 PCB Layout",IF(NOT(OR(W32="Completed",W32="NA",W32="Cancelled")),"S3 SI &amp; PI",IF(NOT(OR(AB32="Completed",AB32="NA",AB32="Cancelled")),"S4 Bare-PCB Fab",IF(NOT(OR(AG32="Completed",AG32="NA",AG32="Cancelled")),"S5 Assembly",IF(NOT(OR(AL32="Completed",AL32="NA",AL32="Cancelled")),"S6 Bring-up",IF(NOT(OR(AQ32="Completed",AQ32="NA",AQ32="Cancelled")),"S7 BOM Procurement","All Stages Closed"))))))))</f>
        <v/>
      </c>
      <c r="F32" s="32" t="str">
        <f aca="false">IF($C32="","",IF(COUNTIF(M32,"Cancelled")+COUNTIF(R32,"Cancelled")+COUNTIF(W32,"Cancelled")+COUNTIF(AB32,"Cancelled")+COUNTIF(AG32,"Cancelled")+COUNTIF(AL32,"Cancelled")+COUNTIF(AQ32,"Cancelled")&gt;0,"Cancelled",IF(E32="All Stages Closed","Completed",IF(E32="S1 Schematic",M32,IF(E32="S2 PCB Layout",R32,IF(E32="S3 SI &amp; PI",W32,IF(E32="S4 Bare-PCB Fab",AB32,IF(E32="S5 Assembly",AG32,IF(E32="S6 Bring-up",AL32,AQ32)))))))))</f>
        <v/>
      </c>
      <c r="G32" s="33" t="str">
        <f aca="false">IF($C32="","",IF(E32="All Stages Closed","",IF(E32="S1 Schematic",IF(N32="","Not added",N32),IF(E32="S2 PCB Layout",IF(S32="","Not added",S32),IF(E32="S3 SI &amp; PI",IF(X32="","Not added",X32),IF(E32="S4 Bare-PCB Fab",IF(AC32="","Not added",AC32),IF(E32="S5 Assembly",IF(AH32="","Not added",AH32),IF(E32="S6 Bring-up",IF(AM32="","Not added",AM32),IF(AR32="","Not added",AR32)))))))))</f>
        <v/>
      </c>
      <c r="H32" s="32" t="str">
        <f aca="true">IF($C32="","",IF(OR(F32="Completed",F32="Cancelled"),"",IF(NOT(ISNUMBER(G32)),"No date set",IF(TODAY()&gt;G32,TODAY()-G32&amp;" days late",G32-TODAY()&amp;" days left"))))</f>
        <v/>
      </c>
      <c r="I32" s="31" t="str">
        <f aca="false">IF($C32="","",COUNTIF(M32,"Completed")+COUNTIF(R32,"Completed")+COUNTIF(W32,"Completed")+COUNTIF(AB32,"Completed")+COUNTIF(AG32,"Completed")+COUNTIF(AL32,"Completed")+COUNTIF(AQ32,"Completed"))</f>
        <v/>
      </c>
      <c r="J32" s="31" t="str">
        <f aca="false">IF($C32="","",7-(COUNTIF(M32,"NA")+COUNTIF(R32,"NA")+COUNTIF(W32,"NA")+COUNTIF(AB32,"NA")+COUNTIF(AG32,"NA")+COUNTIF(AL32,"NA")+COUNTIF(AQ32,"NA")))</f>
        <v/>
      </c>
      <c r="K32" s="34" t="str">
        <f aca="false">IFERROR(I32/J32,"")</f>
        <v/>
      </c>
      <c r="L32" s="29"/>
      <c r="M32" s="35"/>
      <c r="N32" s="36"/>
      <c r="O32" s="36"/>
      <c r="P32" s="30"/>
      <c r="Q32" s="29"/>
      <c r="R32" s="35"/>
      <c r="S32" s="36"/>
      <c r="T32" s="36"/>
      <c r="U32" s="30"/>
      <c r="V32" s="29"/>
      <c r="W32" s="35"/>
      <c r="X32" s="36"/>
      <c r="Y32" s="36"/>
      <c r="Z32" s="30"/>
      <c r="AA32" s="29"/>
      <c r="AB32" s="35"/>
      <c r="AC32" s="36"/>
      <c r="AD32" s="36"/>
      <c r="AE32" s="30"/>
      <c r="AF32" s="29"/>
      <c r="AG32" s="35"/>
      <c r="AH32" s="36"/>
      <c r="AI32" s="36"/>
      <c r="AJ32" s="30"/>
      <c r="AK32" s="29"/>
      <c r="AL32" s="35"/>
      <c r="AM32" s="36"/>
      <c r="AN32" s="36"/>
      <c r="AO32" s="30"/>
      <c r="AP32" s="29"/>
      <c r="AQ32" s="35"/>
      <c r="AR32" s="36"/>
      <c r="AS32" s="36"/>
      <c r="AT32" s="30"/>
      <c r="AU32" s="29"/>
      <c r="AV32" s="29"/>
      <c r="AW32" s="29"/>
      <c r="AX32" s="37"/>
      <c r="AY32" s="29"/>
      <c r="AZ32" s="38" t="str">
        <f aca="false">IF($C32="","",IF(OR(F32="Completed",F32="Cancelled"),"",IF(AND(OR(F32="On Hold",ISNUMBER(VALUE(LEFT(H32,2)))),AY32=""),"Reason not given","")))</f>
        <v/>
      </c>
      <c r="BA32" s="30"/>
    </row>
    <row r="33" customFormat="false" ht="19.5" hidden="false" customHeight="true" outlineLevel="0" collapsed="false">
      <c r="A33" s="28" t="str">
        <f aca="false">IF($C33="","",COUNTA($C$17:$C33))</f>
        <v/>
      </c>
      <c r="B33" s="29"/>
      <c r="C33" s="30"/>
      <c r="D33" s="29"/>
      <c r="E33" s="31" t="str">
        <f aca="false">IF($C33="","",IF(NOT(OR(M33="Completed",M33="NA",M33="Cancelled")),"S1 Schematic",IF(NOT(OR(R33="Completed",R33="NA",R33="Cancelled")),"S2 PCB Layout",IF(NOT(OR(W33="Completed",W33="NA",W33="Cancelled")),"S3 SI &amp; PI",IF(NOT(OR(AB33="Completed",AB33="NA",AB33="Cancelled")),"S4 Bare-PCB Fab",IF(NOT(OR(AG33="Completed",AG33="NA",AG33="Cancelled")),"S5 Assembly",IF(NOT(OR(AL33="Completed",AL33="NA",AL33="Cancelled")),"S6 Bring-up",IF(NOT(OR(AQ33="Completed",AQ33="NA",AQ33="Cancelled")),"S7 BOM Procurement","All Stages Closed"))))))))</f>
        <v/>
      </c>
      <c r="F33" s="32" t="str">
        <f aca="false">IF($C33="","",IF(COUNTIF(M33,"Cancelled")+COUNTIF(R33,"Cancelled")+COUNTIF(W33,"Cancelled")+COUNTIF(AB33,"Cancelled")+COUNTIF(AG33,"Cancelled")+COUNTIF(AL33,"Cancelled")+COUNTIF(AQ33,"Cancelled")&gt;0,"Cancelled",IF(E33="All Stages Closed","Completed",IF(E33="S1 Schematic",M33,IF(E33="S2 PCB Layout",R33,IF(E33="S3 SI &amp; PI",W33,IF(E33="S4 Bare-PCB Fab",AB33,IF(E33="S5 Assembly",AG33,IF(E33="S6 Bring-up",AL33,AQ33)))))))))</f>
        <v/>
      </c>
      <c r="G33" s="33" t="str">
        <f aca="false">IF($C33="","",IF(E33="All Stages Closed","",IF(E33="S1 Schematic",IF(N33="","Not added",N33),IF(E33="S2 PCB Layout",IF(S33="","Not added",S33),IF(E33="S3 SI &amp; PI",IF(X33="","Not added",X33),IF(E33="S4 Bare-PCB Fab",IF(AC33="","Not added",AC33),IF(E33="S5 Assembly",IF(AH33="","Not added",AH33),IF(E33="S6 Bring-up",IF(AM33="","Not added",AM33),IF(AR33="","Not added",AR33)))))))))</f>
        <v/>
      </c>
      <c r="H33" s="32" t="str">
        <f aca="true">IF($C33="","",IF(OR(F33="Completed",F33="Cancelled"),"",IF(NOT(ISNUMBER(G33)),"No date set",IF(TODAY()&gt;G33,TODAY()-G33&amp;" days late",G33-TODAY()&amp;" days left"))))</f>
        <v/>
      </c>
      <c r="I33" s="31" t="str">
        <f aca="false">IF($C33="","",COUNTIF(M33,"Completed")+COUNTIF(R33,"Completed")+COUNTIF(W33,"Completed")+COUNTIF(AB33,"Completed")+COUNTIF(AG33,"Completed")+COUNTIF(AL33,"Completed")+COUNTIF(AQ33,"Completed"))</f>
        <v/>
      </c>
      <c r="J33" s="31" t="str">
        <f aca="false">IF($C33="","",7-(COUNTIF(M33,"NA")+COUNTIF(R33,"NA")+COUNTIF(W33,"NA")+COUNTIF(AB33,"NA")+COUNTIF(AG33,"NA")+COUNTIF(AL33,"NA")+COUNTIF(AQ33,"NA")))</f>
        <v/>
      </c>
      <c r="K33" s="34" t="str">
        <f aca="false">IFERROR(I33/J33,"")</f>
        <v/>
      </c>
      <c r="L33" s="29"/>
      <c r="M33" s="35"/>
      <c r="N33" s="36"/>
      <c r="O33" s="36"/>
      <c r="P33" s="30"/>
      <c r="Q33" s="29"/>
      <c r="R33" s="35"/>
      <c r="S33" s="36"/>
      <c r="T33" s="36"/>
      <c r="U33" s="30"/>
      <c r="V33" s="29"/>
      <c r="W33" s="35"/>
      <c r="X33" s="36"/>
      <c r="Y33" s="36"/>
      <c r="Z33" s="30"/>
      <c r="AA33" s="29"/>
      <c r="AB33" s="35"/>
      <c r="AC33" s="36"/>
      <c r="AD33" s="36"/>
      <c r="AE33" s="30"/>
      <c r="AF33" s="29"/>
      <c r="AG33" s="35"/>
      <c r="AH33" s="36"/>
      <c r="AI33" s="36"/>
      <c r="AJ33" s="30"/>
      <c r="AK33" s="29"/>
      <c r="AL33" s="35"/>
      <c r="AM33" s="36"/>
      <c r="AN33" s="36"/>
      <c r="AO33" s="30"/>
      <c r="AP33" s="29"/>
      <c r="AQ33" s="35"/>
      <c r="AR33" s="36"/>
      <c r="AS33" s="36"/>
      <c r="AT33" s="30"/>
      <c r="AU33" s="29"/>
      <c r="AV33" s="29"/>
      <c r="AW33" s="29"/>
      <c r="AX33" s="37"/>
      <c r="AY33" s="29"/>
      <c r="AZ33" s="38" t="str">
        <f aca="false">IF($C33="","",IF(OR(F33="Completed",F33="Cancelled"),"",IF(AND(OR(F33="On Hold",ISNUMBER(VALUE(LEFT(H33,2)))),AY33=""),"Reason not given","")))</f>
        <v/>
      </c>
      <c r="BA33" s="30"/>
    </row>
    <row r="34" customFormat="false" ht="19.5" hidden="false" customHeight="true" outlineLevel="0" collapsed="false">
      <c r="A34" s="28" t="str">
        <f aca="false">IF($C34="","",COUNTA($C$17:$C34))</f>
        <v/>
      </c>
      <c r="B34" s="29"/>
      <c r="C34" s="30"/>
      <c r="D34" s="29"/>
      <c r="E34" s="31" t="str">
        <f aca="false">IF($C34="","",IF(NOT(OR(M34="Completed",M34="NA",M34="Cancelled")),"S1 Schematic",IF(NOT(OR(R34="Completed",R34="NA",R34="Cancelled")),"S2 PCB Layout",IF(NOT(OR(W34="Completed",W34="NA",W34="Cancelled")),"S3 SI &amp; PI",IF(NOT(OR(AB34="Completed",AB34="NA",AB34="Cancelled")),"S4 Bare-PCB Fab",IF(NOT(OR(AG34="Completed",AG34="NA",AG34="Cancelled")),"S5 Assembly",IF(NOT(OR(AL34="Completed",AL34="NA",AL34="Cancelled")),"S6 Bring-up",IF(NOT(OR(AQ34="Completed",AQ34="NA",AQ34="Cancelled")),"S7 BOM Procurement","All Stages Closed"))))))))</f>
        <v/>
      </c>
      <c r="F34" s="32" t="str">
        <f aca="false">IF($C34="","",IF(COUNTIF(M34,"Cancelled")+COUNTIF(R34,"Cancelled")+COUNTIF(W34,"Cancelled")+COUNTIF(AB34,"Cancelled")+COUNTIF(AG34,"Cancelled")+COUNTIF(AL34,"Cancelled")+COUNTIF(AQ34,"Cancelled")&gt;0,"Cancelled",IF(E34="All Stages Closed","Completed",IF(E34="S1 Schematic",M34,IF(E34="S2 PCB Layout",R34,IF(E34="S3 SI &amp; PI",W34,IF(E34="S4 Bare-PCB Fab",AB34,IF(E34="S5 Assembly",AG34,IF(E34="S6 Bring-up",AL34,AQ34)))))))))</f>
        <v/>
      </c>
      <c r="G34" s="33" t="str">
        <f aca="false">IF($C34="","",IF(E34="All Stages Closed","",IF(E34="S1 Schematic",IF(N34="","Not added",N34),IF(E34="S2 PCB Layout",IF(S34="","Not added",S34),IF(E34="S3 SI &amp; PI",IF(X34="","Not added",X34),IF(E34="S4 Bare-PCB Fab",IF(AC34="","Not added",AC34),IF(E34="S5 Assembly",IF(AH34="","Not added",AH34),IF(E34="S6 Bring-up",IF(AM34="","Not added",AM34),IF(AR34="","Not added",AR34)))))))))</f>
        <v/>
      </c>
      <c r="H34" s="32" t="str">
        <f aca="true">IF($C34="","",IF(OR(F34="Completed",F34="Cancelled"),"",IF(NOT(ISNUMBER(G34)),"No date set",IF(TODAY()&gt;G34,TODAY()-G34&amp;" days late",G34-TODAY()&amp;" days left"))))</f>
        <v/>
      </c>
      <c r="I34" s="31" t="str">
        <f aca="false">IF($C34="","",COUNTIF(M34,"Completed")+COUNTIF(R34,"Completed")+COUNTIF(W34,"Completed")+COUNTIF(AB34,"Completed")+COUNTIF(AG34,"Completed")+COUNTIF(AL34,"Completed")+COUNTIF(AQ34,"Completed"))</f>
        <v/>
      </c>
      <c r="J34" s="31" t="str">
        <f aca="false">IF($C34="","",7-(COUNTIF(M34,"NA")+COUNTIF(R34,"NA")+COUNTIF(W34,"NA")+COUNTIF(AB34,"NA")+COUNTIF(AG34,"NA")+COUNTIF(AL34,"NA")+COUNTIF(AQ34,"NA")))</f>
        <v/>
      </c>
      <c r="K34" s="34" t="str">
        <f aca="false">IFERROR(I34/J34,"")</f>
        <v/>
      </c>
      <c r="L34" s="29"/>
      <c r="M34" s="35"/>
      <c r="N34" s="36"/>
      <c r="O34" s="36"/>
      <c r="P34" s="30"/>
      <c r="Q34" s="29"/>
      <c r="R34" s="35"/>
      <c r="S34" s="36"/>
      <c r="T34" s="36"/>
      <c r="U34" s="30"/>
      <c r="V34" s="29"/>
      <c r="W34" s="35"/>
      <c r="X34" s="36"/>
      <c r="Y34" s="36"/>
      <c r="Z34" s="30"/>
      <c r="AA34" s="29"/>
      <c r="AB34" s="35"/>
      <c r="AC34" s="36"/>
      <c r="AD34" s="36"/>
      <c r="AE34" s="30"/>
      <c r="AF34" s="29"/>
      <c r="AG34" s="35"/>
      <c r="AH34" s="36"/>
      <c r="AI34" s="36"/>
      <c r="AJ34" s="30"/>
      <c r="AK34" s="29"/>
      <c r="AL34" s="35"/>
      <c r="AM34" s="36"/>
      <c r="AN34" s="36"/>
      <c r="AO34" s="30"/>
      <c r="AP34" s="29"/>
      <c r="AQ34" s="35"/>
      <c r="AR34" s="36"/>
      <c r="AS34" s="36"/>
      <c r="AT34" s="30"/>
      <c r="AU34" s="29"/>
      <c r="AV34" s="29"/>
      <c r="AW34" s="29"/>
      <c r="AX34" s="37"/>
      <c r="AY34" s="29"/>
      <c r="AZ34" s="38" t="str">
        <f aca="false">IF($C34="","",IF(OR(F34="Completed",F34="Cancelled"),"",IF(AND(OR(F34="On Hold",ISNUMBER(VALUE(LEFT(H34,2)))),AY34=""),"Reason not given","")))</f>
        <v/>
      </c>
      <c r="BA34" s="30"/>
    </row>
    <row r="35" customFormat="false" ht="19.5" hidden="false" customHeight="true" outlineLevel="0" collapsed="false">
      <c r="A35" s="28" t="str">
        <f aca="false">IF($C35="","",COUNTA($C$17:$C35))</f>
        <v/>
      </c>
      <c r="B35" s="29"/>
      <c r="C35" s="30"/>
      <c r="D35" s="29"/>
      <c r="E35" s="31" t="str">
        <f aca="false">IF($C35="","",IF(NOT(OR(M35="Completed",M35="NA",M35="Cancelled")),"S1 Schematic",IF(NOT(OR(R35="Completed",R35="NA",R35="Cancelled")),"S2 PCB Layout",IF(NOT(OR(W35="Completed",W35="NA",W35="Cancelled")),"S3 SI &amp; PI",IF(NOT(OR(AB35="Completed",AB35="NA",AB35="Cancelled")),"S4 Bare-PCB Fab",IF(NOT(OR(AG35="Completed",AG35="NA",AG35="Cancelled")),"S5 Assembly",IF(NOT(OR(AL35="Completed",AL35="NA",AL35="Cancelled")),"S6 Bring-up",IF(NOT(OR(AQ35="Completed",AQ35="NA",AQ35="Cancelled")),"S7 BOM Procurement","All Stages Closed"))))))))</f>
        <v/>
      </c>
      <c r="F35" s="32" t="str">
        <f aca="false">IF($C35="","",IF(COUNTIF(M35,"Cancelled")+COUNTIF(R35,"Cancelled")+COUNTIF(W35,"Cancelled")+COUNTIF(AB35,"Cancelled")+COUNTIF(AG35,"Cancelled")+COUNTIF(AL35,"Cancelled")+COUNTIF(AQ35,"Cancelled")&gt;0,"Cancelled",IF(E35="All Stages Closed","Completed",IF(E35="S1 Schematic",M35,IF(E35="S2 PCB Layout",R35,IF(E35="S3 SI &amp; PI",W35,IF(E35="S4 Bare-PCB Fab",AB35,IF(E35="S5 Assembly",AG35,IF(E35="S6 Bring-up",AL35,AQ35)))))))))</f>
        <v/>
      </c>
      <c r="G35" s="33" t="str">
        <f aca="false">IF($C35="","",IF(E35="All Stages Closed","",IF(E35="S1 Schematic",IF(N35="","Not added",N35),IF(E35="S2 PCB Layout",IF(S35="","Not added",S35),IF(E35="S3 SI &amp; PI",IF(X35="","Not added",X35),IF(E35="S4 Bare-PCB Fab",IF(AC35="","Not added",AC35),IF(E35="S5 Assembly",IF(AH35="","Not added",AH35),IF(E35="S6 Bring-up",IF(AM35="","Not added",AM35),IF(AR35="","Not added",AR35)))))))))</f>
        <v/>
      </c>
      <c r="H35" s="32" t="str">
        <f aca="true">IF($C35="","",IF(OR(F35="Completed",F35="Cancelled"),"",IF(NOT(ISNUMBER(G35)),"No date set",IF(TODAY()&gt;G35,TODAY()-G35&amp;" days late",G35-TODAY()&amp;" days left"))))</f>
        <v/>
      </c>
      <c r="I35" s="31" t="str">
        <f aca="false">IF($C35="","",COUNTIF(M35,"Completed")+COUNTIF(R35,"Completed")+COUNTIF(W35,"Completed")+COUNTIF(AB35,"Completed")+COUNTIF(AG35,"Completed")+COUNTIF(AL35,"Completed")+COUNTIF(AQ35,"Completed"))</f>
        <v/>
      </c>
      <c r="J35" s="31" t="str">
        <f aca="false">IF($C35="","",7-(COUNTIF(M35,"NA")+COUNTIF(R35,"NA")+COUNTIF(W35,"NA")+COUNTIF(AB35,"NA")+COUNTIF(AG35,"NA")+COUNTIF(AL35,"NA")+COUNTIF(AQ35,"NA")))</f>
        <v/>
      </c>
      <c r="K35" s="34" t="str">
        <f aca="false">IFERROR(I35/J35,"")</f>
        <v/>
      </c>
      <c r="L35" s="29"/>
      <c r="M35" s="35"/>
      <c r="N35" s="36"/>
      <c r="O35" s="36"/>
      <c r="P35" s="30"/>
      <c r="Q35" s="29"/>
      <c r="R35" s="35"/>
      <c r="S35" s="36"/>
      <c r="T35" s="36"/>
      <c r="U35" s="30"/>
      <c r="V35" s="29"/>
      <c r="W35" s="35"/>
      <c r="X35" s="36"/>
      <c r="Y35" s="36"/>
      <c r="Z35" s="30"/>
      <c r="AA35" s="29"/>
      <c r="AB35" s="35"/>
      <c r="AC35" s="36"/>
      <c r="AD35" s="36"/>
      <c r="AE35" s="30"/>
      <c r="AF35" s="29"/>
      <c r="AG35" s="35"/>
      <c r="AH35" s="36"/>
      <c r="AI35" s="36"/>
      <c r="AJ35" s="30"/>
      <c r="AK35" s="29"/>
      <c r="AL35" s="35"/>
      <c r="AM35" s="36"/>
      <c r="AN35" s="36"/>
      <c r="AO35" s="30"/>
      <c r="AP35" s="29"/>
      <c r="AQ35" s="35"/>
      <c r="AR35" s="36"/>
      <c r="AS35" s="36"/>
      <c r="AT35" s="30"/>
      <c r="AU35" s="29"/>
      <c r="AV35" s="29"/>
      <c r="AW35" s="29"/>
      <c r="AX35" s="37"/>
      <c r="AY35" s="29"/>
      <c r="AZ35" s="38" t="str">
        <f aca="false">IF($C35="","",IF(OR(F35="Completed",F35="Cancelled"),"",IF(AND(OR(F35="On Hold",ISNUMBER(VALUE(LEFT(H35,2)))),AY35=""),"Reason not given","")))</f>
        <v/>
      </c>
      <c r="BA35" s="30"/>
    </row>
    <row r="36" customFormat="false" ht="19.5" hidden="false" customHeight="true" outlineLevel="0" collapsed="false">
      <c r="A36" s="28" t="str">
        <f aca="false">IF($C36="","",COUNTA($C$17:$C36))</f>
        <v/>
      </c>
      <c r="B36" s="29"/>
      <c r="C36" s="30"/>
      <c r="D36" s="29"/>
      <c r="E36" s="31" t="str">
        <f aca="false">IF($C36="","",IF(NOT(OR(M36="Completed",M36="NA",M36="Cancelled")),"S1 Schematic",IF(NOT(OR(R36="Completed",R36="NA",R36="Cancelled")),"S2 PCB Layout",IF(NOT(OR(W36="Completed",W36="NA",W36="Cancelled")),"S3 SI &amp; PI",IF(NOT(OR(AB36="Completed",AB36="NA",AB36="Cancelled")),"S4 Bare-PCB Fab",IF(NOT(OR(AG36="Completed",AG36="NA",AG36="Cancelled")),"S5 Assembly",IF(NOT(OR(AL36="Completed",AL36="NA",AL36="Cancelled")),"S6 Bring-up",IF(NOT(OR(AQ36="Completed",AQ36="NA",AQ36="Cancelled")),"S7 BOM Procurement","All Stages Closed"))))))))</f>
        <v/>
      </c>
      <c r="F36" s="32" t="str">
        <f aca="false">IF($C36="","",IF(COUNTIF(M36,"Cancelled")+COUNTIF(R36,"Cancelled")+COUNTIF(W36,"Cancelled")+COUNTIF(AB36,"Cancelled")+COUNTIF(AG36,"Cancelled")+COUNTIF(AL36,"Cancelled")+COUNTIF(AQ36,"Cancelled")&gt;0,"Cancelled",IF(E36="All Stages Closed","Completed",IF(E36="S1 Schematic",M36,IF(E36="S2 PCB Layout",R36,IF(E36="S3 SI &amp; PI",W36,IF(E36="S4 Bare-PCB Fab",AB36,IF(E36="S5 Assembly",AG36,IF(E36="S6 Bring-up",AL36,AQ36)))))))))</f>
        <v/>
      </c>
      <c r="G36" s="33" t="str">
        <f aca="false">IF($C36="","",IF(E36="All Stages Closed","",IF(E36="S1 Schematic",IF(N36="","Not added",N36),IF(E36="S2 PCB Layout",IF(S36="","Not added",S36),IF(E36="S3 SI &amp; PI",IF(X36="","Not added",X36),IF(E36="S4 Bare-PCB Fab",IF(AC36="","Not added",AC36),IF(E36="S5 Assembly",IF(AH36="","Not added",AH36),IF(E36="S6 Bring-up",IF(AM36="","Not added",AM36),IF(AR36="","Not added",AR36)))))))))</f>
        <v/>
      </c>
      <c r="H36" s="32" t="str">
        <f aca="true">IF($C36="","",IF(OR(F36="Completed",F36="Cancelled"),"",IF(NOT(ISNUMBER(G36)),"No date set",IF(TODAY()&gt;G36,TODAY()-G36&amp;" days late",G36-TODAY()&amp;" days left"))))</f>
        <v/>
      </c>
      <c r="I36" s="31" t="str">
        <f aca="false">IF($C36="","",COUNTIF(M36,"Completed")+COUNTIF(R36,"Completed")+COUNTIF(W36,"Completed")+COUNTIF(AB36,"Completed")+COUNTIF(AG36,"Completed")+COUNTIF(AL36,"Completed")+COUNTIF(AQ36,"Completed"))</f>
        <v/>
      </c>
      <c r="J36" s="31" t="str">
        <f aca="false">IF($C36="","",7-(COUNTIF(M36,"NA")+COUNTIF(R36,"NA")+COUNTIF(W36,"NA")+COUNTIF(AB36,"NA")+COUNTIF(AG36,"NA")+COUNTIF(AL36,"NA")+COUNTIF(AQ36,"NA")))</f>
        <v/>
      </c>
      <c r="K36" s="34" t="str">
        <f aca="false">IFERROR(I36/J36,"")</f>
        <v/>
      </c>
      <c r="L36" s="29"/>
      <c r="M36" s="35"/>
      <c r="N36" s="36"/>
      <c r="O36" s="36"/>
      <c r="P36" s="30"/>
      <c r="Q36" s="29"/>
      <c r="R36" s="35"/>
      <c r="S36" s="36"/>
      <c r="T36" s="36"/>
      <c r="U36" s="30"/>
      <c r="V36" s="29"/>
      <c r="W36" s="35"/>
      <c r="X36" s="36"/>
      <c r="Y36" s="36"/>
      <c r="Z36" s="30"/>
      <c r="AA36" s="29"/>
      <c r="AB36" s="35"/>
      <c r="AC36" s="36"/>
      <c r="AD36" s="36"/>
      <c r="AE36" s="30"/>
      <c r="AF36" s="29"/>
      <c r="AG36" s="35"/>
      <c r="AH36" s="36"/>
      <c r="AI36" s="36"/>
      <c r="AJ36" s="30"/>
      <c r="AK36" s="29"/>
      <c r="AL36" s="35"/>
      <c r="AM36" s="36"/>
      <c r="AN36" s="36"/>
      <c r="AO36" s="30"/>
      <c r="AP36" s="29"/>
      <c r="AQ36" s="35"/>
      <c r="AR36" s="36"/>
      <c r="AS36" s="36"/>
      <c r="AT36" s="30"/>
      <c r="AU36" s="29"/>
      <c r="AV36" s="29"/>
      <c r="AW36" s="29"/>
      <c r="AX36" s="37"/>
      <c r="AY36" s="29"/>
      <c r="AZ36" s="38" t="str">
        <f aca="false">IF($C36="","",IF(OR(F36="Completed",F36="Cancelled"),"",IF(AND(OR(F36="On Hold",ISNUMBER(VALUE(LEFT(H36,2)))),AY36=""),"Reason not given","")))</f>
        <v/>
      </c>
      <c r="BA36" s="30"/>
    </row>
    <row r="37" customFormat="false" ht="19.5" hidden="false" customHeight="true" outlineLevel="0" collapsed="false">
      <c r="A37" s="28" t="str">
        <f aca="false">IF($C37="","",COUNTA($C$17:$C37))</f>
        <v/>
      </c>
      <c r="B37" s="29"/>
      <c r="C37" s="30"/>
      <c r="D37" s="29"/>
      <c r="E37" s="31" t="str">
        <f aca="false">IF($C37="","",IF(NOT(OR(M37="Completed",M37="NA",M37="Cancelled")),"S1 Schematic",IF(NOT(OR(R37="Completed",R37="NA",R37="Cancelled")),"S2 PCB Layout",IF(NOT(OR(W37="Completed",W37="NA",W37="Cancelled")),"S3 SI &amp; PI",IF(NOT(OR(AB37="Completed",AB37="NA",AB37="Cancelled")),"S4 Bare-PCB Fab",IF(NOT(OR(AG37="Completed",AG37="NA",AG37="Cancelled")),"S5 Assembly",IF(NOT(OR(AL37="Completed",AL37="NA",AL37="Cancelled")),"S6 Bring-up",IF(NOT(OR(AQ37="Completed",AQ37="NA",AQ37="Cancelled")),"S7 BOM Procurement","All Stages Closed"))))))))</f>
        <v/>
      </c>
      <c r="F37" s="32" t="str">
        <f aca="false">IF($C37="","",IF(COUNTIF(M37,"Cancelled")+COUNTIF(R37,"Cancelled")+COUNTIF(W37,"Cancelled")+COUNTIF(AB37,"Cancelled")+COUNTIF(AG37,"Cancelled")+COUNTIF(AL37,"Cancelled")+COUNTIF(AQ37,"Cancelled")&gt;0,"Cancelled",IF(E37="All Stages Closed","Completed",IF(E37="S1 Schematic",M37,IF(E37="S2 PCB Layout",R37,IF(E37="S3 SI &amp; PI",W37,IF(E37="S4 Bare-PCB Fab",AB37,IF(E37="S5 Assembly",AG37,IF(E37="S6 Bring-up",AL37,AQ37)))))))))</f>
        <v/>
      </c>
      <c r="G37" s="33" t="str">
        <f aca="false">IF($C37="","",IF(E37="All Stages Closed","",IF(E37="S1 Schematic",IF(N37="","Not added",N37),IF(E37="S2 PCB Layout",IF(S37="","Not added",S37),IF(E37="S3 SI &amp; PI",IF(X37="","Not added",X37),IF(E37="S4 Bare-PCB Fab",IF(AC37="","Not added",AC37),IF(E37="S5 Assembly",IF(AH37="","Not added",AH37),IF(E37="S6 Bring-up",IF(AM37="","Not added",AM37),IF(AR37="","Not added",AR37)))))))))</f>
        <v/>
      </c>
      <c r="H37" s="32" t="str">
        <f aca="true">IF($C37="","",IF(OR(F37="Completed",F37="Cancelled"),"",IF(NOT(ISNUMBER(G37)),"No date set",IF(TODAY()&gt;G37,TODAY()-G37&amp;" days late",G37-TODAY()&amp;" days left"))))</f>
        <v/>
      </c>
      <c r="I37" s="31" t="str">
        <f aca="false">IF($C37="","",COUNTIF(M37,"Completed")+COUNTIF(R37,"Completed")+COUNTIF(W37,"Completed")+COUNTIF(AB37,"Completed")+COUNTIF(AG37,"Completed")+COUNTIF(AL37,"Completed")+COUNTIF(AQ37,"Completed"))</f>
        <v/>
      </c>
      <c r="J37" s="31" t="str">
        <f aca="false">IF($C37="","",7-(COUNTIF(M37,"NA")+COUNTIF(R37,"NA")+COUNTIF(W37,"NA")+COUNTIF(AB37,"NA")+COUNTIF(AG37,"NA")+COUNTIF(AL37,"NA")+COUNTIF(AQ37,"NA")))</f>
        <v/>
      </c>
      <c r="K37" s="34" t="str">
        <f aca="false">IFERROR(I37/J37,"")</f>
        <v/>
      </c>
      <c r="L37" s="29"/>
      <c r="M37" s="35"/>
      <c r="N37" s="36"/>
      <c r="O37" s="36"/>
      <c r="P37" s="30"/>
      <c r="Q37" s="29"/>
      <c r="R37" s="35"/>
      <c r="S37" s="36"/>
      <c r="T37" s="36"/>
      <c r="U37" s="30"/>
      <c r="V37" s="29"/>
      <c r="W37" s="35"/>
      <c r="X37" s="36"/>
      <c r="Y37" s="36"/>
      <c r="Z37" s="30"/>
      <c r="AA37" s="29"/>
      <c r="AB37" s="35"/>
      <c r="AC37" s="36"/>
      <c r="AD37" s="36"/>
      <c r="AE37" s="30"/>
      <c r="AF37" s="29"/>
      <c r="AG37" s="35"/>
      <c r="AH37" s="36"/>
      <c r="AI37" s="36"/>
      <c r="AJ37" s="30"/>
      <c r="AK37" s="29"/>
      <c r="AL37" s="35"/>
      <c r="AM37" s="36"/>
      <c r="AN37" s="36"/>
      <c r="AO37" s="30"/>
      <c r="AP37" s="29"/>
      <c r="AQ37" s="35"/>
      <c r="AR37" s="36"/>
      <c r="AS37" s="36"/>
      <c r="AT37" s="30"/>
      <c r="AU37" s="29"/>
      <c r="AV37" s="29"/>
      <c r="AW37" s="29"/>
      <c r="AX37" s="37"/>
      <c r="AY37" s="29"/>
      <c r="AZ37" s="38" t="str">
        <f aca="false">IF($C37="","",IF(OR(F37="Completed",F37="Cancelled"),"",IF(AND(OR(F37="On Hold",ISNUMBER(VALUE(LEFT(H37,2)))),AY37=""),"Reason not given","")))</f>
        <v/>
      </c>
      <c r="BA37" s="30"/>
    </row>
    <row r="38" customFormat="false" ht="19.5" hidden="false" customHeight="true" outlineLevel="0" collapsed="false">
      <c r="A38" s="28" t="str">
        <f aca="false">IF($C38="","",COUNTA($C$17:$C38))</f>
        <v/>
      </c>
      <c r="B38" s="29"/>
      <c r="C38" s="30"/>
      <c r="D38" s="29"/>
      <c r="E38" s="31" t="str">
        <f aca="false">IF($C38="","",IF(NOT(OR(M38="Completed",M38="NA",M38="Cancelled")),"S1 Schematic",IF(NOT(OR(R38="Completed",R38="NA",R38="Cancelled")),"S2 PCB Layout",IF(NOT(OR(W38="Completed",W38="NA",W38="Cancelled")),"S3 SI &amp; PI",IF(NOT(OR(AB38="Completed",AB38="NA",AB38="Cancelled")),"S4 Bare-PCB Fab",IF(NOT(OR(AG38="Completed",AG38="NA",AG38="Cancelled")),"S5 Assembly",IF(NOT(OR(AL38="Completed",AL38="NA",AL38="Cancelled")),"S6 Bring-up",IF(NOT(OR(AQ38="Completed",AQ38="NA",AQ38="Cancelled")),"S7 BOM Procurement","All Stages Closed"))))))))</f>
        <v/>
      </c>
      <c r="F38" s="32" t="str">
        <f aca="false">IF($C38="","",IF(COUNTIF(M38,"Cancelled")+COUNTIF(R38,"Cancelled")+COUNTIF(W38,"Cancelled")+COUNTIF(AB38,"Cancelled")+COUNTIF(AG38,"Cancelled")+COUNTIF(AL38,"Cancelled")+COUNTIF(AQ38,"Cancelled")&gt;0,"Cancelled",IF(E38="All Stages Closed","Completed",IF(E38="S1 Schematic",M38,IF(E38="S2 PCB Layout",R38,IF(E38="S3 SI &amp; PI",W38,IF(E38="S4 Bare-PCB Fab",AB38,IF(E38="S5 Assembly",AG38,IF(E38="S6 Bring-up",AL38,AQ38)))))))))</f>
        <v/>
      </c>
      <c r="G38" s="33" t="str">
        <f aca="false">IF($C38="","",IF(E38="All Stages Closed","",IF(E38="S1 Schematic",IF(N38="","Not added",N38),IF(E38="S2 PCB Layout",IF(S38="","Not added",S38),IF(E38="S3 SI &amp; PI",IF(X38="","Not added",X38),IF(E38="S4 Bare-PCB Fab",IF(AC38="","Not added",AC38),IF(E38="S5 Assembly",IF(AH38="","Not added",AH38),IF(E38="S6 Bring-up",IF(AM38="","Not added",AM38),IF(AR38="","Not added",AR38)))))))))</f>
        <v/>
      </c>
      <c r="H38" s="32" t="str">
        <f aca="true">IF($C38="","",IF(OR(F38="Completed",F38="Cancelled"),"",IF(NOT(ISNUMBER(G38)),"No date set",IF(TODAY()&gt;G38,TODAY()-G38&amp;" days late",G38-TODAY()&amp;" days left"))))</f>
        <v/>
      </c>
      <c r="I38" s="31" t="str">
        <f aca="false">IF($C38="","",COUNTIF(M38,"Completed")+COUNTIF(R38,"Completed")+COUNTIF(W38,"Completed")+COUNTIF(AB38,"Completed")+COUNTIF(AG38,"Completed")+COUNTIF(AL38,"Completed")+COUNTIF(AQ38,"Completed"))</f>
        <v/>
      </c>
      <c r="J38" s="31" t="str">
        <f aca="false">IF($C38="","",7-(COUNTIF(M38,"NA")+COUNTIF(R38,"NA")+COUNTIF(W38,"NA")+COUNTIF(AB38,"NA")+COUNTIF(AG38,"NA")+COUNTIF(AL38,"NA")+COUNTIF(AQ38,"NA")))</f>
        <v/>
      </c>
      <c r="K38" s="34" t="str">
        <f aca="false">IFERROR(I38/J38,"")</f>
        <v/>
      </c>
      <c r="L38" s="29"/>
      <c r="M38" s="35"/>
      <c r="N38" s="36"/>
      <c r="O38" s="36"/>
      <c r="P38" s="30"/>
      <c r="Q38" s="29"/>
      <c r="R38" s="35"/>
      <c r="S38" s="36"/>
      <c r="T38" s="36"/>
      <c r="U38" s="30"/>
      <c r="V38" s="29"/>
      <c r="W38" s="35"/>
      <c r="X38" s="36"/>
      <c r="Y38" s="36"/>
      <c r="Z38" s="30"/>
      <c r="AA38" s="29"/>
      <c r="AB38" s="35"/>
      <c r="AC38" s="36"/>
      <c r="AD38" s="36"/>
      <c r="AE38" s="30"/>
      <c r="AF38" s="29"/>
      <c r="AG38" s="35"/>
      <c r="AH38" s="36"/>
      <c r="AI38" s="36"/>
      <c r="AJ38" s="30"/>
      <c r="AK38" s="29"/>
      <c r="AL38" s="35"/>
      <c r="AM38" s="36"/>
      <c r="AN38" s="36"/>
      <c r="AO38" s="30"/>
      <c r="AP38" s="29"/>
      <c r="AQ38" s="35"/>
      <c r="AR38" s="36"/>
      <c r="AS38" s="36"/>
      <c r="AT38" s="30"/>
      <c r="AU38" s="29"/>
      <c r="AV38" s="29"/>
      <c r="AW38" s="29"/>
      <c r="AX38" s="37"/>
      <c r="AY38" s="29"/>
      <c r="AZ38" s="38" t="str">
        <f aca="false">IF($C38="","",IF(OR(F38="Completed",F38="Cancelled"),"",IF(AND(OR(F38="On Hold",ISNUMBER(VALUE(LEFT(H38,2)))),AY38=""),"Reason not given","")))</f>
        <v/>
      </c>
      <c r="BA38" s="30"/>
    </row>
    <row r="39" customFormat="false" ht="19.5" hidden="false" customHeight="true" outlineLevel="0" collapsed="false">
      <c r="A39" s="28" t="str">
        <f aca="false">IF($C39="","",COUNTA($C$17:$C39))</f>
        <v/>
      </c>
      <c r="B39" s="29"/>
      <c r="C39" s="30"/>
      <c r="D39" s="29"/>
      <c r="E39" s="31" t="str">
        <f aca="false">IF($C39="","",IF(NOT(OR(M39="Completed",M39="NA",M39="Cancelled")),"S1 Schematic",IF(NOT(OR(R39="Completed",R39="NA",R39="Cancelled")),"S2 PCB Layout",IF(NOT(OR(W39="Completed",W39="NA",W39="Cancelled")),"S3 SI &amp; PI",IF(NOT(OR(AB39="Completed",AB39="NA",AB39="Cancelled")),"S4 Bare-PCB Fab",IF(NOT(OR(AG39="Completed",AG39="NA",AG39="Cancelled")),"S5 Assembly",IF(NOT(OR(AL39="Completed",AL39="NA",AL39="Cancelled")),"S6 Bring-up",IF(NOT(OR(AQ39="Completed",AQ39="NA",AQ39="Cancelled")),"S7 BOM Procurement","All Stages Closed"))))))))</f>
        <v/>
      </c>
      <c r="F39" s="32" t="str">
        <f aca="false">IF($C39="","",IF(COUNTIF(M39,"Cancelled")+COUNTIF(R39,"Cancelled")+COUNTIF(W39,"Cancelled")+COUNTIF(AB39,"Cancelled")+COUNTIF(AG39,"Cancelled")+COUNTIF(AL39,"Cancelled")+COUNTIF(AQ39,"Cancelled")&gt;0,"Cancelled",IF(E39="All Stages Closed","Completed",IF(E39="S1 Schematic",M39,IF(E39="S2 PCB Layout",R39,IF(E39="S3 SI &amp; PI",W39,IF(E39="S4 Bare-PCB Fab",AB39,IF(E39="S5 Assembly",AG39,IF(E39="S6 Bring-up",AL39,AQ39)))))))))</f>
        <v/>
      </c>
      <c r="G39" s="33" t="str">
        <f aca="false">IF($C39="","",IF(E39="All Stages Closed","",IF(E39="S1 Schematic",IF(N39="","Not added",N39),IF(E39="S2 PCB Layout",IF(S39="","Not added",S39),IF(E39="S3 SI &amp; PI",IF(X39="","Not added",X39),IF(E39="S4 Bare-PCB Fab",IF(AC39="","Not added",AC39),IF(E39="S5 Assembly",IF(AH39="","Not added",AH39),IF(E39="S6 Bring-up",IF(AM39="","Not added",AM39),IF(AR39="","Not added",AR39)))))))))</f>
        <v/>
      </c>
      <c r="H39" s="32" t="str">
        <f aca="true">IF($C39="","",IF(OR(F39="Completed",F39="Cancelled"),"",IF(NOT(ISNUMBER(G39)),"No date set",IF(TODAY()&gt;G39,TODAY()-G39&amp;" days late",G39-TODAY()&amp;" days left"))))</f>
        <v/>
      </c>
      <c r="I39" s="31" t="str">
        <f aca="false">IF($C39="","",COUNTIF(M39,"Completed")+COUNTIF(R39,"Completed")+COUNTIF(W39,"Completed")+COUNTIF(AB39,"Completed")+COUNTIF(AG39,"Completed")+COUNTIF(AL39,"Completed")+COUNTIF(AQ39,"Completed"))</f>
        <v/>
      </c>
      <c r="J39" s="31" t="str">
        <f aca="false">IF($C39="","",7-(COUNTIF(M39,"NA")+COUNTIF(R39,"NA")+COUNTIF(W39,"NA")+COUNTIF(AB39,"NA")+COUNTIF(AG39,"NA")+COUNTIF(AL39,"NA")+COUNTIF(AQ39,"NA")))</f>
        <v/>
      </c>
      <c r="K39" s="34" t="str">
        <f aca="false">IFERROR(I39/J39,"")</f>
        <v/>
      </c>
      <c r="L39" s="29"/>
      <c r="M39" s="35"/>
      <c r="N39" s="36"/>
      <c r="O39" s="36"/>
      <c r="P39" s="30"/>
      <c r="Q39" s="29"/>
      <c r="R39" s="35"/>
      <c r="S39" s="36"/>
      <c r="T39" s="36"/>
      <c r="U39" s="30"/>
      <c r="V39" s="29"/>
      <c r="W39" s="35"/>
      <c r="X39" s="36"/>
      <c r="Y39" s="36"/>
      <c r="Z39" s="30"/>
      <c r="AA39" s="29"/>
      <c r="AB39" s="35"/>
      <c r="AC39" s="36"/>
      <c r="AD39" s="36"/>
      <c r="AE39" s="30"/>
      <c r="AF39" s="29"/>
      <c r="AG39" s="35"/>
      <c r="AH39" s="36"/>
      <c r="AI39" s="36"/>
      <c r="AJ39" s="30"/>
      <c r="AK39" s="29"/>
      <c r="AL39" s="35"/>
      <c r="AM39" s="36"/>
      <c r="AN39" s="36"/>
      <c r="AO39" s="30"/>
      <c r="AP39" s="29"/>
      <c r="AQ39" s="35"/>
      <c r="AR39" s="36"/>
      <c r="AS39" s="36"/>
      <c r="AT39" s="30"/>
      <c r="AU39" s="29"/>
      <c r="AV39" s="29"/>
      <c r="AW39" s="29"/>
      <c r="AX39" s="37"/>
      <c r="AY39" s="29"/>
      <c r="AZ39" s="38" t="str">
        <f aca="false">IF($C39="","",IF(OR(F39="Completed",F39="Cancelled"),"",IF(AND(OR(F39="On Hold",ISNUMBER(VALUE(LEFT(H39,2)))),AY39=""),"Reason not given","")))</f>
        <v/>
      </c>
      <c r="BA39" s="30"/>
    </row>
    <row r="40" customFormat="false" ht="19.5" hidden="false" customHeight="true" outlineLevel="0" collapsed="false">
      <c r="A40" s="28" t="str">
        <f aca="false">IF($C40="","",COUNTA($C$17:$C40))</f>
        <v/>
      </c>
      <c r="B40" s="29"/>
      <c r="C40" s="30"/>
      <c r="D40" s="29"/>
      <c r="E40" s="31" t="str">
        <f aca="false">IF($C40="","",IF(NOT(OR(M40="Completed",M40="NA",M40="Cancelled")),"S1 Schematic",IF(NOT(OR(R40="Completed",R40="NA",R40="Cancelled")),"S2 PCB Layout",IF(NOT(OR(W40="Completed",W40="NA",W40="Cancelled")),"S3 SI &amp; PI",IF(NOT(OR(AB40="Completed",AB40="NA",AB40="Cancelled")),"S4 Bare-PCB Fab",IF(NOT(OR(AG40="Completed",AG40="NA",AG40="Cancelled")),"S5 Assembly",IF(NOT(OR(AL40="Completed",AL40="NA",AL40="Cancelled")),"S6 Bring-up",IF(NOT(OR(AQ40="Completed",AQ40="NA",AQ40="Cancelled")),"S7 BOM Procurement","All Stages Closed"))))))))</f>
        <v/>
      </c>
      <c r="F40" s="32" t="str">
        <f aca="false">IF($C40="","",IF(COUNTIF(M40,"Cancelled")+COUNTIF(R40,"Cancelled")+COUNTIF(W40,"Cancelled")+COUNTIF(AB40,"Cancelled")+COUNTIF(AG40,"Cancelled")+COUNTIF(AL40,"Cancelled")+COUNTIF(AQ40,"Cancelled")&gt;0,"Cancelled",IF(E40="All Stages Closed","Completed",IF(E40="S1 Schematic",M40,IF(E40="S2 PCB Layout",R40,IF(E40="S3 SI &amp; PI",W40,IF(E40="S4 Bare-PCB Fab",AB40,IF(E40="S5 Assembly",AG40,IF(E40="S6 Bring-up",AL40,AQ40)))))))))</f>
        <v/>
      </c>
      <c r="G40" s="33" t="str">
        <f aca="false">IF($C40="","",IF(E40="All Stages Closed","",IF(E40="S1 Schematic",IF(N40="","Not added",N40),IF(E40="S2 PCB Layout",IF(S40="","Not added",S40),IF(E40="S3 SI &amp; PI",IF(X40="","Not added",X40),IF(E40="S4 Bare-PCB Fab",IF(AC40="","Not added",AC40),IF(E40="S5 Assembly",IF(AH40="","Not added",AH40),IF(E40="S6 Bring-up",IF(AM40="","Not added",AM40),IF(AR40="","Not added",AR40)))))))))</f>
        <v/>
      </c>
      <c r="H40" s="32" t="str">
        <f aca="true">IF($C40="","",IF(OR(F40="Completed",F40="Cancelled"),"",IF(NOT(ISNUMBER(G40)),"No date set",IF(TODAY()&gt;G40,TODAY()-G40&amp;" days late",G40-TODAY()&amp;" days left"))))</f>
        <v/>
      </c>
      <c r="I40" s="31" t="str">
        <f aca="false">IF($C40="","",COUNTIF(M40,"Completed")+COUNTIF(R40,"Completed")+COUNTIF(W40,"Completed")+COUNTIF(AB40,"Completed")+COUNTIF(AG40,"Completed")+COUNTIF(AL40,"Completed")+COUNTIF(AQ40,"Completed"))</f>
        <v/>
      </c>
      <c r="J40" s="31" t="str">
        <f aca="false">IF($C40="","",7-(COUNTIF(M40,"NA")+COUNTIF(R40,"NA")+COUNTIF(W40,"NA")+COUNTIF(AB40,"NA")+COUNTIF(AG40,"NA")+COUNTIF(AL40,"NA")+COUNTIF(AQ40,"NA")))</f>
        <v/>
      </c>
      <c r="K40" s="34" t="str">
        <f aca="false">IFERROR(I40/J40,"")</f>
        <v/>
      </c>
      <c r="L40" s="29"/>
      <c r="M40" s="35"/>
      <c r="N40" s="36"/>
      <c r="O40" s="36"/>
      <c r="P40" s="30"/>
      <c r="Q40" s="29"/>
      <c r="R40" s="35"/>
      <c r="S40" s="36"/>
      <c r="T40" s="36"/>
      <c r="U40" s="30"/>
      <c r="V40" s="29"/>
      <c r="W40" s="35"/>
      <c r="X40" s="36"/>
      <c r="Y40" s="36"/>
      <c r="Z40" s="30"/>
      <c r="AA40" s="29"/>
      <c r="AB40" s="35"/>
      <c r="AC40" s="36"/>
      <c r="AD40" s="36"/>
      <c r="AE40" s="30"/>
      <c r="AF40" s="29"/>
      <c r="AG40" s="35"/>
      <c r="AH40" s="36"/>
      <c r="AI40" s="36"/>
      <c r="AJ40" s="30"/>
      <c r="AK40" s="29"/>
      <c r="AL40" s="35"/>
      <c r="AM40" s="36"/>
      <c r="AN40" s="36"/>
      <c r="AO40" s="30"/>
      <c r="AP40" s="29"/>
      <c r="AQ40" s="35"/>
      <c r="AR40" s="36"/>
      <c r="AS40" s="36"/>
      <c r="AT40" s="30"/>
      <c r="AU40" s="29"/>
      <c r="AV40" s="29"/>
      <c r="AW40" s="29"/>
      <c r="AX40" s="37"/>
      <c r="AY40" s="29"/>
      <c r="AZ40" s="38" t="str">
        <f aca="false">IF($C40="","",IF(OR(F40="Completed",F40="Cancelled"),"",IF(AND(OR(F40="On Hold",ISNUMBER(VALUE(LEFT(H40,2)))),AY40=""),"Reason not given","")))</f>
        <v/>
      </c>
      <c r="BA40" s="30"/>
    </row>
    <row r="41" customFormat="false" ht="19.5" hidden="false" customHeight="true" outlineLevel="0" collapsed="false">
      <c r="A41" s="28" t="str">
        <f aca="false">IF($C41="","",COUNTA($C$17:$C41))</f>
        <v/>
      </c>
      <c r="B41" s="29"/>
      <c r="C41" s="30"/>
      <c r="D41" s="29"/>
      <c r="E41" s="31" t="str">
        <f aca="false">IF($C41="","",IF(NOT(OR(M41="Completed",M41="NA",M41="Cancelled")),"S1 Schematic",IF(NOT(OR(R41="Completed",R41="NA",R41="Cancelled")),"S2 PCB Layout",IF(NOT(OR(W41="Completed",W41="NA",W41="Cancelled")),"S3 SI &amp; PI",IF(NOT(OR(AB41="Completed",AB41="NA",AB41="Cancelled")),"S4 Bare-PCB Fab",IF(NOT(OR(AG41="Completed",AG41="NA",AG41="Cancelled")),"S5 Assembly",IF(NOT(OR(AL41="Completed",AL41="NA",AL41="Cancelled")),"S6 Bring-up",IF(NOT(OR(AQ41="Completed",AQ41="NA",AQ41="Cancelled")),"S7 BOM Procurement","All Stages Closed"))))))))</f>
        <v/>
      </c>
      <c r="F41" s="32" t="str">
        <f aca="false">IF($C41="","",IF(COUNTIF(M41,"Cancelled")+COUNTIF(R41,"Cancelled")+COUNTIF(W41,"Cancelled")+COUNTIF(AB41,"Cancelled")+COUNTIF(AG41,"Cancelled")+COUNTIF(AL41,"Cancelled")+COUNTIF(AQ41,"Cancelled")&gt;0,"Cancelled",IF(E41="All Stages Closed","Completed",IF(E41="S1 Schematic",M41,IF(E41="S2 PCB Layout",R41,IF(E41="S3 SI &amp; PI",W41,IF(E41="S4 Bare-PCB Fab",AB41,IF(E41="S5 Assembly",AG41,IF(E41="S6 Bring-up",AL41,AQ41)))))))))</f>
        <v/>
      </c>
      <c r="G41" s="33" t="str">
        <f aca="false">IF($C41="","",IF(E41="All Stages Closed","",IF(E41="S1 Schematic",IF(N41="","Not added",N41),IF(E41="S2 PCB Layout",IF(S41="","Not added",S41),IF(E41="S3 SI &amp; PI",IF(X41="","Not added",X41),IF(E41="S4 Bare-PCB Fab",IF(AC41="","Not added",AC41),IF(E41="S5 Assembly",IF(AH41="","Not added",AH41),IF(E41="S6 Bring-up",IF(AM41="","Not added",AM41),IF(AR41="","Not added",AR41)))))))))</f>
        <v/>
      </c>
      <c r="H41" s="32" t="str">
        <f aca="true">IF($C41="","",IF(OR(F41="Completed",F41="Cancelled"),"",IF(NOT(ISNUMBER(G41)),"No date set",IF(TODAY()&gt;G41,TODAY()-G41&amp;" days late",G41-TODAY()&amp;" days left"))))</f>
        <v/>
      </c>
      <c r="I41" s="31" t="str">
        <f aca="false">IF($C41="","",COUNTIF(M41,"Completed")+COUNTIF(R41,"Completed")+COUNTIF(W41,"Completed")+COUNTIF(AB41,"Completed")+COUNTIF(AG41,"Completed")+COUNTIF(AL41,"Completed")+COUNTIF(AQ41,"Completed"))</f>
        <v/>
      </c>
      <c r="J41" s="31" t="str">
        <f aca="false">IF($C41="","",7-(COUNTIF(M41,"NA")+COUNTIF(R41,"NA")+COUNTIF(W41,"NA")+COUNTIF(AB41,"NA")+COUNTIF(AG41,"NA")+COUNTIF(AL41,"NA")+COUNTIF(AQ41,"NA")))</f>
        <v/>
      </c>
      <c r="K41" s="34" t="str">
        <f aca="false">IFERROR(I41/J41,"")</f>
        <v/>
      </c>
      <c r="L41" s="29"/>
      <c r="M41" s="35"/>
      <c r="N41" s="36"/>
      <c r="O41" s="36"/>
      <c r="P41" s="30"/>
      <c r="Q41" s="29"/>
      <c r="R41" s="35"/>
      <c r="S41" s="36"/>
      <c r="T41" s="36"/>
      <c r="U41" s="30"/>
      <c r="V41" s="29"/>
      <c r="W41" s="35"/>
      <c r="X41" s="36"/>
      <c r="Y41" s="36"/>
      <c r="Z41" s="30"/>
      <c r="AA41" s="29"/>
      <c r="AB41" s="35"/>
      <c r="AC41" s="36"/>
      <c r="AD41" s="36"/>
      <c r="AE41" s="30"/>
      <c r="AF41" s="29"/>
      <c r="AG41" s="35"/>
      <c r="AH41" s="36"/>
      <c r="AI41" s="36"/>
      <c r="AJ41" s="30"/>
      <c r="AK41" s="29"/>
      <c r="AL41" s="35"/>
      <c r="AM41" s="36"/>
      <c r="AN41" s="36"/>
      <c r="AO41" s="30"/>
      <c r="AP41" s="29"/>
      <c r="AQ41" s="35"/>
      <c r="AR41" s="36"/>
      <c r="AS41" s="36"/>
      <c r="AT41" s="30"/>
      <c r="AU41" s="29"/>
      <c r="AV41" s="29"/>
      <c r="AW41" s="29"/>
      <c r="AX41" s="37"/>
      <c r="AY41" s="29"/>
      <c r="AZ41" s="38" t="str">
        <f aca="false">IF($C41="","",IF(OR(F41="Completed",F41="Cancelled"),"",IF(AND(OR(F41="On Hold",ISNUMBER(VALUE(LEFT(H41,2)))),AY41=""),"Reason not given","")))</f>
        <v/>
      </c>
      <c r="BA41" s="30"/>
    </row>
    <row r="42" customFormat="false" ht="19.5" hidden="false" customHeight="true" outlineLevel="0" collapsed="false">
      <c r="A42" s="28" t="str">
        <f aca="false">IF($C42="","",COUNTA($C$17:$C42))</f>
        <v/>
      </c>
      <c r="B42" s="29"/>
      <c r="C42" s="30"/>
      <c r="D42" s="29"/>
      <c r="E42" s="31" t="str">
        <f aca="false">IF($C42="","",IF(NOT(OR(M42="Completed",M42="NA",M42="Cancelled")),"S1 Schematic",IF(NOT(OR(R42="Completed",R42="NA",R42="Cancelled")),"S2 PCB Layout",IF(NOT(OR(W42="Completed",W42="NA",W42="Cancelled")),"S3 SI &amp; PI",IF(NOT(OR(AB42="Completed",AB42="NA",AB42="Cancelled")),"S4 Bare-PCB Fab",IF(NOT(OR(AG42="Completed",AG42="NA",AG42="Cancelled")),"S5 Assembly",IF(NOT(OR(AL42="Completed",AL42="NA",AL42="Cancelled")),"S6 Bring-up",IF(NOT(OR(AQ42="Completed",AQ42="NA",AQ42="Cancelled")),"S7 BOM Procurement","All Stages Closed"))))))))</f>
        <v/>
      </c>
      <c r="F42" s="32" t="str">
        <f aca="false">IF($C42="","",IF(COUNTIF(M42,"Cancelled")+COUNTIF(R42,"Cancelled")+COUNTIF(W42,"Cancelled")+COUNTIF(AB42,"Cancelled")+COUNTIF(AG42,"Cancelled")+COUNTIF(AL42,"Cancelled")+COUNTIF(AQ42,"Cancelled")&gt;0,"Cancelled",IF(E42="All Stages Closed","Completed",IF(E42="S1 Schematic",M42,IF(E42="S2 PCB Layout",R42,IF(E42="S3 SI &amp; PI",W42,IF(E42="S4 Bare-PCB Fab",AB42,IF(E42="S5 Assembly",AG42,IF(E42="S6 Bring-up",AL42,AQ42)))))))))</f>
        <v/>
      </c>
      <c r="G42" s="33" t="str">
        <f aca="false">IF($C42="","",IF(E42="All Stages Closed","",IF(E42="S1 Schematic",IF(N42="","Not added",N42),IF(E42="S2 PCB Layout",IF(S42="","Not added",S42),IF(E42="S3 SI &amp; PI",IF(X42="","Not added",X42),IF(E42="S4 Bare-PCB Fab",IF(AC42="","Not added",AC42),IF(E42="S5 Assembly",IF(AH42="","Not added",AH42),IF(E42="S6 Bring-up",IF(AM42="","Not added",AM42),IF(AR42="","Not added",AR42)))))))))</f>
        <v/>
      </c>
      <c r="H42" s="32" t="str">
        <f aca="true">IF($C42="","",IF(OR(F42="Completed",F42="Cancelled"),"",IF(NOT(ISNUMBER(G42)),"No date set",IF(TODAY()&gt;G42,TODAY()-G42&amp;" days late",G42-TODAY()&amp;" days left"))))</f>
        <v/>
      </c>
      <c r="I42" s="31" t="str">
        <f aca="false">IF($C42="","",COUNTIF(M42,"Completed")+COUNTIF(R42,"Completed")+COUNTIF(W42,"Completed")+COUNTIF(AB42,"Completed")+COUNTIF(AG42,"Completed")+COUNTIF(AL42,"Completed")+COUNTIF(AQ42,"Completed"))</f>
        <v/>
      </c>
      <c r="J42" s="31" t="str">
        <f aca="false">IF($C42="","",7-(COUNTIF(M42,"NA")+COUNTIF(R42,"NA")+COUNTIF(W42,"NA")+COUNTIF(AB42,"NA")+COUNTIF(AG42,"NA")+COUNTIF(AL42,"NA")+COUNTIF(AQ42,"NA")))</f>
        <v/>
      </c>
      <c r="K42" s="34" t="str">
        <f aca="false">IFERROR(I42/J42,"")</f>
        <v/>
      </c>
      <c r="L42" s="29"/>
      <c r="M42" s="35"/>
      <c r="N42" s="36"/>
      <c r="O42" s="36"/>
      <c r="P42" s="30"/>
      <c r="Q42" s="29"/>
      <c r="R42" s="35"/>
      <c r="S42" s="36"/>
      <c r="T42" s="36"/>
      <c r="U42" s="30"/>
      <c r="V42" s="29"/>
      <c r="W42" s="35"/>
      <c r="X42" s="36"/>
      <c r="Y42" s="36"/>
      <c r="Z42" s="30"/>
      <c r="AA42" s="29"/>
      <c r="AB42" s="35"/>
      <c r="AC42" s="36"/>
      <c r="AD42" s="36"/>
      <c r="AE42" s="30"/>
      <c r="AF42" s="29"/>
      <c r="AG42" s="35"/>
      <c r="AH42" s="36"/>
      <c r="AI42" s="36"/>
      <c r="AJ42" s="30"/>
      <c r="AK42" s="29"/>
      <c r="AL42" s="35"/>
      <c r="AM42" s="36"/>
      <c r="AN42" s="36"/>
      <c r="AO42" s="30"/>
      <c r="AP42" s="29"/>
      <c r="AQ42" s="35"/>
      <c r="AR42" s="36"/>
      <c r="AS42" s="36"/>
      <c r="AT42" s="30"/>
      <c r="AU42" s="29"/>
      <c r="AV42" s="29"/>
      <c r="AW42" s="29"/>
      <c r="AX42" s="37"/>
      <c r="AY42" s="29"/>
      <c r="AZ42" s="38" t="str">
        <f aca="false">IF($C42="","",IF(OR(F42="Completed",F42="Cancelled"),"",IF(AND(OR(F42="On Hold",ISNUMBER(VALUE(LEFT(H42,2)))),AY42=""),"Reason not given","")))</f>
        <v/>
      </c>
      <c r="BA42" s="30"/>
    </row>
    <row r="43" customFormat="false" ht="19.5" hidden="false" customHeight="true" outlineLevel="0" collapsed="false">
      <c r="A43" s="28" t="str">
        <f aca="false">IF($C43="","",COUNTA($C$17:$C43))</f>
        <v/>
      </c>
      <c r="B43" s="29"/>
      <c r="C43" s="30"/>
      <c r="D43" s="29"/>
      <c r="E43" s="31" t="str">
        <f aca="false">IF($C43="","",IF(NOT(OR(M43="Completed",M43="NA",M43="Cancelled")),"S1 Schematic",IF(NOT(OR(R43="Completed",R43="NA",R43="Cancelled")),"S2 PCB Layout",IF(NOT(OR(W43="Completed",W43="NA",W43="Cancelled")),"S3 SI &amp; PI",IF(NOT(OR(AB43="Completed",AB43="NA",AB43="Cancelled")),"S4 Bare-PCB Fab",IF(NOT(OR(AG43="Completed",AG43="NA",AG43="Cancelled")),"S5 Assembly",IF(NOT(OR(AL43="Completed",AL43="NA",AL43="Cancelled")),"S6 Bring-up",IF(NOT(OR(AQ43="Completed",AQ43="NA",AQ43="Cancelled")),"S7 BOM Procurement","All Stages Closed"))))))))</f>
        <v/>
      </c>
      <c r="F43" s="32" t="str">
        <f aca="false">IF($C43="","",IF(COUNTIF(M43,"Cancelled")+COUNTIF(R43,"Cancelled")+COUNTIF(W43,"Cancelled")+COUNTIF(AB43,"Cancelled")+COUNTIF(AG43,"Cancelled")+COUNTIF(AL43,"Cancelled")+COUNTIF(AQ43,"Cancelled")&gt;0,"Cancelled",IF(E43="All Stages Closed","Completed",IF(E43="S1 Schematic",M43,IF(E43="S2 PCB Layout",R43,IF(E43="S3 SI &amp; PI",W43,IF(E43="S4 Bare-PCB Fab",AB43,IF(E43="S5 Assembly",AG43,IF(E43="S6 Bring-up",AL43,AQ43)))))))))</f>
        <v/>
      </c>
      <c r="G43" s="33" t="str">
        <f aca="false">IF($C43="","",IF(E43="All Stages Closed","",IF(E43="S1 Schematic",IF(N43="","Not added",N43),IF(E43="S2 PCB Layout",IF(S43="","Not added",S43),IF(E43="S3 SI &amp; PI",IF(X43="","Not added",X43),IF(E43="S4 Bare-PCB Fab",IF(AC43="","Not added",AC43),IF(E43="S5 Assembly",IF(AH43="","Not added",AH43),IF(E43="S6 Bring-up",IF(AM43="","Not added",AM43),IF(AR43="","Not added",AR43)))))))))</f>
        <v/>
      </c>
      <c r="H43" s="32" t="str">
        <f aca="true">IF($C43="","",IF(OR(F43="Completed",F43="Cancelled"),"",IF(NOT(ISNUMBER(G43)),"No date set",IF(TODAY()&gt;G43,TODAY()-G43&amp;" days late",G43-TODAY()&amp;" days left"))))</f>
        <v/>
      </c>
      <c r="I43" s="31" t="str">
        <f aca="false">IF($C43="","",COUNTIF(M43,"Completed")+COUNTIF(R43,"Completed")+COUNTIF(W43,"Completed")+COUNTIF(AB43,"Completed")+COUNTIF(AG43,"Completed")+COUNTIF(AL43,"Completed")+COUNTIF(AQ43,"Completed"))</f>
        <v/>
      </c>
      <c r="J43" s="31" t="str">
        <f aca="false">IF($C43="","",7-(COUNTIF(M43,"NA")+COUNTIF(R43,"NA")+COUNTIF(W43,"NA")+COUNTIF(AB43,"NA")+COUNTIF(AG43,"NA")+COUNTIF(AL43,"NA")+COUNTIF(AQ43,"NA")))</f>
        <v/>
      </c>
      <c r="K43" s="34" t="str">
        <f aca="false">IFERROR(I43/J43,"")</f>
        <v/>
      </c>
      <c r="L43" s="29"/>
      <c r="M43" s="35"/>
      <c r="N43" s="36"/>
      <c r="O43" s="36"/>
      <c r="P43" s="30"/>
      <c r="Q43" s="29"/>
      <c r="R43" s="35"/>
      <c r="S43" s="36"/>
      <c r="T43" s="36"/>
      <c r="U43" s="30"/>
      <c r="V43" s="29"/>
      <c r="W43" s="35"/>
      <c r="X43" s="36"/>
      <c r="Y43" s="36"/>
      <c r="Z43" s="30"/>
      <c r="AA43" s="29"/>
      <c r="AB43" s="35"/>
      <c r="AC43" s="36"/>
      <c r="AD43" s="36"/>
      <c r="AE43" s="30"/>
      <c r="AF43" s="29"/>
      <c r="AG43" s="35"/>
      <c r="AH43" s="36"/>
      <c r="AI43" s="36"/>
      <c r="AJ43" s="30"/>
      <c r="AK43" s="29"/>
      <c r="AL43" s="35"/>
      <c r="AM43" s="36"/>
      <c r="AN43" s="36"/>
      <c r="AO43" s="30"/>
      <c r="AP43" s="29"/>
      <c r="AQ43" s="35"/>
      <c r="AR43" s="36"/>
      <c r="AS43" s="36"/>
      <c r="AT43" s="30"/>
      <c r="AU43" s="29"/>
      <c r="AV43" s="29"/>
      <c r="AW43" s="29"/>
      <c r="AX43" s="37"/>
      <c r="AY43" s="29"/>
      <c r="AZ43" s="38" t="str">
        <f aca="false">IF($C43="","",IF(OR(F43="Completed",F43="Cancelled"),"",IF(AND(OR(F43="On Hold",ISNUMBER(VALUE(LEFT(H43,2)))),AY43=""),"Reason not given","")))</f>
        <v/>
      </c>
      <c r="BA43" s="30"/>
    </row>
    <row r="44" customFormat="false" ht="19.5" hidden="false" customHeight="true" outlineLevel="0" collapsed="false">
      <c r="A44" s="28" t="str">
        <f aca="false">IF($C44="","",COUNTA($C$17:$C44))</f>
        <v/>
      </c>
      <c r="B44" s="29"/>
      <c r="C44" s="30"/>
      <c r="D44" s="29"/>
      <c r="E44" s="31" t="str">
        <f aca="false">IF($C44="","",IF(NOT(OR(M44="Completed",M44="NA",M44="Cancelled")),"S1 Schematic",IF(NOT(OR(R44="Completed",R44="NA",R44="Cancelled")),"S2 PCB Layout",IF(NOT(OR(W44="Completed",W44="NA",W44="Cancelled")),"S3 SI &amp; PI",IF(NOT(OR(AB44="Completed",AB44="NA",AB44="Cancelled")),"S4 Bare-PCB Fab",IF(NOT(OR(AG44="Completed",AG44="NA",AG44="Cancelled")),"S5 Assembly",IF(NOT(OR(AL44="Completed",AL44="NA",AL44="Cancelled")),"S6 Bring-up",IF(NOT(OR(AQ44="Completed",AQ44="NA",AQ44="Cancelled")),"S7 BOM Procurement","All Stages Closed"))))))))</f>
        <v/>
      </c>
      <c r="F44" s="32" t="str">
        <f aca="false">IF($C44="","",IF(COUNTIF(M44,"Cancelled")+COUNTIF(R44,"Cancelled")+COUNTIF(W44,"Cancelled")+COUNTIF(AB44,"Cancelled")+COUNTIF(AG44,"Cancelled")+COUNTIF(AL44,"Cancelled")+COUNTIF(AQ44,"Cancelled")&gt;0,"Cancelled",IF(E44="All Stages Closed","Completed",IF(E44="S1 Schematic",M44,IF(E44="S2 PCB Layout",R44,IF(E44="S3 SI &amp; PI",W44,IF(E44="S4 Bare-PCB Fab",AB44,IF(E44="S5 Assembly",AG44,IF(E44="S6 Bring-up",AL44,AQ44)))))))))</f>
        <v/>
      </c>
      <c r="G44" s="33" t="str">
        <f aca="false">IF($C44="","",IF(E44="All Stages Closed","",IF(E44="S1 Schematic",IF(N44="","Not added",N44),IF(E44="S2 PCB Layout",IF(S44="","Not added",S44),IF(E44="S3 SI &amp; PI",IF(X44="","Not added",X44),IF(E44="S4 Bare-PCB Fab",IF(AC44="","Not added",AC44),IF(E44="S5 Assembly",IF(AH44="","Not added",AH44),IF(E44="S6 Bring-up",IF(AM44="","Not added",AM44),IF(AR44="","Not added",AR44)))))))))</f>
        <v/>
      </c>
      <c r="H44" s="32" t="str">
        <f aca="true">IF($C44="","",IF(OR(F44="Completed",F44="Cancelled"),"",IF(NOT(ISNUMBER(G44)),"No date set",IF(TODAY()&gt;G44,TODAY()-G44&amp;" days late",G44-TODAY()&amp;" days left"))))</f>
        <v/>
      </c>
      <c r="I44" s="31" t="str">
        <f aca="false">IF($C44="","",COUNTIF(M44,"Completed")+COUNTIF(R44,"Completed")+COUNTIF(W44,"Completed")+COUNTIF(AB44,"Completed")+COUNTIF(AG44,"Completed")+COUNTIF(AL44,"Completed")+COUNTIF(AQ44,"Completed"))</f>
        <v/>
      </c>
      <c r="J44" s="31" t="str">
        <f aca="false">IF($C44="","",7-(COUNTIF(M44,"NA")+COUNTIF(R44,"NA")+COUNTIF(W44,"NA")+COUNTIF(AB44,"NA")+COUNTIF(AG44,"NA")+COUNTIF(AL44,"NA")+COUNTIF(AQ44,"NA")))</f>
        <v/>
      </c>
      <c r="K44" s="34" t="str">
        <f aca="false">IFERROR(I44/J44,"")</f>
        <v/>
      </c>
      <c r="L44" s="29"/>
      <c r="M44" s="35"/>
      <c r="N44" s="36"/>
      <c r="O44" s="36"/>
      <c r="P44" s="30"/>
      <c r="Q44" s="29"/>
      <c r="R44" s="35"/>
      <c r="S44" s="36"/>
      <c r="T44" s="36"/>
      <c r="U44" s="30"/>
      <c r="V44" s="29"/>
      <c r="W44" s="35"/>
      <c r="X44" s="36"/>
      <c r="Y44" s="36"/>
      <c r="Z44" s="30"/>
      <c r="AA44" s="29"/>
      <c r="AB44" s="35"/>
      <c r="AC44" s="36"/>
      <c r="AD44" s="36"/>
      <c r="AE44" s="30"/>
      <c r="AF44" s="29"/>
      <c r="AG44" s="35"/>
      <c r="AH44" s="36"/>
      <c r="AI44" s="36"/>
      <c r="AJ44" s="30"/>
      <c r="AK44" s="29"/>
      <c r="AL44" s="35"/>
      <c r="AM44" s="36"/>
      <c r="AN44" s="36"/>
      <c r="AO44" s="30"/>
      <c r="AP44" s="29"/>
      <c r="AQ44" s="35"/>
      <c r="AR44" s="36"/>
      <c r="AS44" s="36"/>
      <c r="AT44" s="30"/>
      <c r="AU44" s="29"/>
      <c r="AV44" s="29"/>
      <c r="AW44" s="29"/>
      <c r="AX44" s="37"/>
      <c r="AY44" s="29"/>
      <c r="AZ44" s="38" t="str">
        <f aca="false">IF($C44="","",IF(OR(F44="Completed",F44="Cancelled"),"",IF(AND(OR(F44="On Hold",ISNUMBER(VALUE(LEFT(H44,2)))),AY44=""),"Reason not given","")))</f>
        <v/>
      </c>
      <c r="BA44" s="30"/>
    </row>
    <row r="45" customFormat="false" ht="19.5" hidden="false" customHeight="true" outlineLevel="0" collapsed="false">
      <c r="A45" s="28" t="str">
        <f aca="false">IF($C45="","",COUNTA($C$17:$C45))</f>
        <v/>
      </c>
      <c r="B45" s="29"/>
      <c r="C45" s="30"/>
      <c r="D45" s="29"/>
      <c r="E45" s="31" t="str">
        <f aca="false">IF($C45="","",IF(NOT(OR(M45="Completed",M45="NA",M45="Cancelled")),"S1 Schematic",IF(NOT(OR(R45="Completed",R45="NA",R45="Cancelled")),"S2 PCB Layout",IF(NOT(OR(W45="Completed",W45="NA",W45="Cancelled")),"S3 SI &amp; PI",IF(NOT(OR(AB45="Completed",AB45="NA",AB45="Cancelled")),"S4 Bare-PCB Fab",IF(NOT(OR(AG45="Completed",AG45="NA",AG45="Cancelled")),"S5 Assembly",IF(NOT(OR(AL45="Completed",AL45="NA",AL45="Cancelled")),"S6 Bring-up",IF(NOT(OR(AQ45="Completed",AQ45="NA",AQ45="Cancelled")),"S7 BOM Procurement","All Stages Closed"))))))))</f>
        <v/>
      </c>
      <c r="F45" s="32" t="str">
        <f aca="false">IF($C45="","",IF(COUNTIF(M45,"Cancelled")+COUNTIF(R45,"Cancelled")+COUNTIF(W45,"Cancelled")+COUNTIF(AB45,"Cancelled")+COUNTIF(AG45,"Cancelled")+COUNTIF(AL45,"Cancelled")+COUNTIF(AQ45,"Cancelled")&gt;0,"Cancelled",IF(E45="All Stages Closed","Completed",IF(E45="S1 Schematic",M45,IF(E45="S2 PCB Layout",R45,IF(E45="S3 SI &amp; PI",W45,IF(E45="S4 Bare-PCB Fab",AB45,IF(E45="S5 Assembly",AG45,IF(E45="S6 Bring-up",AL45,AQ45)))))))))</f>
        <v/>
      </c>
      <c r="G45" s="33" t="str">
        <f aca="false">IF($C45="","",IF(E45="All Stages Closed","",IF(E45="S1 Schematic",IF(N45="","Not added",N45),IF(E45="S2 PCB Layout",IF(S45="","Not added",S45),IF(E45="S3 SI &amp; PI",IF(X45="","Not added",X45),IF(E45="S4 Bare-PCB Fab",IF(AC45="","Not added",AC45),IF(E45="S5 Assembly",IF(AH45="","Not added",AH45),IF(E45="S6 Bring-up",IF(AM45="","Not added",AM45),IF(AR45="","Not added",AR45)))))))))</f>
        <v/>
      </c>
      <c r="H45" s="32" t="str">
        <f aca="true">IF($C45="","",IF(OR(F45="Completed",F45="Cancelled"),"",IF(NOT(ISNUMBER(G45)),"No date set",IF(TODAY()&gt;G45,TODAY()-G45&amp;" days late",G45-TODAY()&amp;" days left"))))</f>
        <v/>
      </c>
      <c r="I45" s="31" t="str">
        <f aca="false">IF($C45="","",COUNTIF(M45,"Completed")+COUNTIF(R45,"Completed")+COUNTIF(W45,"Completed")+COUNTIF(AB45,"Completed")+COUNTIF(AG45,"Completed")+COUNTIF(AL45,"Completed")+COUNTIF(AQ45,"Completed"))</f>
        <v/>
      </c>
      <c r="J45" s="31" t="str">
        <f aca="false">IF($C45="","",7-(COUNTIF(M45,"NA")+COUNTIF(R45,"NA")+COUNTIF(W45,"NA")+COUNTIF(AB45,"NA")+COUNTIF(AG45,"NA")+COUNTIF(AL45,"NA")+COUNTIF(AQ45,"NA")))</f>
        <v/>
      </c>
      <c r="K45" s="34" t="str">
        <f aca="false">IFERROR(I45/J45,"")</f>
        <v/>
      </c>
      <c r="L45" s="29"/>
      <c r="M45" s="35"/>
      <c r="N45" s="36"/>
      <c r="O45" s="36"/>
      <c r="P45" s="30"/>
      <c r="Q45" s="29"/>
      <c r="R45" s="35"/>
      <c r="S45" s="36"/>
      <c r="T45" s="36"/>
      <c r="U45" s="30"/>
      <c r="V45" s="29"/>
      <c r="W45" s="35"/>
      <c r="X45" s="36"/>
      <c r="Y45" s="36"/>
      <c r="Z45" s="30"/>
      <c r="AA45" s="29"/>
      <c r="AB45" s="35"/>
      <c r="AC45" s="36"/>
      <c r="AD45" s="36"/>
      <c r="AE45" s="30"/>
      <c r="AF45" s="29"/>
      <c r="AG45" s="35"/>
      <c r="AH45" s="36"/>
      <c r="AI45" s="36"/>
      <c r="AJ45" s="30"/>
      <c r="AK45" s="29"/>
      <c r="AL45" s="35"/>
      <c r="AM45" s="36"/>
      <c r="AN45" s="36"/>
      <c r="AO45" s="30"/>
      <c r="AP45" s="29"/>
      <c r="AQ45" s="35"/>
      <c r="AR45" s="36"/>
      <c r="AS45" s="36"/>
      <c r="AT45" s="30"/>
      <c r="AU45" s="29"/>
      <c r="AV45" s="29"/>
      <c r="AW45" s="29"/>
      <c r="AX45" s="37"/>
      <c r="AY45" s="29"/>
      <c r="AZ45" s="38" t="str">
        <f aca="false">IF($C45="","",IF(OR(F45="Completed",F45="Cancelled"),"",IF(AND(OR(F45="On Hold",ISNUMBER(VALUE(LEFT(H45,2)))),AY45=""),"Reason not given","")))</f>
        <v/>
      </c>
      <c r="BA45" s="30"/>
    </row>
    <row r="46" customFormat="false" ht="19.5" hidden="false" customHeight="true" outlineLevel="0" collapsed="false">
      <c r="A46" s="28" t="str">
        <f aca="false">IF($C46="","",COUNTA($C$17:$C46))</f>
        <v/>
      </c>
      <c r="B46" s="29"/>
      <c r="C46" s="30"/>
      <c r="D46" s="29"/>
      <c r="E46" s="31" t="str">
        <f aca="false">IF($C46="","",IF(NOT(OR(M46="Completed",M46="NA",M46="Cancelled")),"S1 Schematic",IF(NOT(OR(R46="Completed",R46="NA",R46="Cancelled")),"S2 PCB Layout",IF(NOT(OR(W46="Completed",W46="NA",W46="Cancelled")),"S3 SI &amp; PI",IF(NOT(OR(AB46="Completed",AB46="NA",AB46="Cancelled")),"S4 Bare-PCB Fab",IF(NOT(OR(AG46="Completed",AG46="NA",AG46="Cancelled")),"S5 Assembly",IF(NOT(OR(AL46="Completed",AL46="NA",AL46="Cancelled")),"S6 Bring-up",IF(NOT(OR(AQ46="Completed",AQ46="NA",AQ46="Cancelled")),"S7 BOM Procurement","All Stages Closed"))))))))</f>
        <v/>
      </c>
      <c r="F46" s="32" t="str">
        <f aca="false">IF($C46="","",IF(COUNTIF(M46,"Cancelled")+COUNTIF(R46,"Cancelled")+COUNTIF(W46,"Cancelled")+COUNTIF(AB46,"Cancelled")+COUNTIF(AG46,"Cancelled")+COUNTIF(AL46,"Cancelled")+COUNTIF(AQ46,"Cancelled")&gt;0,"Cancelled",IF(E46="All Stages Closed","Completed",IF(E46="S1 Schematic",M46,IF(E46="S2 PCB Layout",R46,IF(E46="S3 SI &amp; PI",W46,IF(E46="S4 Bare-PCB Fab",AB46,IF(E46="S5 Assembly",AG46,IF(E46="S6 Bring-up",AL46,AQ46)))))))))</f>
        <v/>
      </c>
      <c r="G46" s="33" t="str">
        <f aca="false">IF($C46="","",IF(E46="All Stages Closed","",IF(E46="S1 Schematic",IF(N46="","Not added",N46),IF(E46="S2 PCB Layout",IF(S46="","Not added",S46),IF(E46="S3 SI &amp; PI",IF(X46="","Not added",X46),IF(E46="S4 Bare-PCB Fab",IF(AC46="","Not added",AC46),IF(E46="S5 Assembly",IF(AH46="","Not added",AH46),IF(E46="S6 Bring-up",IF(AM46="","Not added",AM46),IF(AR46="","Not added",AR46)))))))))</f>
        <v/>
      </c>
      <c r="H46" s="32" t="str">
        <f aca="true">IF($C46="","",IF(OR(F46="Completed",F46="Cancelled"),"",IF(NOT(ISNUMBER(G46)),"No date set",IF(TODAY()&gt;G46,TODAY()-G46&amp;" days late",G46-TODAY()&amp;" days left"))))</f>
        <v/>
      </c>
      <c r="I46" s="31" t="str">
        <f aca="false">IF($C46="","",COUNTIF(M46,"Completed")+COUNTIF(R46,"Completed")+COUNTIF(W46,"Completed")+COUNTIF(AB46,"Completed")+COUNTIF(AG46,"Completed")+COUNTIF(AL46,"Completed")+COUNTIF(AQ46,"Completed"))</f>
        <v/>
      </c>
      <c r="J46" s="31" t="str">
        <f aca="false">IF($C46="","",7-(COUNTIF(M46,"NA")+COUNTIF(R46,"NA")+COUNTIF(W46,"NA")+COUNTIF(AB46,"NA")+COUNTIF(AG46,"NA")+COUNTIF(AL46,"NA")+COUNTIF(AQ46,"NA")))</f>
        <v/>
      </c>
      <c r="K46" s="34" t="str">
        <f aca="false">IFERROR(I46/J46,"")</f>
        <v/>
      </c>
      <c r="L46" s="29"/>
      <c r="M46" s="35"/>
      <c r="N46" s="36"/>
      <c r="O46" s="36"/>
      <c r="P46" s="30"/>
      <c r="Q46" s="29"/>
      <c r="R46" s="35"/>
      <c r="S46" s="36"/>
      <c r="T46" s="36"/>
      <c r="U46" s="30"/>
      <c r="V46" s="29"/>
      <c r="W46" s="35"/>
      <c r="X46" s="36"/>
      <c r="Y46" s="36"/>
      <c r="Z46" s="30"/>
      <c r="AA46" s="29"/>
      <c r="AB46" s="35"/>
      <c r="AC46" s="36"/>
      <c r="AD46" s="36"/>
      <c r="AE46" s="30"/>
      <c r="AF46" s="29"/>
      <c r="AG46" s="35"/>
      <c r="AH46" s="36"/>
      <c r="AI46" s="36"/>
      <c r="AJ46" s="30"/>
      <c r="AK46" s="29"/>
      <c r="AL46" s="35"/>
      <c r="AM46" s="36"/>
      <c r="AN46" s="36"/>
      <c r="AO46" s="30"/>
      <c r="AP46" s="29"/>
      <c r="AQ46" s="35"/>
      <c r="AR46" s="36"/>
      <c r="AS46" s="36"/>
      <c r="AT46" s="30"/>
      <c r="AU46" s="29"/>
      <c r="AV46" s="29"/>
      <c r="AW46" s="29"/>
      <c r="AX46" s="37"/>
      <c r="AY46" s="29"/>
      <c r="AZ46" s="38" t="str">
        <f aca="false">IF($C46="","",IF(OR(F46="Completed",F46="Cancelled"),"",IF(AND(OR(F46="On Hold",ISNUMBER(VALUE(LEFT(H46,2)))),AY46=""),"Reason not given","")))</f>
        <v/>
      </c>
      <c r="BA46" s="30"/>
    </row>
    <row r="47" customFormat="false" ht="19.5" hidden="false" customHeight="true" outlineLevel="0" collapsed="false">
      <c r="A47" s="28" t="str">
        <f aca="false">IF($C47="","",COUNTA($C$17:$C47))</f>
        <v/>
      </c>
      <c r="B47" s="29"/>
      <c r="C47" s="30"/>
      <c r="D47" s="29"/>
      <c r="E47" s="31" t="str">
        <f aca="false">IF($C47="","",IF(NOT(OR(M47="Completed",M47="NA",M47="Cancelled")),"S1 Schematic",IF(NOT(OR(R47="Completed",R47="NA",R47="Cancelled")),"S2 PCB Layout",IF(NOT(OR(W47="Completed",W47="NA",W47="Cancelled")),"S3 SI &amp; PI",IF(NOT(OR(AB47="Completed",AB47="NA",AB47="Cancelled")),"S4 Bare-PCB Fab",IF(NOT(OR(AG47="Completed",AG47="NA",AG47="Cancelled")),"S5 Assembly",IF(NOT(OR(AL47="Completed",AL47="NA",AL47="Cancelled")),"S6 Bring-up",IF(NOT(OR(AQ47="Completed",AQ47="NA",AQ47="Cancelled")),"S7 BOM Procurement","All Stages Closed"))))))))</f>
        <v/>
      </c>
      <c r="F47" s="32" t="str">
        <f aca="false">IF($C47="","",IF(COUNTIF(M47,"Cancelled")+COUNTIF(R47,"Cancelled")+COUNTIF(W47,"Cancelled")+COUNTIF(AB47,"Cancelled")+COUNTIF(AG47,"Cancelled")+COUNTIF(AL47,"Cancelled")+COUNTIF(AQ47,"Cancelled")&gt;0,"Cancelled",IF(E47="All Stages Closed","Completed",IF(E47="S1 Schematic",M47,IF(E47="S2 PCB Layout",R47,IF(E47="S3 SI &amp; PI",W47,IF(E47="S4 Bare-PCB Fab",AB47,IF(E47="S5 Assembly",AG47,IF(E47="S6 Bring-up",AL47,AQ47)))))))))</f>
        <v/>
      </c>
      <c r="G47" s="33" t="str">
        <f aca="false">IF($C47="","",IF(E47="All Stages Closed","",IF(E47="S1 Schematic",IF(N47="","Not added",N47),IF(E47="S2 PCB Layout",IF(S47="","Not added",S47),IF(E47="S3 SI &amp; PI",IF(X47="","Not added",X47),IF(E47="S4 Bare-PCB Fab",IF(AC47="","Not added",AC47),IF(E47="S5 Assembly",IF(AH47="","Not added",AH47),IF(E47="S6 Bring-up",IF(AM47="","Not added",AM47),IF(AR47="","Not added",AR47)))))))))</f>
        <v/>
      </c>
      <c r="H47" s="32" t="str">
        <f aca="true">IF($C47="","",IF(OR(F47="Completed",F47="Cancelled"),"",IF(NOT(ISNUMBER(G47)),"No date set",IF(TODAY()&gt;G47,TODAY()-G47&amp;" days late",G47-TODAY()&amp;" days left"))))</f>
        <v/>
      </c>
      <c r="I47" s="31" t="str">
        <f aca="false">IF($C47="","",COUNTIF(M47,"Completed")+COUNTIF(R47,"Completed")+COUNTIF(W47,"Completed")+COUNTIF(AB47,"Completed")+COUNTIF(AG47,"Completed")+COUNTIF(AL47,"Completed")+COUNTIF(AQ47,"Completed"))</f>
        <v/>
      </c>
      <c r="J47" s="31" t="str">
        <f aca="false">IF($C47="","",7-(COUNTIF(M47,"NA")+COUNTIF(R47,"NA")+COUNTIF(W47,"NA")+COUNTIF(AB47,"NA")+COUNTIF(AG47,"NA")+COUNTIF(AL47,"NA")+COUNTIF(AQ47,"NA")))</f>
        <v/>
      </c>
      <c r="K47" s="34" t="str">
        <f aca="false">IFERROR(I47/J47,"")</f>
        <v/>
      </c>
      <c r="L47" s="29"/>
      <c r="M47" s="35"/>
      <c r="N47" s="36"/>
      <c r="O47" s="36"/>
      <c r="P47" s="30"/>
      <c r="Q47" s="29"/>
      <c r="R47" s="35"/>
      <c r="S47" s="36"/>
      <c r="T47" s="36"/>
      <c r="U47" s="30"/>
      <c r="V47" s="29"/>
      <c r="W47" s="35"/>
      <c r="X47" s="36"/>
      <c r="Y47" s="36"/>
      <c r="Z47" s="30"/>
      <c r="AA47" s="29"/>
      <c r="AB47" s="35"/>
      <c r="AC47" s="36"/>
      <c r="AD47" s="36"/>
      <c r="AE47" s="30"/>
      <c r="AF47" s="29"/>
      <c r="AG47" s="35"/>
      <c r="AH47" s="36"/>
      <c r="AI47" s="36"/>
      <c r="AJ47" s="30"/>
      <c r="AK47" s="29"/>
      <c r="AL47" s="35"/>
      <c r="AM47" s="36"/>
      <c r="AN47" s="36"/>
      <c r="AO47" s="30"/>
      <c r="AP47" s="29"/>
      <c r="AQ47" s="35"/>
      <c r="AR47" s="36"/>
      <c r="AS47" s="36"/>
      <c r="AT47" s="30"/>
      <c r="AU47" s="29"/>
      <c r="AV47" s="29"/>
      <c r="AW47" s="29"/>
      <c r="AX47" s="37"/>
      <c r="AY47" s="29"/>
      <c r="AZ47" s="38" t="str">
        <f aca="false">IF($C47="","",IF(OR(F47="Completed",F47="Cancelled"),"",IF(AND(OR(F47="On Hold",ISNUMBER(VALUE(LEFT(H47,2)))),AY47=""),"Reason not given","")))</f>
        <v/>
      </c>
      <c r="BA47" s="30"/>
    </row>
    <row r="48" customFormat="false" ht="19.5" hidden="false" customHeight="true" outlineLevel="0" collapsed="false">
      <c r="A48" s="28" t="str">
        <f aca="false">IF($C48="","",COUNTA($C$17:$C48))</f>
        <v/>
      </c>
      <c r="B48" s="29"/>
      <c r="C48" s="30"/>
      <c r="D48" s="29"/>
      <c r="E48" s="31" t="str">
        <f aca="false">IF($C48="","",IF(NOT(OR(M48="Completed",M48="NA",M48="Cancelled")),"S1 Schematic",IF(NOT(OR(R48="Completed",R48="NA",R48="Cancelled")),"S2 PCB Layout",IF(NOT(OR(W48="Completed",W48="NA",W48="Cancelled")),"S3 SI &amp; PI",IF(NOT(OR(AB48="Completed",AB48="NA",AB48="Cancelled")),"S4 Bare-PCB Fab",IF(NOT(OR(AG48="Completed",AG48="NA",AG48="Cancelled")),"S5 Assembly",IF(NOT(OR(AL48="Completed",AL48="NA",AL48="Cancelled")),"S6 Bring-up",IF(NOT(OR(AQ48="Completed",AQ48="NA",AQ48="Cancelled")),"S7 BOM Procurement","All Stages Closed"))))))))</f>
        <v/>
      </c>
      <c r="F48" s="32" t="str">
        <f aca="false">IF($C48="","",IF(COUNTIF(M48,"Cancelled")+COUNTIF(R48,"Cancelled")+COUNTIF(W48,"Cancelled")+COUNTIF(AB48,"Cancelled")+COUNTIF(AG48,"Cancelled")+COUNTIF(AL48,"Cancelled")+COUNTIF(AQ48,"Cancelled")&gt;0,"Cancelled",IF(E48="All Stages Closed","Completed",IF(E48="S1 Schematic",M48,IF(E48="S2 PCB Layout",R48,IF(E48="S3 SI &amp; PI",W48,IF(E48="S4 Bare-PCB Fab",AB48,IF(E48="S5 Assembly",AG48,IF(E48="S6 Bring-up",AL48,AQ48)))))))))</f>
        <v/>
      </c>
      <c r="G48" s="33" t="str">
        <f aca="false">IF($C48="","",IF(E48="All Stages Closed","",IF(E48="S1 Schematic",IF(N48="","Not added",N48),IF(E48="S2 PCB Layout",IF(S48="","Not added",S48),IF(E48="S3 SI &amp; PI",IF(X48="","Not added",X48),IF(E48="S4 Bare-PCB Fab",IF(AC48="","Not added",AC48),IF(E48="S5 Assembly",IF(AH48="","Not added",AH48),IF(E48="S6 Bring-up",IF(AM48="","Not added",AM48),IF(AR48="","Not added",AR48)))))))))</f>
        <v/>
      </c>
      <c r="H48" s="32" t="str">
        <f aca="true">IF($C48="","",IF(OR(F48="Completed",F48="Cancelled"),"",IF(NOT(ISNUMBER(G48)),"No date set",IF(TODAY()&gt;G48,TODAY()-G48&amp;" days late",G48-TODAY()&amp;" days left"))))</f>
        <v/>
      </c>
      <c r="I48" s="31" t="str">
        <f aca="false">IF($C48="","",COUNTIF(M48,"Completed")+COUNTIF(R48,"Completed")+COUNTIF(W48,"Completed")+COUNTIF(AB48,"Completed")+COUNTIF(AG48,"Completed")+COUNTIF(AL48,"Completed")+COUNTIF(AQ48,"Completed"))</f>
        <v/>
      </c>
      <c r="J48" s="31" t="str">
        <f aca="false">IF($C48="","",7-(COUNTIF(M48,"NA")+COUNTIF(R48,"NA")+COUNTIF(W48,"NA")+COUNTIF(AB48,"NA")+COUNTIF(AG48,"NA")+COUNTIF(AL48,"NA")+COUNTIF(AQ48,"NA")))</f>
        <v/>
      </c>
      <c r="K48" s="34" t="str">
        <f aca="false">IFERROR(I48/J48,"")</f>
        <v/>
      </c>
      <c r="L48" s="29"/>
      <c r="M48" s="35"/>
      <c r="N48" s="36"/>
      <c r="O48" s="36"/>
      <c r="P48" s="30"/>
      <c r="Q48" s="29"/>
      <c r="R48" s="35"/>
      <c r="S48" s="36"/>
      <c r="T48" s="36"/>
      <c r="U48" s="30"/>
      <c r="V48" s="29"/>
      <c r="W48" s="35"/>
      <c r="X48" s="36"/>
      <c r="Y48" s="36"/>
      <c r="Z48" s="30"/>
      <c r="AA48" s="29"/>
      <c r="AB48" s="35"/>
      <c r="AC48" s="36"/>
      <c r="AD48" s="36"/>
      <c r="AE48" s="30"/>
      <c r="AF48" s="29"/>
      <c r="AG48" s="35"/>
      <c r="AH48" s="36"/>
      <c r="AI48" s="36"/>
      <c r="AJ48" s="30"/>
      <c r="AK48" s="29"/>
      <c r="AL48" s="35"/>
      <c r="AM48" s="36"/>
      <c r="AN48" s="36"/>
      <c r="AO48" s="30"/>
      <c r="AP48" s="29"/>
      <c r="AQ48" s="35"/>
      <c r="AR48" s="36"/>
      <c r="AS48" s="36"/>
      <c r="AT48" s="30"/>
      <c r="AU48" s="29"/>
      <c r="AV48" s="29"/>
      <c r="AW48" s="29"/>
      <c r="AX48" s="37"/>
      <c r="AY48" s="29"/>
      <c r="AZ48" s="38" t="str">
        <f aca="false">IF($C48="","",IF(OR(F48="Completed",F48="Cancelled"),"",IF(AND(OR(F48="On Hold",ISNUMBER(VALUE(LEFT(H48,2)))),AY48=""),"Reason not given","")))</f>
        <v/>
      </c>
      <c r="BA48" s="30"/>
    </row>
    <row r="49" customFormat="false" ht="19.5" hidden="false" customHeight="true" outlineLevel="0" collapsed="false">
      <c r="A49" s="28" t="str">
        <f aca="false">IF($C49="","",COUNTA($C$17:$C49))</f>
        <v/>
      </c>
      <c r="B49" s="29"/>
      <c r="C49" s="30"/>
      <c r="D49" s="29"/>
      <c r="E49" s="31" t="str">
        <f aca="false">IF($C49="","",IF(NOT(OR(M49="Completed",M49="NA",M49="Cancelled")),"S1 Schematic",IF(NOT(OR(R49="Completed",R49="NA",R49="Cancelled")),"S2 PCB Layout",IF(NOT(OR(W49="Completed",W49="NA",W49="Cancelled")),"S3 SI &amp; PI",IF(NOT(OR(AB49="Completed",AB49="NA",AB49="Cancelled")),"S4 Bare-PCB Fab",IF(NOT(OR(AG49="Completed",AG49="NA",AG49="Cancelled")),"S5 Assembly",IF(NOT(OR(AL49="Completed",AL49="NA",AL49="Cancelled")),"S6 Bring-up",IF(NOT(OR(AQ49="Completed",AQ49="NA",AQ49="Cancelled")),"S7 BOM Procurement","All Stages Closed"))))))))</f>
        <v/>
      </c>
      <c r="F49" s="32" t="str">
        <f aca="false">IF($C49="","",IF(COUNTIF(M49,"Cancelled")+COUNTIF(R49,"Cancelled")+COUNTIF(W49,"Cancelled")+COUNTIF(AB49,"Cancelled")+COUNTIF(AG49,"Cancelled")+COUNTIF(AL49,"Cancelled")+COUNTIF(AQ49,"Cancelled")&gt;0,"Cancelled",IF(E49="All Stages Closed","Completed",IF(E49="S1 Schematic",M49,IF(E49="S2 PCB Layout",R49,IF(E49="S3 SI &amp; PI",W49,IF(E49="S4 Bare-PCB Fab",AB49,IF(E49="S5 Assembly",AG49,IF(E49="S6 Bring-up",AL49,AQ49)))))))))</f>
        <v/>
      </c>
      <c r="G49" s="33" t="str">
        <f aca="false">IF($C49="","",IF(E49="All Stages Closed","",IF(E49="S1 Schematic",IF(N49="","Not added",N49),IF(E49="S2 PCB Layout",IF(S49="","Not added",S49),IF(E49="S3 SI &amp; PI",IF(X49="","Not added",X49),IF(E49="S4 Bare-PCB Fab",IF(AC49="","Not added",AC49),IF(E49="S5 Assembly",IF(AH49="","Not added",AH49),IF(E49="S6 Bring-up",IF(AM49="","Not added",AM49),IF(AR49="","Not added",AR49)))))))))</f>
        <v/>
      </c>
      <c r="H49" s="32" t="str">
        <f aca="true">IF($C49="","",IF(OR(F49="Completed",F49="Cancelled"),"",IF(NOT(ISNUMBER(G49)),"No date set",IF(TODAY()&gt;G49,TODAY()-G49&amp;" days late",G49-TODAY()&amp;" days left"))))</f>
        <v/>
      </c>
      <c r="I49" s="31" t="str">
        <f aca="false">IF($C49="","",COUNTIF(M49,"Completed")+COUNTIF(R49,"Completed")+COUNTIF(W49,"Completed")+COUNTIF(AB49,"Completed")+COUNTIF(AG49,"Completed")+COUNTIF(AL49,"Completed")+COUNTIF(AQ49,"Completed"))</f>
        <v/>
      </c>
      <c r="J49" s="31" t="str">
        <f aca="false">IF($C49="","",7-(COUNTIF(M49,"NA")+COUNTIF(R49,"NA")+COUNTIF(W49,"NA")+COUNTIF(AB49,"NA")+COUNTIF(AG49,"NA")+COUNTIF(AL49,"NA")+COUNTIF(AQ49,"NA")))</f>
        <v/>
      </c>
      <c r="K49" s="34" t="str">
        <f aca="false">IFERROR(I49/J49,"")</f>
        <v/>
      </c>
      <c r="L49" s="29"/>
      <c r="M49" s="35"/>
      <c r="N49" s="36"/>
      <c r="O49" s="36"/>
      <c r="P49" s="30"/>
      <c r="Q49" s="29"/>
      <c r="R49" s="35"/>
      <c r="S49" s="36"/>
      <c r="T49" s="36"/>
      <c r="U49" s="30"/>
      <c r="V49" s="29"/>
      <c r="W49" s="35"/>
      <c r="X49" s="36"/>
      <c r="Y49" s="36"/>
      <c r="Z49" s="30"/>
      <c r="AA49" s="29"/>
      <c r="AB49" s="35"/>
      <c r="AC49" s="36"/>
      <c r="AD49" s="36"/>
      <c r="AE49" s="30"/>
      <c r="AF49" s="29"/>
      <c r="AG49" s="35"/>
      <c r="AH49" s="36"/>
      <c r="AI49" s="36"/>
      <c r="AJ49" s="30"/>
      <c r="AK49" s="29"/>
      <c r="AL49" s="35"/>
      <c r="AM49" s="36"/>
      <c r="AN49" s="36"/>
      <c r="AO49" s="30"/>
      <c r="AP49" s="29"/>
      <c r="AQ49" s="35"/>
      <c r="AR49" s="36"/>
      <c r="AS49" s="36"/>
      <c r="AT49" s="30"/>
      <c r="AU49" s="29"/>
      <c r="AV49" s="29"/>
      <c r="AW49" s="29"/>
      <c r="AX49" s="37"/>
      <c r="AY49" s="29"/>
      <c r="AZ49" s="38" t="str">
        <f aca="false">IF($C49="","",IF(OR(F49="Completed",F49="Cancelled"),"",IF(AND(OR(F49="On Hold",ISNUMBER(VALUE(LEFT(H49,2)))),AY49=""),"Reason not given","")))</f>
        <v/>
      </c>
      <c r="BA49" s="30"/>
    </row>
    <row r="50" customFormat="false" ht="19.5" hidden="false" customHeight="true" outlineLevel="0" collapsed="false">
      <c r="A50" s="28" t="str">
        <f aca="false">IF($C50="","",COUNTA($C$17:$C50))</f>
        <v/>
      </c>
      <c r="B50" s="29"/>
      <c r="C50" s="30"/>
      <c r="D50" s="29"/>
      <c r="E50" s="31" t="str">
        <f aca="false">IF($C50="","",IF(NOT(OR(M50="Completed",M50="NA",M50="Cancelled")),"S1 Schematic",IF(NOT(OR(R50="Completed",R50="NA",R50="Cancelled")),"S2 PCB Layout",IF(NOT(OR(W50="Completed",W50="NA",W50="Cancelled")),"S3 SI &amp; PI",IF(NOT(OR(AB50="Completed",AB50="NA",AB50="Cancelled")),"S4 Bare-PCB Fab",IF(NOT(OR(AG50="Completed",AG50="NA",AG50="Cancelled")),"S5 Assembly",IF(NOT(OR(AL50="Completed",AL50="NA",AL50="Cancelled")),"S6 Bring-up",IF(NOT(OR(AQ50="Completed",AQ50="NA",AQ50="Cancelled")),"S7 BOM Procurement","All Stages Closed"))))))))</f>
        <v/>
      </c>
      <c r="F50" s="32" t="str">
        <f aca="false">IF($C50="","",IF(COUNTIF(M50,"Cancelled")+COUNTIF(R50,"Cancelled")+COUNTIF(W50,"Cancelled")+COUNTIF(AB50,"Cancelled")+COUNTIF(AG50,"Cancelled")+COUNTIF(AL50,"Cancelled")+COUNTIF(AQ50,"Cancelled")&gt;0,"Cancelled",IF(E50="All Stages Closed","Completed",IF(E50="S1 Schematic",M50,IF(E50="S2 PCB Layout",R50,IF(E50="S3 SI &amp; PI",W50,IF(E50="S4 Bare-PCB Fab",AB50,IF(E50="S5 Assembly",AG50,IF(E50="S6 Bring-up",AL50,AQ50)))))))))</f>
        <v/>
      </c>
      <c r="G50" s="33" t="str">
        <f aca="false">IF($C50="","",IF(E50="All Stages Closed","",IF(E50="S1 Schematic",IF(N50="","Not added",N50),IF(E50="S2 PCB Layout",IF(S50="","Not added",S50),IF(E50="S3 SI &amp; PI",IF(X50="","Not added",X50),IF(E50="S4 Bare-PCB Fab",IF(AC50="","Not added",AC50),IF(E50="S5 Assembly",IF(AH50="","Not added",AH50),IF(E50="S6 Bring-up",IF(AM50="","Not added",AM50),IF(AR50="","Not added",AR50)))))))))</f>
        <v/>
      </c>
      <c r="H50" s="32" t="str">
        <f aca="true">IF($C50="","",IF(OR(F50="Completed",F50="Cancelled"),"",IF(NOT(ISNUMBER(G50)),"No date set",IF(TODAY()&gt;G50,TODAY()-G50&amp;" days late",G50-TODAY()&amp;" days left"))))</f>
        <v/>
      </c>
      <c r="I50" s="31" t="str">
        <f aca="false">IF($C50="","",COUNTIF(M50,"Completed")+COUNTIF(R50,"Completed")+COUNTIF(W50,"Completed")+COUNTIF(AB50,"Completed")+COUNTIF(AG50,"Completed")+COUNTIF(AL50,"Completed")+COUNTIF(AQ50,"Completed"))</f>
        <v/>
      </c>
      <c r="J50" s="31" t="str">
        <f aca="false">IF($C50="","",7-(COUNTIF(M50,"NA")+COUNTIF(R50,"NA")+COUNTIF(W50,"NA")+COUNTIF(AB50,"NA")+COUNTIF(AG50,"NA")+COUNTIF(AL50,"NA")+COUNTIF(AQ50,"NA")))</f>
        <v/>
      </c>
      <c r="K50" s="34" t="str">
        <f aca="false">IFERROR(I50/J50,"")</f>
        <v/>
      </c>
      <c r="L50" s="29"/>
      <c r="M50" s="35"/>
      <c r="N50" s="36"/>
      <c r="O50" s="36"/>
      <c r="P50" s="30"/>
      <c r="Q50" s="29"/>
      <c r="R50" s="35"/>
      <c r="S50" s="36"/>
      <c r="T50" s="36"/>
      <c r="U50" s="30"/>
      <c r="V50" s="29"/>
      <c r="W50" s="35"/>
      <c r="X50" s="36"/>
      <c r="Y50" s="36"/>
      <c r="Z50" s="30"/>
      <c r="AA50" s="29"/>
      <c r="AB50" s="35"/>
      <c r="AC50" s="36"/>
      <c r="AD50" s="36"/>
      <c r="AE50" s="30"/>
      <c r="AF50" s="29"/>
      <c r="AG50" s="35"/>
      <c r="AH50" s="36"/>
      <c r="AI50" s="36"/>
      <c r="AJ50" s="30"/>
      <c r="AK50" s="29"/>
      <c r="AL50" s="35"/>
      <c r="AM50" s="36"/>
      <c r="AN50" s="36"/>
      <c r="AO50" s="30"/>
      <c r="AP50" s="29"/>
      <c r="AQ50" s="35"/>
      <c r="AR50" s="36"/>
      <c r="AS50" s="36"/>
      <c r="AT50" s="30"/>
      <c r="AU50" s="29"/>
      <c r="AV50" s="29"/>
      <c r="AW50" s="29"/>
      <c r="AX50" s="37"/>
      <c r="AY50" s="29"/>
      <c r="AZ50" s="38" t="str">
        <f aca="false">IF($C50="","",IF(OR(F50="Completed",F50="Cancelled"),"",IF(AND(OR(F50="On Hold",ISNUMBER(VALUE(LEFT(H50,2)))),AY50=""),"Reason not given","")))</f>
        <v/>
      </c>
      <c r="BA50" s="30"/>
    </row>
    <row r="51" customFormat="false" ht="19.5" hidden="false" customHeight="true" outlineLevel="0" collapsed="false">
      <c r="A51" s="28" t="str">
        <f aca="false">IF($C51="","",COUNTA($C$17:$C51))</f>
        <v/>
      </c>
      <c r="B51" s="29"/>
      <c r="C51" s="30"/>
      <c r="D51" s="29"/>
      <c r="E51" s="31" t="str">
        <f aca="false">IF($C51="","",IF(NOT(OR(M51="Completed",M51="NA",M51="Cancelled")),"S1 Schematic",IF(NOT(OR(R51="Completed",R51="NA",R51="Cancelled")),"S2 PCB Layout",IF(NOT(OR(W51="Completed",W51="NA",W51="Cancelled")),"S3 SI &amp; PI",IF(NOT(OR(AB51="Completed",AB51="NA",AB51="Cancelled")),"S4 Bare-PCB Fab",IF(NOT(OR(AG51="Completed",AG51="NA",AG51="Cancelled")),"S5 Assembly",IF(NOT(OR(AL51="Completed",AL51="NA",AL51="Cancelled")),"S6 Bring-up",IF(NOT(OR(AQ51="Completed",AQ51="NA",AQ51="Cancelled")),"S7 BOM Procurement","All Stages Closed"))))))))</f>
        <v/>
      </c>
      <c r="F51" s="32" t="str">
        <f aca="false">IF($C51="","",IF(COUNTIF(M51,"Cancelled")+COUNTIF(R51,"Cancelled")+COUNTIF(W51,"Cancelled")+COUNTIF(AB51,"Cancelled")+COUNTIF(AG51,"Cancelled")+COUNTIF(AL51,"Cancelled")+COUNTIF(AQ51,"Cancelled")&gt;0,"Cancelled",IF(E51="All Stages Closed","Completed",IF(E51="S1 Schematic",M51,IF(E51="S2 PCB Layout",R51,IF(E51="S3 SI &amp; PI",W51,IF(E51="S4 Bare-PCB Fab",AB51,IF(E51="S5 Assembly",AG51,IF(E51="S6 Bring-up",AL51,AQ51)))))))))</f>
        <v/>
      </c>
      <c r="G51" s="33" t="str">
        <f aca="false">IF($C51="","",IF(E51="All Stages Closed","",IF(E51="S1 Schematic",IF(N51="","Not added",N51),IF(E51="S2 PCB Layout",IF(S51="","Not added",S51),IF(E51="S3 SI &amp; PI",IF(X51="","Not added",X51),IF(E51="S4 Bare-PCB Fab",IF(AC51="","Not added",AC51),IF(E51="S5 Assembly",IF(AH51="","Not added",AH51),IF(E51="S6 Bring-up",IF(AM51="","Not added",AM51),IF(AR51="","Not added",AR51)))))))))</f>
        <v/>
      </c>
      <c r="H51" s="32" t="str">
        <f aca="true">IF($C51="","",IF(OR(F51="Completed",F51="Cancelled"),"",IF(NOT(ISNUMBER(G51)),"No date set",IF(TODAY()&gt;G51,TODAY()-G51&amp;" days late",G51-TODAY()&amp;" days left"))))</f>
        <v/>
      </c>
      <c r="I51" s="31" t="str">
        <f aca="false">IF($C51="","",COUNTIF(M51,"Completed")+COUNTIF(R51,"Completed")+COUNTIF(W51,"Completed")+COUNTIF(AB51,"Completed")+COUNTIF(AG51,"Completed")+COUNTIF(AL51,"Completed")+COUNTIF(AQ51,"Completed"))</f>
        <v/>
      </c>
      <c r="J51" s="31" t="str">
        <f aca="false">IF($C51="","",7-(COUNTIF(M51,"NA")+COUNTIF(R51,"NA")+COUNTIF(W51,"NA")+COUNTIF(AB51,"NA")+COUNTIF(AG51,"NA")+COUNTIF(AL51,"NA")+COUNTIF(AQ51,"NA")))</f>
        <v/>
      </c>
      <c r="K51" s="34" t="str">
        <f aca="false">IFERROR(I51/J51,"")</f>
        <v/>
      </c>
      <c r="L51" s="29"/>
      <c r="M51" s="35"/>
      <c r="N51" s="36"/>
      <c r="O51" s="36"/>
      <c r="P51" s="30"/>
      <c r="Q51" s="29"/>
      <c r="R51" s="35"/>
      <c r="S51" s="36"/>
      <c r="T51" s="36"/>
      <c r="U51" s="30"/>
      <c r="V51" s="29"/>
      <c r="W51" s="35"/>
      <c r="X51" s="36"/>
      <c r="Y51" s="36"/>
      <c r="Z51" s="30"/>
      <c r="AA51" s="29"/>
      <c r="AB51" s="35"/>
      <c r="AC51" s="36"/>
      <c r="AD51" s="36"/>
      <c r="AE51" s="30"/>
      <c r="AF51" s="29"/>
      <c r="AG51" s="35"/>
      <c r="AH51" s="36"/>
      <c r="AI51" s="36"/>
      <c r="AJ51" s="30"/>
      <c r="AK51" s="29"/>
      <c r="AL51" s="35"/>
      <c r="AM51" s="36"/>
      <c r="AN51" s="36"/>
      <c r="AO51" s="30"/>
      <c r="AP51" s="29"/>
      <c r="AQ51" s="35"/>
      <c r="AR51" s="36"/>
      <c r="AS51" s="36"/>
      <c r="AT51" s="30"/>
      <c r="AU51" s="29"/>
      <c r="AV51" s="29"/>
      <c r="AW51" s="29"/>
      <c r="AX51" s="37"/>
      <c r="AY51" s="29"/>
      <c r="AZ51" s="38" t="str">
        <f aca="false">IF($C51="","",IF(OR(F51="Completed",F51="Cancelled"),"",IF(AND(OR(F51="On Hold",ISNUMBER(VALUE(LEFT(H51,2)))),AY51=""),"Reason not given","")))</f>
        <v/>
      </c>
      <c r="BA51" s="30"/>
    </row>
    <row r="52" customFormat="false" ht="19.5" hidden="false" customHeight="true" outlineLevel="0" collapsed="false">
      <c r="A52" s="28" t="str">
        <f aca="false">IF($C52="","",COUNTA($C$17:$C52))</f>
        <v/>
      </c>
      <c r="B52" s="29"/>
      <c r="C52" s="30"/>
      <c r="D52" s="29"/>
      <c r="E52" s="31" t="str">
        <f aca="false">IF($C52="","",IF(NOT(OR(M52="Completed",M52="NA",M52="Cancelled")),"S1 Schematic",IF(NOT(OR(R52="Completed",R52="NA",R52="Cancelled")),"S2 PCB Layout",IF(NOT(OR(W52="Completed",W52="NA",W52="Cancelled")),"S3 SI &amp; PI",IF(NOT(OR(AB52="Completed",AB52="NA",AB52="Cancelled")),"S4 Bare-PCB Fab",IF(NOT(OR(AG52="Completed",AG52="NA",AG52="Cancelled")),"S5 Assembly",IF(NOT(OR(AL52="Completed",AL52="NA",AL52="Cancelled")),"S6 Bring-up",IF(NOT(OR(AQ52="Completed",AQ52="NA",AQ52="Cancelled")),"S7 BOM Procurement","All Stages Closed"))))))))</f>
        <v/>
      </c>
      <c r="F52" s="32" t="str">
        <f aca="false">IF($C52="","",IF(COUNTIF(M52,"Cancelled")+COUNTIF(R52,"Cancelled")+COUNTIF(W52,"Cancelled")+COUNTIF(AB52,"Cancelled")+COUNTIF(AG52,"Cancelled")+COUNTIF(AL52,"Cancelled")+COUNTIF(AQ52,"Cancelled")&gt;0,"Cancelled",IF(E52="All Stages Closed","Completed",IF(E52="S1 Schematic",M52,IF(E52="S2 PCB Layout",R52,IF(E52="S3 SI &amp; PI",W52,IF(E52="S4 Bare-PCB Fab",AB52,IF(E52="S5 Assembly",AG52,IF(E52="S6 Bring-up",AL52,AQ52)))))))))</f>
        <v/>
      </c>
      <c r="G52" s="33" t="str">
        <f aca="false">IF($C52="","",IF(E52="All Stages Closed","",IF(E52="S1 Schematic",IF(N52="","Not added",N52),IF(E52="S2 PCB Layout",IF(S52="","Not added",S52),IF(E52="S3 SI &amp; PI",IF(X52="","Not added",X52),IF(E52="S4 Bare-PCB Fab",IF(AC52="","Not added",AC52),IF(E52="S5 Assembly",IF(AH52="","Not added",AH52),IF(E52="S6 Bring-up",IF(AM52="","Not added",AM52),IF(AR52="","Not added",AR52)))))))))</f>
        <v/>
      </c>
      <c r="H52" s="32" t="str">
        <f aca="true">IF($C52="","",IF(OR(F52="Completed",F52="Cancelled"),"",IF(NOT(ISNUMBER(G52)),"No date set",IF(TODAY()&gt;G52,TODAY()-G52&amp;" days late",G52-TODAY()&amp;" days left"))))</f>
        <v/>
      </c>
      <c r="I52" s="31" t="str">
        <f aca="false">IF($C52="","",COUNTIF(M52,"Completed")+COUNTIF(R52,"Completed")+COUNTIF(W52,"Completed")+COUNTIF(AB52,"Completed")+COUNTIF(AG52,"Completed")+COUNTIF(AL52,"Completed")+COUNTIF(AQ52,"Completed"))</f>
        <v/>
      </c>
      <c r="J52" s="31" t="str">
        <f aca="false">IF($C52="","",7-(COUNTIF(M52,"NA")+COUNTIF(R52,"NA")+COUNTIF(W52,"NA")+COUNTIF(AB52,"NA")+COUNTIF(AG52,"NA")+COUNTIF(AL52,"NA")+COUNTIF(AQ52,"NA")))</f>
        <v/>
      </c>
      <c r="K52" s="34" t="str">
        <f aca="false">IFERROR(I52/J52,"")</f>
        <v/>
      </c>
      <c r="L52" s="29"/>
      <c r="M52" s="35"/>
      <c r="N52" s="36"/>
      <c r="O52" s="36"/>
      <c r="P52" s="30"/>
      <c r="Q52" s="29"/>
      <c r="R52" s="35"/>
      <c r="S52" s="36"/>
      <c r="T52" s="36"/>
      <c r="U52" s="30"/>
      <c r="V52" s="29"/>
      <c r="W52" s="35"/>
      <c r="X52" s="36"/>
      <c r="Y52" s="36"/>
      <c r="Z52" s="30"/>
      <c r="AA52" s="29"/>
      <c r="AB52" s="35"/>
      <c r="AC52" s="36"/>
      <c r="AD52" s="36"/>
      <c r="AE52" s="30"/>
      <c r="AF52" s="29"/>
      <c r="AG52" s="35"/>
      <c r="AH52" s="36"/>
      <c r="AI52" s="36"/>
      <c r="AJ52" s="30"/>
      <c r="AK52" s="29"/>
      <c r="AL52" s="35"/>
      <c r="AM52" s="36"/>
      <c r="AN52" s="36"/>
      <c r="AO52" s="30"/>
      <c r="AP52" s="29"/>
      <c r="AQ52" s="35"/>
      <c r="AR52" s="36"/>
      <c r="AS52" s="36"/>
      <c r="AT52" s="30"/>
      <c r="AU52" s="29"/>
      <c r="AV52" s="29"/>
      <c r="AW52" s="29"/>
      <c r="AX52" s="37"/>
      <c r="AY52" s="29"/>
      <c r="AZ52" s="38" t="str">
        <f aca="false">IF($C52="","",IF(OR(F52="Completed",F52="Cancelled"),"",IF(AND(OR(F52="On Hold",ISNUMBER(VALUE(LEFT(H52,2)))),AY52=""),"Reason not given","")))</f>
        <v/>
      </c>
      <c r="BA52" s="30"/>
    </row>
    <row r="53" customFormat="false" ht="19.5" hidden="false" customHeight="true" outlineLevel="0" collapsed="false">
      <c r="A53" s="28" t="str">
        <f aca="false">IF($C53="","",COUNTA($C$17:$C53))</f>
        <v/>
      </c>
      <c r="B53" s="29"/>
      <c r="C53" s="30"/>
      <c r="D53" s="29"/>
      <c r="E53" s="31" t="str">
        <f aca="false">IF($C53="","",IF(NOT(OR(M53="Completed",M53="NA",M53="Cancelled")),"S1 Schematic",IF(NOT(OR(R53="Completed",R53="NA",R53="Cancelled")),"S2 PCB Layout",IF(NOT(OR(W53="Completed",W53="NA",W53="Cancelled")),"S3 SI &amp; PI",IF(NOT(OR(AB53="Completed",AB53="NA",AB53="Cancelled")),"S4 Bare-PCB Fab",IF(NOT(OR(AG53="Completed",AG53="NA",AG53="Cancelled")),"S5 Assembly",IF(NOT(OR(AL53="Completed",AL53="NA",AL53="Cancelled")),"S6 Bring-up",IF(NOT(OR(AQ53="Completed",AQ53="NA",AQ53="Cancelled")),"S7 BOM Procurement","All Stages Closed"))))))))</f>
        <v/>
      </c>
      <c r="F53" s="32" t="str">
        <f aca="false">IF($C53="","",IF(COUNTIF(M53,"Cancelled")+COUNTIF(R53,"Cancelled")+COUNTIF(W53,"Cancelled")+COUNTIF(AB53,"Cancelled")+COUNTIF(AG53,"Cancelled")+COUNTIF(AL53,"Cancelled")+COUNTIF(AQ53,"Cancelled")&gt;0,"Cancelled",IF(E53="All Stages Closed","Completed",IF(E53="S1 Schematic",M53,IF(E53="S2 PCB Layout",R53,IF(E53="S3 SI &amp; PI",W53,IF(E53="S4 Bare-PCB Fab",AB53,IF(E53="S5 Assembly",AG53,IF(E53="S6 Bring-up",AL53,AQ53)))))))))</f>
        <v/>
      </c>
      <c r="G53" s="33" t="str">
        <f aca="false">IF($C53="","",IF(E53="All Stages Closed","",IF(E53="S1 Schematic",IF(N53="","Not added",N53),IF(E53="S2 PCB Layout",IF(S53="","Not added",S53),IF(E53="S3 SI &amp; PI",IF(X53="","Not added",X53),IF(E53="S4 Bare-PCB Fab",IF(AC53="","Not added",AC53),IF(E53="S5 Assembly",IF(AH53="","Not added",AH53),IF(E53="S6 Bring-up",IF(AM53="","Not added",AM53),IF(AR53="","Not added",AR53)))))))))</f>
        <v/>
      </c>
      <c r="H53" s="32" t="str">
        <f aca="true">IF($C53="","",IF(OR(F53="Completed",F53="Cancelled"),"",IF(NOT(ISNUMBER(G53)),"No date set",IF(TODAY()&gt;G53,TODAY()-G53&amp;" days late",G53-TODAY()&amp;" days left"))))</f>
        <v/>
      </c>
      <c r="I53" s="31" t="str">
        <f aca="false">IF($C53="","",COUNTIF(M53,"Completed")+COUNTIF(R53,"Completed")+COUNTIF(W53,"Completed")+COUNTIF(AB53,"Completed")+COUNTIF(AG53,"Completed")+COUNTIF(AL53,"Completed")+COUNTIF(AQ53,"Completed"))</f>
        <v/>
      </c>
      <c r="J53" s="31" t="str">
        <f aca="false">IF($C53="","",7-(COUNTIF(M53,"NA")+COUNTIF(R53,"NA")+COUNTIF(W53,"NA")+COUNTIF(AB53,"NA")+COUNTIF(AG53,"NA")+COUNTIF(AL53,"NA")+COUNTIF(AQ53,"NA")))</f>
        <v/>
      </c>
      <c r="K53" s="34" t="str">
        <f aca="false">IFERROR(I53/J53,"")</f>
        <v/>
      </c>
      <c r="L53" s="29"/>
      <c r="M53" s="35"/>
      <c r="N53" s="36"/>
      <c r="O53" s="36"/>
      <c r="P53" s="30"/>
      <c r="Q53" s="29"/>
      <c r="R53" s="35"/>
      <c r="S53" s="36"/>
      <c r="T53" s="36"/>
      <c r="U53" s="30"/>
      <c r="V53" s="29"/>
      <c r="W53" s="35"/>
      <c r="X53" s="36"/>
      <c r="Y53" s="36"/>
      <c r="Z53" s="30"/>
      <c r="AA53" s="29"/>
      <c r="AB53" s="35"/>
      <c r="AC53" s="36"/>
      <c r="AD53" s="36"/>
      <c r="AE53" s="30"/>
      <c r="AF53" s="29"/>
      <c r="AG53" s="35"/>
      <c r="AH53" s="36"/>
      <c r="AI53" s="36"/>
      <c r="AJ53" s="30"/>
      <c r="AK53" s="29"/>
      <c r="AL53" s="35"/>
      <c r="AM53" s="36"/>
      <c r="AN53" s="36"/>
      <c r="AO53" s="30"/>
      <c r="AP53" s="29"/>
      <c r="AQ53" s="35"/>
      <c r="AR53" s="36"/>
      <c r="AS53" s="36"/>
      <c r="AT53" s="30"/>
      <c r="AU53" s="29"/>
      <c r="AV53" s="29"/>
      <c r="AW53" s="29"/>
      <c r="AX53" s="37"/>
      <c r="AY53" s="29"/>
      <c r="AZ53" s="38" t="str">
        <f aca="false">IF($C53="","",IF(OR(F53="Completed",F53="Cancelled"),"",IF(AND(OR(F53="On Hold",ISNUMBER(VALUE(LEFT(H53,2)))),AY53=""),"Reason not given","")))</f>
        <v/>
      </c>
      <c r="BA53" s="30"/>
    </row>
    <row r="54" customFormat="false" ht="19.5" hidden="false" customHeight="true" outlineLevel="0" collapsed="false">
      <c r="A54" s="28" t="str">
        <f aca="false">IF($C54="","",COUNTA($C$17:$C54))</f>
        <v/>
      </c>
      <c r="B54" s="29"/>
      <c r="C54" s="30"/>
      <c r="D54" s="29"/>
      <c r="E54" s="31" t="str">
        <f aca="false">IF($C54="","",IF(NOT(OR(M54="Completed",M54="NA",M54="Cancelled")),"S1 Schematic",IF(NOT(OR(R54="Completed",R54="NA",R54="Cancelled")),"S2 PCB Layout",IF(NOT(OR(W54="Completed",W54="NA",W54="Cancelled")),"S3 SI &amp; PI",IF(NOT(OR(AB54="Completed",AB54="NA",AB54="Cancelled")),"S4 Bare-PCB Fab",IF(NOT(OR(AG54="Completed",AG54="NA",AG54="Cancelled")),"S5 Assembly",IF(NOT(OR(AL54="Completed",AL54="NA",AL54="Cancelled")),"S6 Bring-up",IF(NOT(OR(AQ54="Completed",AQ54="NA",AQ54="Cancelled")),"S7 BOM Procurement","All Stages Closed"))))))))</f>
        <v/>
      </c>
      <c r="F54" s="32" t="str">
        <f aca="false">IF($C54="","",IF(COUNTIF(M54,"Cancelled")+COUNTIF(R54,"Cancelled")+COUNTIF(W54,"Cancelled")+COUNTIF(AB54,"Cancelled")+COUNTIF(AG54,"Cancelled")+COUNTIF(AL54,"Cancelled")+COUNTIF(AQ54,"Cancelled")&gt;0,"Cancelled",IF(E54="All Stages Closed","Completed",IF(E54="S1 Schematic",M54,IF(E54="S2 PCB Layout",R54,IF(E54="S3 SI &amp; PI",W54,IF(E54="S4 Bare-PCB Fab",AB54,IF(E54="S5 Assembly",AG54,IF(E54="S6 Bring-up",AL54,AQ54)))))))))</f>
        <v/>
      </c>
      <c r="G54" s="33" t="str">
        <f aca="false">IF($C54="","",IF(E54="All Stages Closed","",IF(E54="S1 Schematic",IF(N54="","Not added",N54),IF(E54="S2 PCB Layout",IF(S54="","Not added",S54),IF(E54="S3 SI &amp; PI",IF(X54="","Not added",X54),IF(E54="S4 Bare-PCB Fab",IF(AC54="","Not added",AC54),IF(E54="S5 Assembly",IF(AH54="","Not added",AH54),IF(E54="S6 Bring-up",IF(AM54="","Not added",AM54),IF(AR54="","Not added",AR54)))))))))</f>
        <v/>
      </c>
      <c r="H54" s="32" t="str">
        <f aca="true">IF($C54="","",IF(OR(F54="Completed",F54="Cancelled"),"",IF(NOT(ISNUMBER(G54)),"No date set",IF(TODAY()&gt;G54,TODAY()-G54&amp;" days late",G54-TODAY()&amp;" days left"))))</f>
        <v/>
      </c>
      <c r="I54" s="31" t="str">
        <f aca="false">IF($C54="","",COUNTIF(M54,"Completed")+COUNTIF(R54,"Completed")+COUNTIF(W54,"Completed")+COUNTIF(AB54,"Completed")+COUNTIF(AG54,"Completed")+COUNTIF(AL54,"Completed")+COUNTIF(AQ54,"Completed"))</f>
        <v/>
      </c>
      <c r="J54" s="31" t="str">
        <f aca="false">IF($C54="","",7-(COUNTIF(M54,"NA")+COUNTIF(R54,"NA")+COUNTIF(W54,"NA")+COUNTIF(AB54,"NA")+COUNTIF(AG54,"NA")+COUNTIF(AL54,"NA")+COUNTIF(AQ54,"NA")))</f>
        <v/>
      </c>
      <c r="K54" s="34" t="str">
        <f aca="false">IFERROR(I54/J54,"")</f>
        <v/>
      </c>
      <c r="L54" s="29"/>
      <c r="M54" s="35"/>
      <c r="N54" s="36"/>
      <c r="O54" s="36"/>
      <c r="P54" s="30"/>
      <c r="Q54" s="29"/>
      <c r="R54" s="35"/>
      <c r="S54" s="36"/>
      <c r="T54" s="36"/>
      <c r="U54" s="30"/>
      <c r="V54" s="29"/>
      <c r="W54" s="35"/>
      <c r="X54" s="36"/>
      <c r="Y54" s="36"/>
      <c r="Z54" s="30"/>
      <c r="AA54" s="29"/>
      <c r="AB54" s="35"/>
      <c r="AC54" s="36"/>
      <c r="AD54" s="36"/>
      <c r="AE54" s="30"/>
      <c r="AF54" s="29"/>
      <c r="AG54" s="35"/>
      <c r="AH54" s="36"/>
      <c r="AI54" s="36"/>
      <c r="AJ54" s="30"/>
      <c r="AK54" s="29"/>
      <c r="AL54" s="35"/>
      <c r="AM54" s="36"/>
      <c r="AN54" s="36"/>
      <c r="AO54" s="30"/>
      <c r="AP54" s="29"/>
      <c r="AQ54" s="35"/>
      <c r="AR54" s="36"/>
      <c r="AS54" s="36"/>
      <c r="AT54" s="30"/>
      <c r="AU54" s="29"/>
      <c r="AV54" s="29"/>
      <c r="AW54" s="29"/>
      <c r="AX54" s="37"/>
      <c r="AY54" s="29"/>
      <c r="AZ54" s="38" t="str">
        <f aca="false">IF($C54="","",IF(OR(F54="Completed",F54="Cancelled"),"",IF(AND(OR(F54="On Hold",ISNUMBER(VALUE(LEFT(H54,2)))),AY54=""),"Reason not given","")))</f>
        <v/>
      </c>
      <c r="BA54" s="30"/>
    </row>
    <row r="55" customFormat="false" ht="19.5" hidden="false" customHeight="true" outlineLevel="0" collapsed="false">
      <c r="A55" s="28" t="str">
        <f aca="false">IF($C55="","",COUNTA($C$17:$C55))</f>
        <v/>
      </c>
      <c r="B55" s="29"/>
      <c r="C55" s="30"/>
      <c r="D55" s="29"/>
      <c r="E55" s="31" t="str">
        <f aca="false">IF($C55="","",IF(NOT(OR(M55="Completed",M55="NA",M55="Cancelled")),"S1 Schematic",IF(NOT(OR(R55="Completed",R55="NA",R55="Cancelled")),"S2 PCB Layout",IF(NOT(OR(W55="Completed",W55="NA",W55="Cancelled")),"S3 SI &amp; PI",IF(NOT(OR(AB55="Completed",AB55="NA",AB55="Cancelled")),"S4 Bare-PCB Fab",IF(NOT(OR(AG55="Completed",AG55="NA",AG55="Cancelled")),"S5 Assembly",IF(NOT(OR(AL55="Completed",AL55="NA",AL55="Cancelled")),"S6 Bring-up",IF(NOT(OR(AQ55="Completed",AQ55="NA",AQ55="Cancelled")),"S7 BOM Procurement","All Stages Closed"))))))))</f>
        <v/>
      </c>
      <c r="F55" s="32" t="str">
        <f aca="false">IF($C55="","",IF(COUNTIF(M55,"Cancelled")+COUNTIF(R55,"Cancelled")+COUNTIF(W55,"Cancelled")+COUNTIF(AB55,"Cancelled")+COUNTIF(AG55,"Cancelled")+COUNTIF(AL55,"Cancelled")+COUNTIF(AQ55,"Cancelled")&gt;0,"Cancelled",IF(E55="All Stages Closed","Completed",IF(E55="S1 Schematic",M55,IF(E55="S2 PCB Layout",R55,IF(E55="S3 SI &amp; PI",W55,IF(E55="S4 Bare-PCB Fab",AB55,IF(E55="S5 Assembly",AG55,IF(E55="S6 Bring-up",AL55,AQ55)))))))))</f>
        <v/>
      </c>
      <c r="G55" s="33" t="str">
        <f aca="false">IF($C55="","",IF(E55="All Stages Closed","",IF(E55="S1 Schematic",IF(N55="","Not added",N55),IF(E55="S2 PCB Layout",IF(S55="","Not added",S55),IF(E55="S3 SI &amp; PI",IF(X55="","Not added",X55),IF(E55="S4 Bare-PCB Fab",IF(AC55="","Not added",AC55),IF(E55="S5 Assembly",IF(AH55="","Not added",AH55),IF(E55="S6 Bring-up",IF(AM55="","Not added",AM55),IF(AR55="","Not added",AR55)))))))))</f>
        <v/>
      </c>
      <c r="H55" s="32" t="str">
        <f aca="true">IF($C55="","",IF(OR(F55="Completed",F55="Cancelled"),"",IF(NOT(ISNUMBER(G55)),"No date set",IF(TODAY()&gt;G55,TODAY()-G55&amp;" days late",G55-TODAY()&amp;" days left"))))</f>
        <v/>
      </c>
      <c r="I55" s="31" t="str">
        <f aca="false">IF($C55="","",COUNTIF(M55,"Completed")+COUNTIF(R55,"Completed")+COUNTIF(W55,"Completed")+COUNTIF(AB55,"Completed")+COUNTIF(AG55,"Completed")+COUNTIF(AL55,"Completed")+COUNTIF(AQ55,"Completed"))</f>
        <v/>
      </c>
      <c r="J55" s="31" t="str">
        <f aca="false">IF($C55="","",7-(COUNTIF(M55,"NA")+COUNTIF(R55,"NA")+COUNTIF(W55,"NA")+COUNTIF(AB55,"NA")+COUNTIF(AG55,"NA")+COUNTIF(AL55,"NA")+COUNTIF(AQ55,"NA")))</f>
        <v/>
      </c>
      <c r="K55" s="34" t="str">
        <f aca="false">IFERROR(I55/J55,"")</f>
        <v/>
      </c>
      <c r="L55" s="29"/>
      <c r="M55" s="35"/>
      <c r="N55" s="36"/>
      <c r="O55" s="36"/>
      <c r="P55" s="30"/>
      <c r="Q55" s="29"/>
      <c r="R55" s="35"/>
      <c r="S55" s="36"/>
      <c r="T55" s="36"/>
      <c r="U55" s="30"/>
      <c r="V55" s="29"/>
      <c r="W55" s="35"/>
      <c r="X55" s="36"/>
      <c r="Y55" s="36"/>
      <c r="Z55" s="30"/>
      <c r="AA55" s="29"/>
      <c r="AB55" s="35"/>
      <c r="AC55" s="36"/>
      <c r="AD55" s="36"/>
      <c r="AE55" s="30"/>
      <c r="AF55" s="29"/>
      <c r="AG55" s="35"/>
      <c r="AH55" s="36"/>
      <c r="AI55" s="36"/>
      <c r="AJ55" s="30"/>
      <c r="AK55" s="29"/>
      <c r="AL55" s="35"/>
      <c r="AM55" s="36"/>
      <c r="AN55" s="36"/>
      <c r="AO55" s="30"/>
      <c r="AP55" s="29"/>
      <c r="AQ55" s="35"/>
      <c r="AR55" s="36"/>
      <c r="AS55" s="36"/>
      <c r="AT55" s="30"/>
      <c r="AU55" s="29"/>
      <c r="AV55" s="29"/>
      <c r="AW55" s="29"/>
      <c r="AX55" s="37"/>
      <c r="AY55" s="29"/>
      <c r="AZ55" s="38" t="str">
        <f aca="false">IF($C55="","",IF(OR(F55="Completed",F55="Cancelled"),"",IF(AND(OR(F55="On Hold",ISNUMBER(VALUE(LEFT(H55,2)))),AY55=""),"Reason not given","")))</f>
        <v/>
      </c>
      <c r="BA55" s="30"/>
    </row>
    <row r="56" customFormat="false" ht="19.5" hidden="false" customHeight="true" outlineLevel="0" collapsed="false">
      <c r="A56" s="28" t="str">
        <f aca="false">IF($C56="","",COUNTA($C$17:$C56))</f>
        <v/>
      </c>
      <c r="B56" s="29"/>
      <c r="C56" s="30"/>
      <c r="D56" s="29"/>
      <c r="E56" s="31" t="str">
        <f aca="false">IF($C56="","",IF(NOT(OR(M56="Completed",M56="NA",M56="Cancelled")),"S1 Schematic",IF(NOT(OR(R56="Completed",R56="NA",R56="Cancelled")),"S2 PCB Layout",IF(NOT(OR(W56="Completed",W56="NA",W56="Cancelled")),"S3 SI &amp; PI",IF(NOT(OR(AB56="Completed",AB56="NA",AB56="Cancelled")),"S4 Bare-PCB Fab",IF(NOT(OR(AG56="Completed",AG56="NA",AG56="Cancelled")),"S5 Assembly",IF(NOT(OR(AL56="Completed",AL56="NA",AL56="Cancelled")),"S6 Bring-up",IF(NOT(OR(AQ56="Completed",AQ56="NA",AQ56="Cancelled")),"S7 BOM Procurement","All Stages Closed"))))))))</f>
        <v/>
      </c>
      <c r="F56" s="32" t="str">
        <f aca="false">IF($C56="","",IF(COUNTIF(M56,"Cancelled")+COUNTIF(R56,"Cancelled")+COUNTIF(W56,"Cancelled")+COUNTIF(AB56,"Cancelled")+COUNTIF(AG56,"Cancelled")+COUNTIF(AL56,"Cancelled")+COUNTIF(AQ56,"Cancelled")&gt;0,"Cancelled",IF(E56="All Stages Closed","Completed",IF(E56="S1 Schematic",M56,IF(E56="S2 PCB Layout",R56,IF(E56="S3 SI &amp; PI",W56,IF(E56="S4 Bare-PCB Fab",AB56,IF(E56="S5 Assembly",AG56,IF(E56="S6 Bring-up",AL56,AQ56)))))))))</f>
        <v/>
      </c>
      <c r="G56" s="33" t="str">
        <f aca="false">IF($C56="","",IF(E56="All Stages Closed","",IF(E56="S1 Schematic",IF(N56="","Not added",N56),IF(E56="S2 PCB Layout",IF(S56="","Not added",S56),IF(E56="S3 SI &amp; PI",IF(X56="","Not added",X56),IF(E56="S4 Bare-PCB Fab",IF(AC56="","Not added",AC56),IF(E56="S5 Assembly",IF(AH56="","Not added",AH56),IF(E56="S6 Bring-up",IF(AM56="","Not added",AM56),IF(AR56="","Not added",AR56)))))))))</f>
        <v/>
      </c>
      <c r="H56" s="32" t="str">
        <f aca="true">IF($C56="","",IF(OR(F56="Completed",F56="Cancelled"),"",IF(NOT(ISNUMBER(G56)),"No date set",IF(TODAY()&gt;G56,TODAY()-G56&amp;" days late",G56-TODAY()&amp;" days left"))))</f>
        <v/>
      </c>
      <c r="I56" s="31" t="str">
        <f aca="false">IF($C56="","",COUNTIF(M56,"Completed")+COUNTIF(R56,"Completed")+COUNTIF(W56,"Completed")+COUNTIF(AB56,"Completed")+COUNTIF(AG56,"Completed")+COUNTIF(AL56,"Completed")+COUNTIF(AQ56,"Completed"))</f>
        <v/>
      </c>
      <c r="J56" s="31" t="str">
        <f aca="false">IF($C56="","",7-(COUNTIF(M56,"NA")+COUNTIF(R56,"NA")+COUNTIF(W56,"NA")+COUNTIF(AB56,"NA")+COUNTIF(AG56,"NA")+COUNTIF(AL56,"NA")+COUNTIF(AQ56,"NA")))</f>
        <v/>
      </c>
      <c r="K56" s="34" t="str">
        <f aca="false">IFERROR(I56/J56,"")</f>
        <v/>
      </c>
      <c r="L56" s="29"/>
      <c r="M56" s="35"/>
      <c r="N56" s="36"/>
      <c r="O56" s="36"/>
      <c r="P56" s="30"/>
      <c r="Q56" s="29"/>
      <c r="R56" s="35"/>
      <c r="S56" s="36"/>
      <c r="T56" s="36"/>
      <c r="U56" s="30"/>
      <c r="V56" s="29"/>
      <c r="W56" s="35"/>
      <c r="X56" s="36"/>
      <c r="Y56" s="36"/>
      <c r="Z56" s="30"/>
      <c r="AA56" s="29"/>
      <c r="AB56" s="35"/>
      <c r="AC56" s="36"/>
      <c r="AD56" s="36"/>
      <c r="AE56" s="30"/>
      <c r="AF56" s="29"/>
      <c r="AG56" s="35"/>
      <c r="AH56" s="36"/>
      <c r="AI56" s="36"/>
      <c r="AJ56" s="30"/>
      <c r="AK56" s="29"/>
      <c r="AL56" s="35"/>
      <c r="AM56" s="36"/>
      <c r="AN56" s="36"/>
      <c r="AO56" s="30"/>
      <c r="AP56" s="29"/>
      <c r="AQ56" s="35"/>
      <c r="AR56" s="36"/>
      <c r="AS56" s="36"/>
      <c r="AT56" s="30"/>
      <c r="AU56" s="29"/>
      <c r="AV56" s="29"/>
      <c r="AW56" s="29"/>
      <c r="AX56" s="37"/>
      <c r="AY56" s="29"/>
      <c r="AZ56" s="38" t="str">
        <f aca="false">IF($C56="","",IF(OR(F56="Completed",F56="Cancelled"),"",IF(AND(OR(F56="On Hold",ISNUMBER(VALUE(LEFT(H56,2)))),AY56=""),"Reason not given","")))</f>
        <v/>
      </c>
      <c r="BA56" s="30"/>
    </row>
    <row r="57" customFormat="false" ht="19.5" hidden="false" customHeight="true" outlineLevel="0" collapsed="false">
      <c r="A57" s="28" t="str">
        <f aca="false">IF($C57="","",COUNTA($C$17:$C57))</f>
        <v/>
      </c>
      <c r="B57" s="29"/>
      <c r="C57" s="30"/>
      <c r="D57" s="29"/>
      <c r="E57" s="31" t="str">
        <f aca="false">IF($C57="","",IF(NOT(OR(M57="Completed",M57="NA",M57="Cancelled")),"S1 Schematic",IF(NOT(OR(R57="Completed",R57="NA",R57="Cancelled")),"S2 PCB Layout",IF(NOT(OR(W57="Completed",W57="NA",W57="Cancelled")),"S3 SI &amp; PI",IF(NOT(OR(AB57="Completed",AB57="NA",AB57="Cancelled")),"S4 Bare-PCB Fab",IF(NOT(OR(AG57="Completed",AG57="NA",AG57="Cancelled")),"S5 Assembly",IF(NOT(OR(AL57="Completed",AL57="NA",AL57="Cancelled")),"S6 Bring-up",IF(NOT(OR(AQ57="Completed",AQ57="NA",AQ57="Cancelled")),"S7 BOM Procurement","All Stages Closed"))))))))</f>
        <v/>
      </c>
      <c r="F57" s="32" t="str">
        <f aca="false">IF($C57="","",IF(COUNTIF(M57,"Cancelled")+COUNTIF(R57,"Cancelled")+COUNTIF(W57,"Cancelled")+COUNTIF(AB57,"Cancelled")+COUNTIF(AG57,"Cancelled")+COUNTIF(AL57,"Cancelled")+COUNTIF(AQ57,"Cancelled")&gt;0,"Cancelled",IF(E57="All Stages Closed","Completed",IF(E57="S1 Schematic",M57,IF(E57="S2 PCB Layout",R57,IF(E57="S3 SI &amp; PI",W57,IF(E57="S4 Bare-PCB Fab",AB57,IF(E57="S5 Assembly",AG57,IF(E57="S6 Bring-up",AL57,AQ57)))))))))</f>
        <v/>
      </c>
      <c r="G57" s="33" t="str">
        <f aca="false">IF($C57="","",IF(E57="All Stages Closed","",IF(E57="S1 Schematic",IF(N57="","Not added",N57),IF(E57="S2 PCB Layout",IF(S57="","Not added",S57),IF(E57="S3 SI &amp; PI",IF(X57="","Not added",X57),IF(E57="S4 Bare-PCB Fab",IF(AC57="","Not added",AC57),IF(E57="S5 Assembly",IF(AH57="","Not added",AH57),IF(E57="S6 Bring-up",IF(AM57="","Not added",AM57),IF(AR57="","Not added",AR57)))))))))</f>
        <v/>
      </c>
      <c r="H57" s="32" t="str">
        <f aca="true">IF($C57="","",IF(OR(F57="Completed",F57="Cancelled"),"",IF(NOT(ISNUMBER(G57)),"No date set",IF(TODAY()&gt;G57,TODAY()-G57&amp;" days late",G57-TODAY()&amp;" days left"))))</f>
        <v/>
      </c>
      <c r="I57" s="31" t="str">
        <f aca="false">IF($C57="","",COUNTIF(M57,"Completed")+COUNTIF(R57,"Completed")+COUNTIF(W57,"Completed")+COUNTIF(AB57,"Completed")+COUNTIF(AG57,"Completed")+COUNTIF(AL57,"Completed")+COUNTIF(AQ57,"Completed"))</f>
        <v/>
      </c>
      <c r="J57" s="31" t="str">
        <f aca="false">IF($C57="","",7-(COUNTIF(M57,"NA")+COUNTIF(R57,"NA")+COUNTIF(W57,"NA")+COUNTIF(AB57,"NA")+COUNTIF(AG57,"NA")+COUNTIF(AL57,"NA")+COUNTIF(AQ57,"NA")))</f>
        <v/>
      </c>
      <c r="K57" s="34" t="str">
        <f aca="false">IFERROR(I57/J57,"")</f>
        <v/>
      </c>
      <c r="L57" s="29"/>
      <c r="M57" s="35"/>
      <c r="N57" s="36"/>
      <c r="O57" s="36"/>
      <c r="P57" s="30"/>
      <c r="Q57" s="29"/>
      <c r="R57" s="35"/>
      <c r="S57" s="36"/>
      <c r="T57" s="36"/>
      <c r="U57" s="30"/>
      <c r="V57" s="29"/>
      <c r="W57" s="35"/>
      <c r="X57" s="36"/>
      <c r="Y57" s="36"/>
      <c r="Z57" s="30"/>
      <c r="AA57" s="29"/>
      <c r="AB57" s="35"/>
      <c r="AC57" s="36"/>
      <c r="AD57" s="36"/>
      <c r="AE57" s="30"/>
      <c r="AF57" s="29"/>
      <c r="AG57" s="35"/>
      <c r="AH57" s="36"/>
      <c r="AI57" s="36"/>
      <c r="AJ57" s="30"/>
      <c r="AK57" s="29"/>
      <c r="AL57" s="35"/>
      <c r="AM57" s="36"/>
      <c r="AN57" s="36"/>
      <c r="AO57" s="30"/>
      <c r="AP57" s="29"/>
      <c r="AQ57" s="35"/>
      <c r="AR57" s="36"/>
      <c r="AS57" s="36"/>
      <c r="AT57" s="30"/>
      <c r="AU57" s="29"/>
      <c r="AV57" s="29"/>
      <c r="AW57" s="29"/>
      <c r="AX57" s="37"/>
      <c r="AY57" s="29"/>
      <c r="AZ57" s="38" t="str">
        <f aca="false">IF($C57="","",IF(OR(F57="Completed",F57="Cancelled"),"",IF(AND(OR(F57="On Hold",ISNUMBER(VALUE(LEFT(H57,2)))),AY57=""),"Reason not given","")))</f>
        <v/>
      </c>
      <c r="BA57" s="30"/>
    </row>
    <row r="58" customFormat="false" ht="19.5" hidden="false" customHeight="true" outlineLevel="0" collapsed="false">
      <c r="A58" s="28" t="str">
        <f aca="false">IF($C58="","",COUNTA($C$17:$C58))</f>
        <v/>
      </c>
      <c r="B58" s="29"/>
      <c r="C58" s="30"/>
      <c r="D58" s="29"/>
      <c r="E58" s="31" t="str">
        <f aca="false">IF($C58="","",IF(NOT(OR(M58="Completed",M58="NA",M58="Cancelled")),"S1 Schematic",IF(NOT(OR(R58="Completed",R58="NA",R58="Cancelled")),"S2 PCB Layout",IF(NOT(OR(W58="Completed",W58="NA",W58="Cancelled")),"S3 SI &amp; PI",IF(NOT(OR(AB58="Completed",AB58="NA",AB58="Cancelled")),"S4 Bare-PCB Fab",IF(NOT(OR(AG58="Completed",AG58="NA",AG58="Cancelled")),"S5 Assembly",IF(NOT(OR(AL58="Completed",AL58="NA",AL58="Cancelled")),"S6 Bring-up",IF(NOT(OR(AQ58="Completed",AQ58="NA",AQ58="Cancelled")),"S7 BOM Procurement","All Stages Closed"))))))))</f>
        <v/>
      </c>
      <c r="F58" s="32" t="str">
        <f aca="false">IF($C58="","",IF(COUNTIF(M58,"Cancelled")+COUNTIF(R58,"Cancelled")+COUNTIF(W58,"Cancelled")+COUNTIF(AB58,"Cancelled")+COUNTIF(AG58,"Cancelled")+COUNTIF(AL58,"Cancelled")+COUNTIF(AQ58,"Cancelled")&gt;0,"Cancelled",IF(E58="All Stages Closed","Completed",IF(E58="S1 Schematic",M58,IF(E58="S2 PCB Layout",R58,IF(E58="S3 SI &amp; PI",W58,IF(E58="S4 Bare-PCB Fab",AB58,IF(E58="S5 Assembly",AG58,IF(E58="S6 Bring-up",AL58,AQ58)))))))))</f>
        <v/>
      </c>
      <c r="G58" s="33" t="str">
        <f aca="false">IF($C58="","",IF(E58="All Stages Closed","",IF(E58="S1 Schematic",IF(N58="","Not added",N58),IF(E58="S2 PCB Layout",IF(S58="","Not added",S58),IF(E58="S3 SI &amp; PI",IF(X58="","Not added",X58),IF(E58="S4 Bare-PCB Fab",IF(AC58="","Not added",AC58),IF(E58="S5 Assembly",IF(AH58="","Not added",AH58),IF(E58="S6 Bring-up",IF(AM58="","Not added",AM58),IF(AR58="","Not added",AR58)))))))))</f>
        <v/>
      </c>
      <c r="H58" s="32" t="str">
        <f aca="true">IF($C58="","",IF(OR(F58="Completed",F58="Cancelled"),"",IF(NOT(ISNUMBER(G58)),"No date set",IF(TODAY()&gt;G58,TODAY()-G58&amp;" days late",G58-TODAY()&amp;" days left"))))</f>
        <v/>
      </c>
      <c r="I58" s="31" t="str">
        <f aca="false">IF($C58="","",COUNTIF(M58,"Completed")+COUNTIF(R58,"Completed")+COUNTIF(W58,"Completed")+COUNTIF(AB58,"Completed")+COUNTIF(AG58,"Completed")+COUNTIF(AL58,"Completed")+COUNTIF(AQ58,"Completed"))</f>
        <v/>
      </c>
      <c r="J58" s="31" t="str">
        <f aca="false">IF($C58="","",7-(COUNTIF(M58,"NA")+COUNTIF(R58,"NA")+COUNTIF(W58,"NA")+COUNTIF(AB58,"NA")+COUNTIF(AG58,"NA")+COUNTIF(AL58,"NA")+COUNTIF(AQ58,"NA")))</f>
        <v/>
      </c>
      <c r="K58" s="34" t="str">
        <f aca="false">IFERROR(I58/J58,"")</f>
        <v/>
      </c>
      <c r="L58" s="29"/>
      <c r="M58" s="35"/>
      <c r="N58" s="36"/>
      <c r="O58" s="36"/>
      <c r="P58" s="30"/>
      <c r="Q58" s="29"/>
      <c r="R58" s="35"/>
      <c r="S58" s="36"/>
      <c r="T58" s="36"/>
      <c r="U58" s="30"/>
      <c r="V58" s="29"/>
      <c r="W58" s="35"/>
      <c r="X58" s="36"/>
      <c r="Y58" s="36"/>
      <c r="Z58" s="30"/>
      <c r="AA58" s="29"/>
      <c r="AB58" s="35"/>
      <c r="AC58" s="36"/>
      <c r="AD58" s="36"/>
      <c r="AE58" s="30"/>
      <c r="AF58" s="29"/>
      <c r="AG58" s="35"/>
      <c r="AH58" s="36"/>
      <c r="AI58" s="36"/>
      <c r="AJ58" s="30"/>
      <c r="AK58" s="29"/>
      <c r="AL58" s="35"/>
      <c r="AM58" s="36"/>
      <c r="AN58" s="36"/>
      <c r="AO58" s="30"/>
      <c r="AP58" s="29"/>
      <c r="AQ58" s="35"/>
      <c r="AR58" s="36"/>
      <c r="AS58" s="36"/>
      <c r="AT58" s="30"/>
      <c r="AU58" s="29"/>
      <c r="AV58" s="29"/>
      <c r="AW58" s="29"/>
      <c r="AX58" s="37"/>
      <c r="AY58" s="29"/>
      <c r="AZ58" s="38" t="str">
        <f aca="false">IF($C58="","",IF(OR(F58="Completed",F58="Cancelled"),"",IF(AND(OR(F58="On Hold",ISNUMBER(VALUE(LEFT(H58,2)))),AY58=""),"Reason not given","")))</f>
        <v/>
      </c>
      <c r="BA58" s="30"/>
    </row>
    <row r="59" customFormat="false" ht="19.5" hidden="false" customHeight="true" outlineLevel="0" collapsed="false">
      <c r="A59" s="28" t="str">
        <f aca="false">IF($C59="","",COUNTA($C$17:$C59))</f>
        <v/>
      </c>
      <c r="B59" s="29"/>
      <c r="C59" s="30"/>
      <c r="D59" s="29"/>
      <c r="E59" s="31" t="str">
        <f aca="false">IF($C59="","",IF(NOT(OR(M59="Completed",M59="NA",M59="Cancelled")),"S1 Schematic",IF(NOT(OR(R59="Completed",R59="NA",R59="Cancelled")),"S2 PCB Layout",IF(NOT(OR(W59="Completed",W59="NA",W59="Cancelled")),"S3 SI &amp; PI",IF(NOT(OR(AB59="Completed",AB59="NA",AB59="Cancelled")),"S4 Bare-PCB Fab",IF(NOT(OR(AG59="Completed",AG59="NA",AG59="Cancelled")),"S5 Assembly",IF(NOT(OR(AL59="Completed",AL59="NA",AL59="Cancelled")),"S6 Bring-up",IF(NOT(OR(AQ59="Completed",AQ59="NA",AQ59="Cancelled")),"S7 BOM Procurement","All Stages Closed"))))))))</f>
        <v/>
      </c>
      <c r="F59" s="32" t="str">
        <f aca="false">IF($C59="","",IF(COUNTIF(M59,"Cancelled")+COUNTIF(R59,"Cancelled")+COUNTIF(W59,"Cancelled")+COUNTIF(AB59,"Cancelled")+COUNTIF(AG59,"Cancelled")+COUNTIF(AL59,"Cancelled")+COUNTIF(AQ59,"Cancelled")&gt;0,"Cancelled",IF(E59="All Stages Closed","Completed",IF(E59="S1 Schematic",M59,IF(E59="S2 PCB Layout",R59,IF(E59="S3 SI &amp; PI",W59,IF(E59="S4 Bare-PCB Fab",AB59,IF(E59="S5 Assembly",AG59,IF(E59="S6 Bring-up",AL59,AQ59)))))))))</f>
        <v/>
      </c>
      <c r="G59" s="33" t="str">
        <f aca="false">IF($C59="","",IF(E59="All Stages Closed","",IF(E59="S1 Schematic",IF(N59="","Not added",N59),IF(E59="S2 PCB Layout",IF(S59="","Not added",S59),IF(E59="S3 SI &amp; PI",IF(X59="","Not added",X59),IF(E59="S4 Bare-PCB Fab",IF(AC59="","Not added",AC59),IF(E59="S5 Assembly",IF(AH59="","Not added",AH59),IF(E59="S6 Bring-up",IF(AM59="","Not added",AM59),IF(AR59="","Not added",AR59)))))))))</f>
        <v/>
      </c>
      <c r="H59" s="32" t="str">
        <f aca="true">IF($C59="","",IF(OR(F59="Completed",F59="Cancelled"),"",IF(NOT(ISNUMBER(G59)),"No date set",IF(TODAY()&gt;G59,TODAY()-G59&amp;" days late",G59-TODAY()&amp;" days left"))))</f>
        <v/>
      </c>
      <c r="I59" s="31" t="str">
        <f aca="false">IF($C59="","",COUNTIF(M59,"Completed")+COUNTIF(R59,"Completed")+COUNTIF(W59,"Completed")+COUNTIF(AB59,"Completed")+COUNTIF(AG59,"Completed")+COUNTIF(AL59,"Completed")+COUNTIF(AQ59,"Completed"))</f>
        <v/>
      </c>
      <c r="J59" s="31" t="str">
        <f aca="false">IF($C59="","",7-(COUNTIF(M59,"NA")+COUNTIF(R59,"NA")+COUNTIF(W59,"NA")+COUNTIF(AB59,"NA")+COUNTIF(AG59,"NA")+COUNTIF(AL59,"NA")+COUNTIF(AQ59,"NA")))</f>
        <v/>
      </c>
      <c r="K59" s="34" t="str">
        <f aca="false">IFERROR(I59/J59,"")</f>
        <v/>
      </c>
      <c r="L59" s="29"/>
      <c r="M59" s="35"/>
      <c r="N59" s="36"/>
      <c r="O59" s="36"/>
      <c r="P59" s="30"/>
      <c r="Q59" s="29"/>
      <c r="R59" s="35"/>
      <c r="S59" s="36"/>
      <c r="T59" s="36"/>
      <c r="U59" s="30"/>
      <c r="V59" s="29"/>
      <c r="W59" s="35"/>
      <c r="X59" s="36"/>
      <c r="Y59" s="36"/>
      <c r="Z59" s="30"/>
      <c r="AA59" s="29"/>
      <c r="AB59" s="35"/>
      <c r="AC59" s="36"/>
      <c r="AD59" s="36"/>
      <c r="AE59" s="30"/>
      <c r="AF59" s="29"/>
      <c r="AG59" s="35"/>
      <c r="AH59" s="36"/>
      <c r="AI59" s="36"/>
      <c r="AJ59" s="30"/>
      <c r="AK59" s="29"/>
      <c r="AL59" s="35"/>
      <c r="AM59" s="36"/>
      <c r="AN59" s="36"/>
      <c r="AO59" s="30"/>
      <c r="AP59" s="29"/>
      <c r="AQ59" s="35"/>
      <c r="AR59" s="36"/>
      <c r="AS59" s="36"/>
      <c r="AT59" s="30"/>
      <c r="AU59" s="29"/>
      <c r="AV59" s="29"/>
      <c r="AW59" s="29"/>
      <c r="AX59" s="37"/>
      <c r="AY59" s="29"/>
      <c r="AZ59" s="38" t="str">
        <f aca="false">IF($C59="","",IF(OR(F59="Completed",F59="Cancelled"),"",IF(AND(OR(F59="On Hold",ISNUMBER(VALUE(LEFT(H59,2)))),AY59=""),"Reason not given","")))</f>
        <v/>
      </c>
      <c r="BA59" s="30"/>
    </row>
    <row r="60" customFormat="false" ht="19.5" hidden="false" customHeight="true" outlineLevel="0" collapsed="false">
      <c r="A60" s="28" t="str">
        <f aca="false">IF($C60="","",COUNTA($C$17:$C60))</f>
        <v/>
      </c>
      <c r="B60" s="29"/>
      <c r="C60" s="30"/>
      <c r="D60" s="29"/>
      <c r="E60" s="31" t="str">
        <f aca="false">IF($C60="","",IF(NOT(OR(M60="Completed",M60="NA",M60="Cancelled")),"S1 Schematic",IF(NOT(OR(R60="Completed",R60="NA",R60="Cancelled")),"S2 PCB Layout",IF(NOT(OR(W60="Completed",W60="NA",W60="Cancelled")),"S3 SI &amp; PI",IF(NOT(OR(AB60="Completed",AB60="NA",AB60="Cancelled")),"S4 Bare-PCB Fab",IF(NOT(OR(AG60="Completed",AG60="NA",AG60="Cancelled")),"S5 Assembly",IF(NOT(OR(AL60="Completed",AL60="NA",AL60="Cancelled")),"S6 Bring-up",IF(NOT(OR(AQ60="Completed",AQ60="NA",AQ60="Cancelled")),"S7 BOM Procurement","All Stages Closed"))))))))</f>
        <v/>
      </c>
      <c r="F60" s="32" t="str">
        <f aca="false">IF($C60="","",IF(COUNTIF(M60,"Cancelled")+COUNTIF(R60,"Cancelled")+COUNTIF(W60,"Cancelled")+COUNTIF(AB60,"Cancelled")+COUNTIF(AG60,"Cancelled")+COUNTIF(AL60,"Cancelled")+COUNTIF(AQ60,"Cancelled")&gt;0,"Cancelled",IF(E60="All Stages Closed","Completed",IF(E60="S1 Schematic",M60,IF(E60="S2 PCB Layout",R60,IF(E60="S3 SI &amp; PI",W60,IF(E60="S4 Bare-PCB Fab",AB60,IF(E60="S5 Assembly",AG60,IF(E60="S6 Bring-up",AL60,AQ60)))))))))</f>
        <v/>
      </c>
      <c r="G60" s="33" t="str">
        <f aca="false">IF($C60="","",IF(E60="All Stages Closed","",IF(E60="S1 Schematic",IF(N60="","Not added",N60),IF(E60="S2 PCB Layout",IF(S60="","Not added",S60),IF(E60="S3 SI &amp; PI",IF(X60="","Not added",X60),IF(E60="S4 Bare-PCB Fab",IF(AC60="","Not added",AC60),IF(E60="S5 Assembly",IF(AH60="","Not added",AH60),IF(E60="S6 Bring-up",IF(AM60="","Not added",AM60),IF(AR60="","Not added",AR60)))))))))</f>
        <v/>
      </c>
      <c r="H60" s="32" t="str">
        <f aca="true">IF($C60="","",IF(OR(F60="Completed",F60="Cancelled"),"",IF(NOT(ISNUMBER(G60)),"No date set",IF(TODAY()&gt;G60,TODAY()-G60&amp;" days late",G60-TODAY()&amp;" days left"))))</f>
        <v/>
      </c>
      <c r="I60" s="31" t="str">
        <f aca="false">IF($C60="","",COUNTIF(M60,"Completed")+COUNTIF(R60,"Completed")+COUNTIF(W60,"Completed")+COUNTIF(AB60,"Completed")+COUNTIF(AG60,"Completed")+COUNTIF(AL60,"Completed")+COUNTIF(AQ60,"Completed"))</f>
        <v/>
      </c>
      <c r="J60" s="31" t="str">
        <f aca="false">IF($C60="","",7-(COUNTIF(M60,"NA")+COUNTIF(R60,"NA")+COUNTIF(W60,"NA")+COUNTIF(AB60,"NA")+COUNTIF(AG60,"NA")+COUNTIF(AL60,"NA")+COUNTIF(AQ60,"NA")))</f>
        <v/>
      </c>
      <c r="K60" s="34" t="str">
        <f aca="false">IFERROR(I60/J60,"")</f>
        <v/>
      </c>
      <c r="L60" s="29"/>
      <c r="M60" s="35"/>
      <c r="N60" s="36"/>
      <c r="O60" s="36"/>
      <c r="P60" s="30"/>
      <c r="Q60" s="29"/>
      <c r="R60" s="35"/>
      <c r="S60" s="36"/>
      <c r="T60" s="36"/>
      <c r="U60" s="30"/>
      <c r="V60" s="29"/>
      <c r="W60" s="35"/>
      <c r="X60" s="36"/>
      <c r="Y60" s="36"/>
      <c r="Z60" s="30"/>
      <c r="AA60" s="29"/>
      <c r="AB60" s="35"/>
      <c r="AC60" s="36"/>
      <c r="AD60" s="36"/>
      <c r="AE60" s="30"/>
      <c r="AF60" s="29"/>
      <c r="AG60" s="35"/>
      <c r="AH60" s="36"/>
      <c r="AI60" s="36"/>
      <c r="AJ60" s="30"/>
      <c r="AK60" s="29"/>
      <c r="AL60" s="35"/>
      <c r="AM60" s="36"/>
      <c r="AN60" s="36"/>
      <c r="AO60" s="30"/>
      <c r="AP60" s="29"/>
      <c r="AQ60" s="35"/>
      <c r="AR60" s="36"/>
      <c r="AS60" s="36"/>
      <c r="AT60" s="30"/>
      <c r="AU60" s="29"/>
      <c r="AV60" s="29"/>
      <c r="AW60" s="29"/>
      <c r="AX60" s="37"/>
      <c r="AY60" s="29"/>
      <c r="AZ60" s="38" t="str">
        <f aca="false">IF($C60="","",IF(OR(F60="Completed",F60="Cancelled"),"",IF(AND(OR(F60="On Hold",ISNUMBER(VALUE(LEFT(H60,2)))),AY60=""),"Reason not given","")))</f>
        <v/>
      </c>
      <c r="BA60" s="30"/>
    </row>
    <row r="61" customFormat="false" ht="19.5" hidden="false" customHeight="true" outlineLevel="0" collapsed="false">
      <c r="A61" s="28" t="str">
        <f aca="false">IF($C61="","",COUNTA($C$17:$C61))</f>
        <v/>
      </c>
      <c r="B61" s="29"/>
      <c r="C61" s="30"/>
      <c r="D61" s="29"/>
      <c r="E61" s="31" t="str">
        <f aca="false">IF($C61="","",IF(NOT(OR(M61="Completed",M61="NA",M61="Cancelled")),"S1 Schematic",IF(NOT(OR(R61="Completed",R61="NA",R61="Cancelled")),"S2 PCB Layout",IF(NOT(OR(W61="Completed",W61="NA",W61="Cancelled")),"S3 SI &amp; PI",IF(NOT(OR(AB61="Completed",AB61="NA",AB61="Cancelled")),"S4 Bare-PCB Fab",IF(NOT(OR(AG61="Completed",AG61="NA",AG61="Cancelled")),"S5 Assembly",IF(NOT(OR(AL61="Completed",AL61="NA",AL61="Cancelled")),"S6 Bring-up",IF(NOT(OR(AQ61="Completed",AQ61="NA",AQ61="Cancelled")),"S7 BOM Procurement","All Stages Closed"))))))))</f>
        <v/>
      </c>
      <c r="F61" s="32" t="str">
        <f aca="false">IF($C61="","",IF(COUNTIF(M61,"Cancelled")+COUNTIF(R61,"Cancelled")+COUNTIF(W61,"Cancelled")+COUNTIF(AB61,"Cancelled")+COUNTIF(AG61,"Cancelled")+COUNTIF(AL61,"Cancelled")+COUNTIF(AQ61,"Cancelled")&gt;0,"Cancelled",IF(E61="All Stages Closed","Completed",IF(E61="S1 Schematic",M61,IF(E61="S2 PCB Layout",R61,IF(E61="S3 SI &amp; PI",W61,IF(E61="S4 Bare-PCB Fab",AB61,IF(E61="S5 Assembly",AG61,IF(E61="S6 Bring-up",AL61,AQ61)))))))))</f>
        <v/>
      </c>
      <c r="G61" s="33" t="str">
        <f aca="false">IF($C61="","",IF(E61="All Stages Closed","",IF(E61="S1 Schematic",IF(N61="","Not added",N61),IF(E61="S2 PCB Layout",IF(S61="","Not added",S61),IF(E61="S3 SI &amp; PI",IF(X61="","Not added",X61),IF(E61="S4 Bare-PCB Fab",IF(AC61="","Not added",AC61),IF(E61="S5 Assembly",IF(AH61="","Not added",AH61),IF(E61="S6 Bring-up",IF(AM61="","Not added",AM61),IF(AR61="","Not added",AR61)))))))))</f>
        <v/>
      </c>
      <c r="H61" s="32" t="str">
        <f aca="true">IF($C61="","",IF(OR(F61="Completed",F61="Cancelled"),"",IF(NOT(ISNUMBER(G61)),"No date set",IF(TODAY()&gt;G61,TODAY()-G61&amp;" days late",G61-TODAY()&amp;" days left"))))</f>
        <v/>
      </c>
      <c r="I61" s="31" t="str">
        <f aca="false">IF($C61="","",COUNTIF(M61,"Completed")+COUNTIF(R61,"Completed")+COUNTIF(W61,"Completed")+COUNTIF(AB61,"Completed")+COUNTIF(AG61,"Completed")+COUNTIF(AL61,"Completed")+COUNTIF(AQ61,"Completed"))</f>
        <v/>
      </c>
      <c r="J61" s="31" t="str">
        <f aca="false">IF($C61="","",7-(COUNTIF(M61,"NA")+COUNTIF(R61,"NA")+COUNTIF(W61,"NA")+COUNTIF(AB61,"NA")+COUNTIF(AG61,"NA")+COUNTIF(AL61,"NA")+COUNTIF(AQ61,"NA")))</f>
        <v/>
      </c>
      <c r="K61" s="34" t="str">
        <f aca="false">IFERROR(I61/J61,"")</f>
        <v/>
      </c>
      <c r="L61" s="29"/>
      <c r="M61" s="35"/>
      <c r="N61" s="36"/>
      <c r="O61" s="36"/>
      <c r="P61" s="30"/>
      <c r="Q61" s="29"/>
      <c r="R61" s="35"/>
      <c r="S61" s="36"/>
      <c r="T61" s="36"/>
      <c r="U61" s="30"/>
      <c r="V61" s="29"/>
      <c r="W61" s="35"/>
      <c r="X61" s="36"/>
      <c r="Y61" s="36"/>
      <c r="Z61" s="30"/>
      <c r="AA61" s="29"/>
      <c r="AB61" s="35"/>
      <c r="AC61" s="36"/>
      <c r="AD61" s="36"/>
      <c r="AE61" s="30"/>
      <c r="AF61" s="29"/>
      <c r="AG61" s="35"/>
      <c r="AH61" s="36"/>
      <c r="AI61" s="36"/>
      <c r="AJ61" s="30"/>
      <c r="AK61" s="29"/>
      <c r="AL61" s="35"/>
      <c r="AM61" s="36"/>
      <c r="AN61" s="36"/>
      <c r="AO61" s="30"/>
      <c r="AP61" s="29"/>
      <c r="AQ61" s="35"/>
      <c r="AR61" s="36"/>
      <c r="AS61" s="36"/>
      <c r="AT61" s="30"/>
      <c r="AU61" s="29"/>
      <c r="AV61" s="29"/>
      <c r="AW61" s="29"/>
      <c r="AX61" s="37"/>
      <c r="AY61" s="29"/>
      <c r="AZ61" s="38" t="str">
        <f aca="false">IF($C61="","",IF(OR(F61="Completed",F61="Cancelled"),"",IF(AND(OR(F61="On Hold",ISNUMBER(VALUE(LEFT(H61,2)))),AY61=""),"Reason not given","")))</f>
        <v/>
      </c>
      <c r="BA61" s="30"/>
    </row>
    <row r="62" customFormat="false" ht="19.5" hidden="false" customHeight="true" outlineLevel="0" collapsed="false">
      <c r="A62" s="28" t="str">
        <f aca="false">IF($C62="","",COUNTA($C$17:$C62))</f>
        <v/>
      </c>
      <c r="B62" s="29"/>
      <c r="C62" s="30"/>
      <c r="D62" s="29"/>
      <c r="E62" s="31" t="str">
        <f aca="false">IF($C62="","",IF(NOT(OR(M62="Completed",M62="NA",M62="Cancelled")),"S1 Schematic",IF(NOT(OR(R62="Completed",R62="NA",R62="Cancelled")),"S2 PCB Layout",IF(NOT(OR(W62="Completed",W62="NA",W62="Cancelled")),"S3 SI &amp; PI",IF(NOT(OR(AB62="Completed",AB62="NA",AB62="Cancelled")),"S4 Bare-PCB Fab",IF(NOT(OR(AG62="Completed",AG62="NA",AG62="Cancelled")),"S5 Assembly",IF(NOT(OR(AL62="Completed",AL62="NA",AL62="Cancelled")),"S6 Bring-up",IF(NOT(OR(AQ62="Completed",AQ62="NA",AQ62="Cancelled")),"S7 BOM Procurement","All Stages Closed"))))))))</f>
        <v/>
      </c>
      <c r="F62" s="32" t="str">
        <f aca="false">IF($C62="","",IF(COUNTIF(M62,"Cancelled")+COUNTIF(R62,"Cancelled")+COUNTIF(W62,"Cancelled")+COUNTIF(AB62,"Cancelled")+COUNTIF(AG62,"Cancelled")+COUNTIF(AL62,"Cancelled")+COUNTIF(AQ62,"Cancelled")&gt;0,"Cancelled",IF(E62="All Stages Closed","Completed",IF(E62="S1 Schematic",M62,IF(E62="S2 PCB Layout",R62,IF(E62="S3 SI &amp; PI",W62,IF(E62="S4 Bare-PCB Fab",AB62,IF(E62="S5 Assembly",AG62,IF(E62="S6 Bring-up",AL62,AQ62)))))))))</f>
        <v/>
      </c>
      <c r="G62" s="33" t="str">
        <f aca="false">IF($C62="","",IF(E62="All Stages Closed","",IF(E62="S1 Schematic",IF(N62="","Not added",N62),IF(E62="S2 PCB Layout",IF(S62="","Not added",S62),IF(E62="S3 SI &amp; PI",IF(X62="","Not added",X62),IF(E62="S4 Bare-PCB Fab",IF(AC62="","Not added",AC62),IF(E62="S5 Assembly",IF(AH62="","Not added",AH62),IF(E62="S6 Bring-up",IF(AM62="","Not added",AM62),IF(AR62="","Not added",AR62)))))))))</f>
        <v/>
      </c>
      <c r="H62" s="32" t="str">
        <f aca="true">IF($C62="","",IF(OR(F62="Completed",F62="Cancelled"),"",IF(NOT(ISNUMBER(G62)),"No date set",IF(TODAY()&gt;G62,TODAY()-G62&amp;" days late",G62-TODAY()&amp;" days left"))))</f>
        <v/>
      </c>
      <c r="I62" s="31" t="str">
        <f aca="false">IF($C62="","",COUNTIF(M62,"Completed")+COUNTIF(R62,"Completed")+COUNTIF(W62,"Completed")+COUNTIF(AB62,"Completed")+COUNTIF(AG62,"Completed")+COUNTIF(AL62,"Completed")+COUNTIF(AQ62,"Completed"))</f>
        <v/>
      </c>
      <c r="J62" s="31" t="str">
        <f aca="false">IF($C62="","",7-(COUNTIF(M62,"NA")+COUNTIF(R62,"NA")+COUNTIF(W62,"NA")+COUNTIF(AB62,"NA")+COUNTIF(AG62,"NA")+COUNTIF(AL62,"NA")+COUNTIF(AQ62,"NA")))</f>
        <v/>
      </c>
      <c r="K62" s="34" t="str">
        <f aca="false">IFERROR(I62/J62,"")</f>
        <v/>
      </c>
      <c r="L62" s="29"/>
      <c r="M62" s="35"/>
      <c r="N62" s="36"/>
      <c r="O62" s="36"/>
      <c r="P62" s="30"/>
      <c r="Q62" s="29"/>
      <c r="R62" s="35"/>
      <c r="S62" s="36"/>
      <c r="T62" s="36"/>
      <c r="U62" s="30"/>
      <c r="V62" s="29"/>
      <c r="W62" s="35"/>
      <c r="X62" s="36"/>
      <c r="Y62" s="36"/>
      <c r="Z62" s="30"/>
      <c r="AA62" s="29"/>
      <c r="AB62" s="35"/>
      <c r="AC62" s="36"/>
      <c r="AD62" s="36"/>
      <c r="AE62" s="30"/>
      <c r="AF62" s="29"/>
      <c r="AG62" s="35"/>
      <c r="AH62" s="36"/>
      <c r="AI62" s="36"/>
      <c r="AJ62" s="30"/>
      <c r="AK62" s="29"/>
      <c r="AL62" s="35"/>
      <c r="AM62" s="36"/>
      <c r="AN62" s="36"/>
      <c r="AO62" s="30"/>
      <c r="AP62" s="29"/>
      <c r="AQ62" s="35"/>
      <c r="AR62" s="36"/>
      <c r="AS62" s="36"/>
      <c r="AT62" s="30"/>
      <c r="AU62" s="29"/>
      <c r="AV62" s="29"/>
      <c r="AW62" s="29"/>
      <c r="AX62" s="37"/>
      <c r="AY62" s="29"/>
      <c r="AZ62" s="38" t="str">
        <f aca="false">IF($C62="","",IF(OR(F62="Completed",F62="Cancelled"),"",IF(AND(OR(F62="On Hold",ISNUMBER(VALUE(LEFT(H62,2)))),AY62=""),"Reason not given","")))</f>
        <v/>
      </c>
      <c r="BA62" s="30"/>
    </row>
    <row r="63" customFormat="false" ht="19.5" hidden="false" customHeight="true" outlineLevel="0" collapsed="false">
      <c r="A63" s="28" t="str">
        <f aca="false">IF($C63="","",COUNTA($C$17:$C63))</f>
        <v/>
      </c>
      <c r="B63" s="29"/>
      <c r="C63" s="30"/>
      <c r="D63" s="29"/>
      <c r="E63" s="31" t="str">
        <f aca="false">IF($C63="","",IF(NOT(OR(M63="Completed",M63="NA",M63="Cancelled")),"S1 Schematic",IF(NOT(OR(R63="Completed",R63="NA",R63="Cancelled")),"S2 PCB Layout",IF(NOT(OR(W63="Completed",W63="NA",W63="Cancelled")),"S3 SI &amp; PI",IF(NOT(OR(AB63="Completed",AB63="NA",AB63="Cancelled")),"S4 Bare-PCB Fab",IF(NOT(OR(AG63="Completed",AG63="NA",AG63="Cancelled")),"S5 Assembly",IF(NOT(OR(AL63="Completed",AL63="NA",AL63="Cancelled")),"S6 Bring-up",IF(NOT(OR(AQ63="Completed",AQ63="NA",AQ63="Cancelled")),"S7 BOM Procurement","All Stages Closed"))))))))</f>
        <v/>
      </c>
      <c r="F63" s="32" t="str">
        <f aca="false">IF($C63="","",IF(COUNTIF(M63,"Cancelled")+COUNTIF(R63,"Cancelled")+COUNTIF(W63,"Cancelled")+COUNTIF(AB63,"Cancelled")+COUNTIF(AG63,"Cancelled")+COUNTIF(AL63,"Cancelled")+COUNTIF(AQ63,"Cancelled")&gt;0,"Cancelled",IF(E63="All Stages Closed","Completed",IF(E63="S1 Schematic",M63,IF(E63="S2 PCB Layout",R63,IF(E63="S3 SI &amp; PI",W63,IF(E63="S4 Bare-PCB Fab",AB63,IF(E63="S5 Assembly",AG63,IF(E63="S6 Bring-up",AL63,AQ63)))))))))</f>
        <v/>
      </c>
      <c r="G63" s="33" t="str">
        <f aca="false">IF($C63="","",IF(E63="All Stages Closed","",IF(E63="S1 Schematic",IF(N63="","Not added",N63),IF(E63="S2 PCB Layout",IF(S63="","Not added",S63),IF(E63="S3 SI &amp; PI",IF(X63="","Not added",X63),IF(E63="S4 Bare-PCB Fab",IF(AC63="","Not added",AC63),IF(E63="S5 Assembly",IF(AH63="","Not added",AH63),IF(E63="S6 Bring-up",IF(AM63="","Not added",AM63),IF(AR63="","Not added",AR63)))))))))</f>
        <v/>
      </c>
      <c r="H63" s="32" t="str">
        <f aca="true">IF($C63="","",IF(OR(F63="Completed",F63="Cancelled"),"",IF(NOT(ISNUMBER(G63)),"No date set",IF(TODAY()&gt;G63,TODAY()-G63&amp;" days late",G63-TODAY()&amp;" days left"))))</f>
        <v/>
      </c>
      <c r="I63" s="31" t="str">
        <f aca="false">IF($C63="","",COUNTIF(M63,"Completed")+COUNTIF(R63,"Completed")+COUNTIF(W63,"Completed")+COUNTIF(AB63,"Completed")+COUNTIF(AG63,"Completed")+COUNTIF(AL63,"Completed")+COUNTIF(AQ63,"Completed"))</f>
        <v/>
      </c>
      <c r="J63" s="31" t="str">
        <f aca="false">IF($C63="","",7-(COUNTIF(M63,"NA")+COUNTIF(R63,"NA")+COUNTIF(W63,"NA")+COUNTIF(AB63,"NA")+COUNTIF(AG63,"NA")+COUNTIF(AL63,"NA")+COUNTIF(AQ63,"NA")))</f>
        <v/>
      </c>
      <c r="K63" s="34" t="str">
        <f aca="false">IFERROR(I63/J63,"")</f>
        <v/>
      </c>
      <c r="L63" s="29"/>
      <c r="M63" s="35"/>
      <c r="N63" s="36"/>
      <c r="O63" s="36"/>
      <c r="P63" s="30"/>
      <c r="Q63" s="29"/>
      <c r="R63" s="35"/>
      <c r="S63" s="36"/>
      <c r="T63" s="36"/>
      <c r="U63" s="30"/>
      <c r="V63" s="29"/>
      <c r="W63" s="35"/>
      <c r="X63" s="36"/>
      <c r="Y63" s="36"/>
      <c r="Z63" s="30"/>
      <c r="AA63" s="29"/>
      <c r="AB63" s="35"/>
      <c r="AC63" s="36"/>
      <c r="AD63" s="36"/>
      <c r="AE63" s="30"/>
      <c r="AF63" s="29"/>
      <c r="AG63" s="35"/>
      <c r="AH63" s="36"/>
      <c r="AI63" s="36"/>
      <c r="AJ63" s="30"/>
      <c r="AK63" s="29"/>
      <c r="AL63" s="35"/>
      <c r="AM63" s="36"/>
      <c r="AN63" s="36"/>
      <c r="AO63" s="30"/>
      <c r="AP63" s="29"/>
      <c r="AQ63" s="35"/>
      <c r="AR63" s="36"/>
      <c r="AS63" s="36"/>
      <c r="AT63" s="30"/>
      <c r="AU63" s="29"/>
      <c r="AV63" s="29"/>
      <c r="AW63" s="29"/>
      <c r="AX63" s="37"/>
      <c r="AY63" s="29"/>
      <c r="AZ63" s="38" t="str">
        <f aca="false">IF($C63="","",IF(OR(F63="Completed",F63="Cancelled"),"",IF(AND(OR(F63="On Hold",ISNUMBER(VALUE(LEFT(H63,2)))),AY63=""),"Reason not given","")))</f>
        <v/>
      </c>
      <c r="BA63" s="30"/>
    </row>
    <row r="64" customFormat="false" ht="19.5" hidden="false" customHeight="true" outlineLevel="0" collapsed="false">
      <c r="A64" s="28" t="str">
        <f aca="false">IF($C64="","",COUNTA($C$17:$C64))</f>
        <v/>
      </c>
      <c r="B64" s="29"/>
      <c r="C64" s="30"/>
      <c r="D64" s="29"/>
      <c r="E64" s="31" t="str">
        <f aca="false">IF($C64="","",IF(NOT(OR(M64="Completed",M64="NA",M64="Cancelled")),"S1 Schematic",IF(NOT(OR(R64="Completed",R64="NA",R64="Cancelled")),"S2 PCB Layout",IF(NOT(OR(W64="Completed",W64="NA",W64="Cancelled")),"S3 SI &amp; PI",IF(NOT(OR(AB64="Completed",AB64="NA",AB64="Cancelled")),"S4 Bare-PCB Fab",IF(NOT(OR(AG64="Completed",AG64="NA",AG64="Cancelled")),"S5 Assembly",IF(NOT(OR(AL64="Completed",AL64="NA",AL64="Cancelled")),"S6 Bring-up",IF(NOT(OR(AQ64="Completed",AQ64="NA",AQ64="Cancelled")),"S7 BOM Procurement","All Stages Closed"))))))))</f>
        <v/>
      </c>
      <c r="F64" s="32" t="str">
        <f aca="false">IF($C64="","",IF(COUNTIF(M64,"Cancelled")+COUNTIF(R64,"Cancelled")+COUNTIF(W64,"Cancelled")+COUNTIF(AB64,"Cancelled")+COUNTIF(AG64,"Cancelled")+COUNTIF(AL64,"Cancelled")+COUNTIF(AQ64,"Cancelled")&gt;0,"Cancelled",IF(E64="All Stages Closed","Completed",IF(E64="S1 Schematic",M64,IF(E64="S2 PCB Layout",R64,IF(E64="S3 SI &amp; PI",W64,IF(E64="S4 Bare-PCB Fab",AB64,IF(E64="S5 Assembly",AG64,IF(E64="S6 Bring-up",AL64,AQ64)))))))))</f>
        <v/>
      </c>
      <c r="G64" s="33" t="str">
        <f aca="false">IF($C64="","",IF(E64="All Stages Closed","",IF(E64="S1 Schematic",IF(N64="","Not added",N64),IF(E64="S2 PCB Layout",IF(S64="","Not added",S64),IF(E64="S3 SI &amp; PI",IF(X64="","Not added",X64),IF(E64="S4 Bare-PCB Fab",IF(AC64="","Not added",AC64),IF(E64="S5 Assembly",IF(AH64="","Not added",AH64),IF(E64="S6 Bring-up",IF(AM64="","Not added",AM64),IF(AR64="","Not added",AR64)))))))))</f>
        <v/>
      </c>
      <c r="H64" s="32" t="str">
        <f aca="true">IF($C64="","",IF(OR(F64="Completed",F64="Cancelled"),"",IF(NOT(ISNUMBER(G64)),"No date set",IF(TODAY()&gt;G64,TODAY()-G64&amp;" days late",G64-TODAY()&amp;" days left"))))</f>
        <v/>
      </c>
      <c r="I64" s="31" t="str">
        <f aca="false">IF($C64="","",COUNTIF(M64,"Completed")+COUNTIF(R64,"Completed")+COUNTIF(W64,"Completed")+COUNTIF(AB64,"Completed")+COUNTIF(AG64,"Completed")+COUNTIF(AL64,"Completed")+COUNTIF(AQ64,"Completed"))</f>
        <v/>
      </c>
      <c r="J64" s="31" t="str">
        <f aca="false">IF($C64="","",7-(COUNTIF(M64,"NA")+COUNTIF(R64,"NA")+COUNTIF(W64,"NA")+COUNTIF(AB64,"NA")+COUNTIF(AG64,"NA")+COUNTIF(AL64,"NA")+COUNTIF(AQ64,"NA")))</f>
        <v/>
      </c>
      <c r="K64" s="34" t="str">
        <f aca="false">IFERROR(I64/J64,"")</f>
        <v/>
      </c>
      <c r="L64" s="29"/>
      <c r="M64" s="35"/>
      <c r="N64" s="36"/>
      <c r="O64" s="36"/>
      <c r="P64" s="30"/>
      <c r="Q64" s="29"/>
      <c r="R64" s="35"/>
      <c r="S64" s="36"/>
      <c r="T64" s="36"/>
      <c r="U64" s="30"/>
      <c r="V64" s="29"/>
      <c r="W64" s="35"/>
      <c r="X64" s="36"/>
      <c r="Y64" s="36"/>
      <c r="Z64" s="30"/>
      <c r="AA64" s="29"/>
      <c r="AB64" s="35"/>
      <c r="AC64" s="36"/>
      <c r="AD64" s="36"/>
      <c r="AE64" s="30"/>
      <c r="AF64" s="29"/>
      <c r="AG64" s="35"/>
      <c r="AH64" s="36"/>
      <c r="AI64" s="36"/>
      <c r="AJ64" s="30"/>
      <c r="AK64" s="29"/>
      <c r="AL64" s="35"/>
      <c r="AM64" s="36"/>
      <c r="AN64" s="36"/>
      <c r="AO64" s="30"/>
      <c r="AP64" s="29"/>
      <c r="AQ64" s="35"/>
      <c r="AR64" s="36"/>
      <c r="AS64" s="36"/>
      <c r="AT64" s="30"/>
      <c r="AU64" s="29"/>
      <c r="AV64" s="29"/>
      <c r="AW64" s="29"/>
      <c r="AX64" s="37"/>
      <c r="AY64" s="29"/>
      <c r="AZ64" s="38" t="str">
        <f aca="false">IF($C64="","",IF(OR(F64="Completed",F64="Cancelled"),"",IF(AND(OR(F64="On Hold",ISNUMBER(VALUE(LEFT(H64,2)))),AY64=""),"Reason not given","")))</f>
        <v/>
      </c>
      <c r="BA64" s="30"/>
    </row>
    <row r="65" customFormat="false" ht="19.5" hidden="false" customHeight="true" outlineLevel="0" collapsed="false">
      <c r="A65" s="28" t="str">
        <f aca="false">IF($C65="","",COUNTA($C$17:$C65))</f>
        <v/>
      </c>
      <c r="B65" s="29"/>
      <c r="C65" s="30"/>
      <c r="D65" s="29"/>
      <c r="E65" s="31" t="str">
        <f aca="false">IF($C65="","",IF(NOT(OR(M65="Completed",M65="NA",M65="Cancelled")),"S1 Schematic",IF(NOT(OR(R65="Completed",R65="NA",R65="Cancelled")),"S2 PCB Layout",IF(NOT(OR(W65="Completed",W65="NA",W65="Cancelled")),"S3 SI &amp; PI",IF(NOT(OR(AB65="Completed",AB65="NA",AB65="Cancelled")),"S4 Bare-PCB Fab",IF(NOT(OR(AG65="Completed",AG65="NA",AG65="Cancelled")),"S5 Assembly",IF(NOT(OR(AL65="Completed",AL65="NA",AL65="Cancelled")),"S6 Bring-up",IF(NOT(OR(AQ65="Completed",AQ65="NA",AQ65="Cancelled")),"S7 BOM Procurement","All Stages Closed"))))))))</f>
        <v/>
      </c>
      <c r="F65" s="32" t="str">
        <f aca="false">IF($C65="","",IF(COUNTIF(M65,"Cancelled")+COUNTIF(R65,"Cancelled")+COUNTIF(W65,"Cancelled")+COUNTIF(AB65,"Cancelled")+COUNTIF(AG65,"Cancelled")+COUNTIF(AL65,"Cancelled")+COUNTIF(AQ65,"Cancelled")&gt;0,"Cancelled",IF(E65="All Stages Closed","Completed",IF(E65="S1 Schematic",M65,IF(E65="S2 PCB Layout",R65,IF(E65="S3 SI &amp; PI",W65,IF(E65="S4 Bare-PCB Fab",AB65,IF(E65="S5 Assembly",AG65,IF(E65="S6 Bring-up",AL65,AQ65)))))))))</f>
        <v/>
      </c>
      <c r="G65" s="33" t="str">
        <f aca="false">IF($C65="","",IF(E65="All Stages Closed","",IF(E65="S1 Schematic",IF(N65="","Not added",N65),IF(E65="S2 PCB Layout",IF(S65="","Not added",S65),IF(E65="S3 SI &amp; PI",IF(X65="","Not added",X65),IF(E65="S4 Bare-PCB Fab",IF(AC65="","Not added",AC65),IF(E65="S5 Assembly",IF(AH65="","Not added",AH65),IF(E65="S6 Bring-up",IF(AM65="","Not added",AM65),IF(AR65="","Not added",AR65)))))))))</f>
        <v/>
      </c>
      <c r="H65" s="32" t="str">
        <f aca="true">IF($C65="","",IF(OR(F65="Completed",F65="Cancelled"),"",IF(NOT(ISNUMBER(G65)),"No date set",IF(TODAY()&gt;G65,TODAY()-G65&amp;" days late",G65-TODAY()&amp;" days left"))))</f>
        <v/>
      </c>
      <c r="I65" s="31" t="str">
        <f aca="false">IF($C65="","",COUNTIF(M65,"Completed")+COUNTIF(R65,"Completed")+COUNTIF(W65,"Completed")+COUNTIF(AB65,"Completed")+COUNTIF(AG65,"Completed")+COUNTIF(AL65,"Completed")+COUNTIF(AQ65,"Completed"))</f>
        <v/>
      </c>
      <c r="J65" s="31" t="str">
        <f aca="false">IF($C65="","",7-(COUNTIF(M65,"NA")+COUNTIF(R65,"NA")+COUNTIF(W65,"NA")+COUNTIF(AB65,"NA")+COUNTIF(AG65,"NA")+COUNTIF(AL65,"NA")+COUNTIF(AQ65,"NA")))</f>
        <v/>
      </c>
      <c r="K65" s="34" t="str">
        <f aca="false">IFERROR(I65/J65,"")</f>
        <v/>
      </c>
      <c r="L65" s="29"/>
      <c r="M65" s="35"/>
      <c r="N65" s="36"/>
      <c r="O65" s="36"/>
      <c r="P65" s="30"/>
      <c r="Q65" s="29"/>
      <c r="R65" s="35"/>
      <c r="S65" s="36"/>
      <c r="T65" s="36"/>
      <c r="U65" s="30"/>
      <c r="V65" s="29"/>
      <c r="W65" s="35"/>
      <c r="X65" s="36"/>
      <c r="Y65" s="36"/>
      <c r="Z65" s="30"/>
      <c r="AA65" s="29"/>
      <c r="AB65" s="35"/>
      <c r="AC65" s="36"/>
      <c r="AD65" s="36"/>
      <c r="AE65" s="30"/>
      <c r="AF65" s="29"/>
      <c r="AG65" s="35"/>
      <c r="AH65" s="36"/>
      <c r="AI65" s="36"/>
      <c r="AJ65" s="30"/>
      <c r="AK65" s="29"/>
      <c r="AL65" s="35"/>
      <c r="AM65" s="36"/>
      <c r="AN65" s="36"/>
      <c r="AO65" s="30"/>
      <c r="AP65" s="29"/>
      <c r="AQ65" s="35"/>
      <c r="AR65" s="36"/>
      <c r="AS65" s="36"/>
      <c r="AT65" s="30"/>
      <c r="AU65" s="29"/>
      <c r="AV65" s="29"/>
      <c r="AW65" s="29"/>
      <c r="AX65" s="37"/>
      <c r="AY65" s="29"/>
      <c r="AZ65" s="38" t="str">
        <f aca="false">IF($C65="","",IF(OR(F65="Completed",F65="Cancelled"),"",IF(AND(OR(F65="On Hold",ISNUMBER(VALUE(LEFT(H65,2)))),AY65=""),"Reason not given","")))</f>
        <v/>
      </c>
      <c r="BA65" s="30"/>
    </row>
    <row r="66" customFormat="false" ht="19.5" hidden="false" customHeight="true" outlineLevel="0" collapsed="false">
      <c r="A66" s="28" t="str">
        <f aca="false">IF($C66="","",COUNTA($C$17:$C66))</f>
        <v/>
      </c>
      <c r="B66" s="29"/>
      <c r="C66" s="30"/>
      <c r="D66" s="29"/>
      <c r="E66" s="31" t="str">
        <f aca="false">IF($C66="","",IF(NOT(OR(M66="Completed",M66="NA",M66="Cancelled")),"S1 Schematic",IF(NOT(OR(R66="Completed",R66="NA",R66="Cancelled")),"S2 PCB Layout",IF(NOT(OR(W66="Completed",W66="NA",W66="Cancelled")),"S3 SI &amp; PI",IF(NOT(OR(AB66="Completed",AB66="NA",AB66="Cancelled")),"S4 Bare-PCB Fab",IF(NOT(OR(AG66="Completed",AG66="NA",AG66="Cancelled")),"S5 Assembly",IF(NOT(OR(AL66="Completed",AL66="NA",AL66="Cancelled")),"S6 Bring-up",IF(NOT(OR(AQ66="Completed",AQ66="NA",AQ66="Cancelled")),"S7 BOM Procurement","All Stages Closed"))))))))</f>
        <v/>
      </c>
      <c r="F66" s="32" t="str">
        <f aca="false">IF($C66="","",IF(COUNTIF(M66,"Cancelled")+COUNTIF(R66,"Cancelled")+COUNTIF(W66,"Cancelled")+COUNTIF(AB66,"Cancelled")+COUNTIF(AG66,"Cancelled")+COUNTIF(AL66,"Cancelled")+COUNTIF(AQ66,"Cancelled")&gt;0,"Cancelled",IF(E66="All Stages Closed","Completed",IF(E66="S1 Schematic",M66,IF(E66="S2 PCB Layout",R66,IF(E66="S3 SI &amp; PI",W66,IF(E66="S4 Bare-PCB Fab",AB66,IF(E66="S5 Assembly",AG66,IF(E66="S6 Bring-up",AL66,AQ66)))))))))</f>
        <v/>
      </c>
      <c r="G66" s="33" t="str">
        <f aca="false">IF($C66="","",IF(E66="All Stages Closed","",IF(E66="S1 Schematic",IF(N66="","Not added",N66),IF(E66="S2 PCB Layout",IF(S66="","Not added",S66),IF(E66="S3 SI &amp; PI",IF(X66="","Not added",X66),IF(E66="S4 Bare-PCB Fab",IF(AC66="","Not added",AC66),IF(E66="S5 Assembly",IF(AH66="","Not added",AH66),IF(E66="S6 Bring-up",IF(AM66="","Not added",AM66),IF(AR66="","Not added",AR66)))))))))</f>
        <v/>
      </c>
      <c r="H66" s="32" t="str">
        <f aca="true">IF($C66="","",IF(OR(F66="Completed",F66="Cancelled"),"",IF(NOT(ISNUMBER(G66)),"No date set",IF(TODAY()&gt;G66,TODAY()-G66&amp;" days late",G66-TODAY()&amp;" days left"))))</f>
        <v/>
      </c>
      <c r="I66" s="31" t="str">
        <f aca="false">IF($C66="","",COUNTIF(M66,"Completed")+COUNTIF(R66,"Completed")+COUNTIF(W66,"Completed")+COUNTIF(AB66,"Completed")+COUNTIF(AG66,"Completed")+COUNTIF(AL66,"Completed")+COUNTIF(AQ66,"Completed"))</f>
        <v/>
      </c>
      <c r="J66" s="31" t="str">
        <f aca="false">IF($C66="","",7-(COUNTIF(M66,"NA")+COUNTIF(R66,"NA")+COUNTIF(W66,"NA")+COUNTIF(AB66,"NA")+COUNTIF(AG66,"NA")+COUNTIF(AL66,"NA")+COUNTIF(AQ66,"NA")))</f>
        <v/>
      </c>
      <c r="K66" s="34" t="str">
        <f aca="false">IFERROR(I66/J66,"")</f>
        <v/>
      </c>
      <c r="L66" s="29"/>
      <c r="M66" s="35"/>
      <c r="N66" s="36"/>
      <c r="O66" s="36"/>
      <c r="P66" s="30"/>
      <c r="Q66" s="29"/>
      <c r="R66" s="35"/>
      <c r="S66" s="36"/>
      <c r="T66" s="36"/>
      <c r="U66" s="30"/>
      <c r="V66" s="29"/>
      <c r="W66" s="35"/>
      <c r="X66" s="36"/>
      <c r="Y66" s="36"/>
      <c r="Z66" s="30"/>
      <c r="AA66" s="29"/>
      <c r="AB66" s="35"/>
      <c r="AC66" s="36"/>
      <c r="AD66" s="36"/>
      <c r="AE66" s="30"/>
      <c r="AF66" s="29"/>
      <c r="AG66" s="35"/>
      <c r="AH66" s="36"/>
      <c r="AI66" s="36"/>
      <c r="AJ66" s="30"/>
      <c r="AK66" s="29"/>
      <c r="AL66" s="35"/>
      <c r="AM66" s="36"/>
      <c r="AN66" s="36"/>
      <c r="AO66" s="30"/>
      <c r="AP66" s="29"/>
      <c r="AQ66" s="35"/>
      <c r="AR66" s="36"/>
      <c r="AS66" s="36"/>
      <c r="AT66" s="30"/>
      <c r="AU66" s="29"/>
      <c r="AV66" s="29"/>
      <c r="AW66" s="29"/>
      <c r="AX66" s="37"/>
      <c r="AY66" s="29"/>
      <c r="AZ66" s="38" t="str">
        <f aca="false">IF($C66="","",IF(OR(F66="Completed",F66="Cancelled"),"",IF(AND(OR(F66="On Hold",ISNUMBER(VALUE(LEFT(H66,2)))),AY66=""),"Reason not given","")))</f>
        <v/>
      </c>
      <c r="BA66" s="30"/>
    </row>
    <row r="67" customFormat="false" ht="19.5" hidden="false" customHeight="true" outlineLevel="0" collapsed="false">
      <c r="A67" s="28" t="str">
        <f aca="false">IF($C67="","",COUNTA($C$17:$C67))</f>
        <v/>
      </c>
      <c r="B67" s="29"/>
      <c r="C67" s="30"/>
      <c r="D67" s="29"/>
      <c r="E67" s="31" t="str">
        <f aca="false">IF($C67="","",IF(NOT(OR(M67="Completed",M67="NA",M67="Cancelled")),"S1 Schematic",IF(NOT(OR(R67="Completed",R67="NA",R67="Cancelled")),"S2 PCB Layout",IF(NOT(OR(W67="Completed",W67="NA",W67="Cancelled")),"S3 SI &amp; PI",IF(NOT(OR(AB67="Completed",AB67="NA",AB67="Cancelled")),"S4 Bare-PCB Fab",IF(NOT(OR(AG67="Completed",AG67="NA",AG67="Cancelled")),"S5 Assembly",IF(NOT(OR(AL67="Completed",AL67="NA",AL67="Cancelled")),"S6 Bring-up",IF(NOT(OR(AQ67="Completed",AQ67="NA",AQ67="Cancelled")),"S7 BOM Procurement","All Stages Closed"))))))))</f>
        <v/>
      </c>
      <c r="F67" s="32" t="str">
        <f aca="false">IF($C67="","",IF(COUNTIF(M67,"Cancelled")+COUNTIF(R67,"Cancelled")+COUNTIF(W67,"Cancelled")+COUNTIF(AB67,"Cancelled")+COUNTIF(AG67,"Cancelled")+COUNTIF(AL67,"Cancelled")+COUNTIF(AQ67,"Cancelled")&gt;0,"Cancelled",IF(E67="All Stages Closed","Completed",IF(E67="S1 Schematic",M67,IF(E67="S2 PCB Layout",R67,IF(E67="S3 SI &amp; PI",W67,IF(E67="S4 Bare-PCB Fab",AB67,IF(E67="S5 Assembly",AG67,IF(E67="S6 Bring-up",AL67,AQ67)))))))))</f>
        <v/>
      </c>
      <c r="G67" s="33" t="str">
        <f aca="false">IF($C67="","",IF(E67="All Stages Closed","",IF(E67="S1 Schematic",IF(N67="","Not added",N67),IF(E67="S2 PCB Layout",IF(S67="","Not added",S67),IF(E67="S3 SI &amp; PI",IF(X67="","Not added",X67),IF(E67="S4 Bare-PCB Fab",IF(AC67="","Not added",AC67),IF(E67="S5 Assembly",IF(AH67="","Not added",AH67),IF(E67="S6 Bring-up",IF(AM67="","Not added",AM67),IF(AR67="","Not added",AR67)))))))))</f>
        <v/>
      </c>
      <c r="H67" s="32" t="str">
        <f aca="true">IF($C67="","",IF(OR(F67="Completed",F67="Cancelled"),"",IF(NOT(ISNUMBER(G67)),"No date set",IF(TODAY()&gt;G67,TODAY()-G67&amp;" days late",G67-TODAY()&amp;" days left"))))</f>
        <v/>
      </c>
      <c r="I67" s="31" t="str">
        <f aca="false">IF($C67="","",COUNTIF(M67,"Completed")+COUNTIF(R67,"Completed")+COUNTIF(W67,"Completed")+COUNTIF(AB67,"Completed")+COUNTIF(AG67,"Completed")+COUNTIF(AL67,"Completed")+COUNTIF(AQ67,"Completed"))</f>
        <v/>
      </c>
      <c r="J67" s="31" t="str">
        <f aca="false">IF($C67="","",7-(COUNTIF(M67,"NA")+COUNTIF(R67,"NA")+COUNTIF(W67,"NA")+COUNTIF(AB67,"NA")+COUNTIF(AG67,"NA")+COUNTIF(AL67,"NA")+COUNTIF(AQ67,"NA")))</f>
        <v/>
      </c>
      <c r="K67" s="34" t="str">
        <f aca="false">IFERROR(I67/J67,"")</f>
        <v/>
      </c>
      <c r="L67" s="29"/>
      <c r="M67" s="35"/>
      <c r="N67" s="36"/>
      <c r="O67" s="36"/>
      <c r="P67" s="30"/>
      <c r="Q67" s="29"/>
      <c r="R67" s="35"/>
      <c r="S67" s="36"/>
      <c r="T67" s="36"/>
      <c r="U67" s="30"/>
      <c r="V67" s="29"/>
      <c r="W67" s="35"/>
      <c r="X67" s="36"/>
      <c r="Y67" s="36"/>
      <c r="Z67" s="30"/>
      <c r="AA67" s="29"/>
      <c r="AB67" s="35"/>
      <c r="AC67" s="36"/>
      <c r="AD67" s="36"/>
      <c r="AE67" s="30"/>
      <c r="AF67" s="29"/>
      <c r="AG67" s="35"/>
      <c r="AH67" s="36"/>
      <c r="AI67" s="36"/>
      <c r="AJ67" s="30"/>
      <c r="AK67" s="29"/>
      <c r="AL67" s="35"/>
      <c r="AM67" s="36"/>
      <c r="AN67" s="36"/>
      <c r="AO67" s="30"/>
      <c r="AP67" s="29"/>
      <c r="AQ67" s="35"/>
      <c r="AR67" s="36"/>
      <c r="AS67" s="36"/>
      <c r="AT67" s="30"/>
      <c r="AU67" s="29"/>
      <c r="AV67" s="29"/>
      <c r="AW67" s="29"/>
      <c r="AX67" s="37"/>
      <c r="AY67" s="29"/>
      <c r="AZ67" s="38" t="str">
        <f aca="false">IF($C67="","",IF(OR(F67="Completed",F67="Cancelled"),"",IF(AND(OR(F67="On Hold",ISNUMBER(VALUE(LEFT(H67,2)))),AY67=""),"Reason not given","")))</f>
        <v/>
      </c>
      <c r="BA67" s="30"/>
    </row>
    <row r="68" customFormat="false" ht="19.5" hidden="false" customHeight="true" outlineLevel="0" collapsed="false">
      <c r="A68" s="28" t="str">
        <f aca="false">IF($C68="","",COUNTA($C$17:$C68))</f>
        <v/>
      </c>
      <c r="B68" s="29"/>
      <c r="C68" s="30"/>
      <c r="D68" s="29"/>
      <c r="E68" s="31" t="str">
        <f aca="false">IF($C68="","",IF(NOT(OR(M68="Completed",M68="NA",M68="Cancelled")),"S1 Schematic",IF(NOT(OR(R68="Completed",R68="NA",R68="Cancelled")),"S2 PCB Layout",IF(NOT(OR(W68="Completed",W68="NA",W68="Cancelled")),"S3 SI &amp; PI",IF(NOT(OR(AB68="Completed",AB68="NA",AB68="Cancelled")),"S4 Bare-PCB Fab",IF(NOT(OR(AG68="Completed",AG68="NA",AG68="Cancelled")),"S5 Assembly",IF(NOT(OR(AL68="Completed",AL68="NA",AL68="Cancelled")),"S6 Bring-up",IF(NOT(OR(AQ68="Completed",AQ68="NA",AQ68="Cancelled")),"S7 BOM Procurement","All Stages Closed"))))))))</f>
        <v/>
      </c>
      <c r="F68" s="32" t="str">
        <f aca="false">IF($C68="","",IF(COUNTIF(M68,"Cancelled")+COUNTIF(R68,"Cancelled")+COUNTIF(W68,"Cancelled")+COUNTIF(AB68,"Cancelled")+COUNTIF(AG68,"Cancelled")+COUNTIF(AL68,"Cancelled")+COUNTIF(AQ68,"Cancelled")&gt;0,"Cancelled",IF(E68="All Stages Closed","Completed",IF(E68="S1 Schematic",M68,IF(E68="S2 PCB Layout",R68,IF(E68="S3 SI &amp; PI",W68,IF(E68="S4 Bare-PCB Fab",AB68,IF(E68="S5 Assembly",AG68,IF(E68="S6 Bring-up",AL68,AQ68)))))))))</f>
        <v/>
      </c>
      <c r="G68" s="33" t="str">
        <f aca="false">IF($C68="","",IF(E68="All Stages Closed","",IF(E68="S1 Schematic",IF(N68="","Not added",N68),IF(E68="S2 PCB Layout",IF(S68="","Not added",S68),IF(E68="S3 SI &amp; PI",IF(X68="","Not added",X68),IF(E68="S4 Bare-PCB Fab",IF(AC68="","Not added",AC68),IF(E68="S5 Assembly",IF(AH68="","Not added",AH68),IF(E68="S6 Bring-up",IF(AM68="","Not added",AM68),IF(AR68="","Not added",AR68)))))))))</f>
        <v/>
      </c>
      <c r="H68" s="32" t="str">
        <f aca="true">IF($C68="","",IF(OR(F68="Completed",F68="Cancelled"),"",IF(NOT(ISNUMBER(G68)),"No date set",IF(TODAY()&gt;G68,TODAY()-G68&amp;" days late",G68-TODAY()&amp;" days left"))))</f>
        <v/>
      </c>
      <c r="I68" s="31" t="str">
        <f aca="false">IF($C68="","",COUNTIF(M68,"Completed")+COUNTIF(R68,"Completed")+COUNTIF(W68,"Completed")+COUNTIF(AB68,"Completed")+COUNTIF(AG68,"Completed")+COUNTIF(AL68,"Completed")+COUNTIF(AQ68,"Completed"))</f>
        <v/>
      </c>
      <c r="J68" s="31" t="str">
        <f aca="false">IF($C68="","",7-(COUNTIF(M68,"NA")+COUNTIF(R68,"NA")+COUNTIF(W68,"NA")+COUNTIF(AB68,"NA")+COUNTIF(AG68,"NA")+COUNTIF(AL68,"NA")+COUNTIF(AQ68,"NA")))</f>
        <v/>
      </c>
      <c r="K68" s="34" t="str">
        <f aca="false">IFERROR(I68/J68,"")</f>
        <v/>
      </c>
      <c r="L68" s="29"/>
      <c r="M68" s="35"/>
      <c r="N68" s="36"/>
      <c r="O68" s="36"/>
      <c r="P68" s="30"/>
      <c r="Q68" s="29"/>
      <c r="R68" s="35"/>
      <c r="S68" s="36"/>
      <c r="T68" s="36"/>
      <c r="U68" s="30"/>
      <c r="V68" s="29"/>
      <c r="W68" s="35"/>
      <c r="X68" s="36"/>
      <c r="Y68" s="36"/>
      <c r="Z68" s="30"/>
      <c r="AA68" s="29"/>
      <c r="AB68" s="35"/>
      <c r="AC68" s="36"/>
      <c r="AD68" s="36"/>
      <c r="AE68" s="30"/>
      <c r="AF68" s="29"/>
      <c r="AG68" s="35"/>
      <c r="AH68" s="36"/>
      <c r="AI68" s="36"/>
      <c r="AJ68" s="30"/>
      <c r="AK68" s="29"/>
      <c r="AL68" s="35"/>
      <c r="AM68" s="36"/>
      <c r="AN68" s="36"/>
      <c r="AO68" s="30"/>
      <c r="AP68" s="29"/>
      <c r="AQ68" s="35"/>
      <c r="AR68" s="36"/>
      <c r="AS68" s="36"/>
      <c r="AT68" s="30"/>
      <c r="AU68" s="29"/>
      <c r="AV68" s="29"/>
      <c r="AW68" s="29"/>
      <c r="AX68" s="37"/>
      <c r="AY68" s="29"/>
      <c r="AZ68" s="38" t="str">
        <f aca="false">IF($C68="","",IF(OR(F68="Completed",F68="Cancelled"),"",IF(AND(OR(F68="On Hold",ISNUMBER(VALUE(LEFT(H68,2)))),AY68=""),"Reason not given","")))</f>
        <v/>
      </c>
      <c r="BA68" s="30"/>
    </row>
    <row r="69" customFormat="false" ht="19.5" hidden="false" customHeight="true" outlineLevel="0" collapsed="false">
      <c r="A69" s="28" t="str">
        <f aca="false">IF($C69="","",COUNTA($C$17:$C69))</f>
        <v/>
      </c>
      <c r="B69" s="29"/>
      <c r="C69" s="30"/>
      <c r="D69" s="29"/>
      <c r="E69" s="31" t="str">
        <f aca="false">IF($C69="","",IF(NOT(OR(M69="Completed",M69="NA",M69="Cancelled")),"S1 Schematic",IF(NOT(OR(R69="Completed",R69="NA",R69="Cancelled")),"S2 PCB Layout",IF(NOT(OR(W69="Completed",W69="NA",W69="Cancelled")),"S3 SI &amp; PI",IF(NOT(OR(AB69="Completed",AB69="NA",AB69="Cancelled")),"S4 Bare-PCB Fab",IF(NOT(OR(AG69="Completed",AG69="NA",AG69="Cancelled")),"S5 Assembly",IF(NOT(OR(AL69="Completed",AL69="NA",AL69="Cancelled")),"S6 Bring-up",IF(NOT(OR(AQ69="Completed",AQ69="NA",AQ69="Cancelled")),"S7 BOM Procurement","All Stages Closed"))))))))</f>
        <v/>
      </c>
      <c r="F69" s="32" t="str">
        <f aca="false">IF($C69="","",IF(COUNTIF(M69,"Cancelled")+COUNTIF(R69,"Cancelled")+COUNTIF(W69,"Cancelled")+COUNTIF(AB69,"Cancelled")+COUNTIF(AG69,"Cancelled")+COUNTIF(AL69,"Cancelled")+COUNTIF(AQ69,"Cancelled")&gt;0,"Cancelled",IF(E69="All Stages Closed","Completed",IF(E69="S1 Schematic",M69,IF(E69="S2 PCB Layout",R69,IF(E69="S3 SI &amp; PI",W69,IF(E69="S4 Bare-PCB Fab",AB69,IF(E69="S5 Assembly",AG69,IF(E69="S6 Bring-up",AL69,AQ69)))))))))</f>
        <v/>
      </c>
      <c r="G69" s="33" t="str">
        <f aca="false">IF($C69="","",IF(E69="All Stages Closed","",IF(E69="S1 Schematic",IF(N69="","Not added",N69),IF(E69="S2 PCB Layout",IF(S69="","Not added",S69),IF(E69="S3 SI &amp; PI",IF(X69="","Not added",X69),IF(E69="S4 Bare-PCB Fab",IF(AC69="","Not added",AC69),IF(E69="S5 Assembly",IF(AH69="","Not added",AH69),IF(E69="S6 Bring-up",IF(AM69="","Not added",AM69),IF(AR69="","Not added",AR69)))))))))</f>
        <v/>
      </c>
      <c r="H69" s="32" t="str">
        <f aca="true">IF($C69="","",IF(OR(F69="Completed",F69="Cancelled"),"",IF(NOT(ISNUMBER(G69)),"No date set",IF(TODAY()&gt;G69,TODAY()-G69&amp;" days late",G69-TODAY()&amp;" days left"))))</f>
        <v/>
      </c>
      <c r="I69" s="31" t="str">
        <f aca="false">IF($C69="","",COUNTIF(M69,"Completed")+COUNTIF(R69,"Completed")+COUNTIF(W69,"Completed")+COUNTIF(AB69,"Completed")+COUNTIF(AG69,"Completed")+COUNTIF(AL69,"Completed")+COUNTIF(AQ69,"Completed"))</f>
        <v/>
      </c>
      <c r="J69" s="31" t="str">
        <f aca="false">IF($C69="","",7-(COUNTIF(M69,"NA")+COUNTIF(R69,"NA")+COUNTIF(W69,"NA")+COUNTIF(AB69,"NA")+COUNTIF(AG69,"NA")+COUNTIF(AL69,"NA")+COUNTIF(AQ69,"NA")))</f>
        <v/>
      </c>
      <c r="K69" s="34" t="str">
        <f aca="false">IFERROR(I69/J69,"")</f>
        <v/>
      </c>
      <c r="L69" s="29"/>
      <c r="M69" s="35"/>
      <c r="N69" s="36"/>
      <c r="O69" s="36"/>
      <c r="P69" s="30"/>
      <c r="Q69" s="29"/>
      <c r="R69" s="35"/>
      <c r="S69" s="36"/>
      <c r="T69" s="36"/>
      <c r="U69" s="30"/>
      <c r="V69" s="29"/>
      <c r="W69" s="35"/>
      <c r="X69" s="36"/>
      <c r="Y69" s="36"/>
      <c r="Z69" s="30"/>
      <c r="AA69" s="29"/>
      <c r="AB69" s="35"/>
      <c r="AC69" s="36"/>
      <c r="AD69" s="36"/>
      <c r="AE69" s="30"/>
      <c r="AF69" s="29"/>
      <c r="AG69" s="35"/>
      <c r="AH69" s="36"/>
      <c r="AI69" s="36"/>
      <c r="AJ69" s="30"/>
      <c r="AK69" s="29"/>
      <c r="AL69" s="35"/>
      <c r="AM69" s="36"/>
      <c r="AN69" s="36"/>
      <c r="AO69" s="30"/>
      <c r="AP69" s="29"/>
      <c r="AQ69" s="35"/>
      <c r="AR69" s="36"/>
      <c r="AS69" s="36"/>
      <c r="AT69" s="30"/>
      <c r="AU69" s="29"/>
      <c r="AV69" s="29"/>
      <c r="AW69" s="29"/>
      <c r="AX69" s="37"/>
      <c r="AY69" s="29"/>
      <c r="AZ69" s="38" t="str">
        <f aca="false">IF($C69="","",IF(OR(F69="Completed",F69="Cancelled"),"",IF(AND(OR(F69="On Hold",ISNUMBER(VALUE(LEFT(H69,2)))),AY69=""),"Reason not given","")))</f>
        <v/>
      </c>
      <c r="BA69" s="30"/>
    </row>
    <row r="70" customFormat="false" ht="19.5" hidden="false" customHeight="true" outlineLevel="0" collapsed="false">
      <c r="A70" s="28" t="str">
        <f aca="false">IF($C70="","",COUNTA($C$17:$C70))</f>
        <v/>
      </c>
      <c r="B70" s="29"/>
      <c r="C70" s="30"/>
      <c r="D70" s="29"/>
      <c r="E70" s="31" t="str">
        <f aca="false">IF($C70="","",IF(NOT(OR(M70="Completed",M70="NA",M70="Cancelled")),"S1 Schematic",IF(NOT(OR(R70="Completed",R70="NA",R70="Cancelled")),"S2 PCB Layout",IF(NOT(OR(W70="Completed",W70="NA",W70="Cancelled")),"S3 SI &amp; PI",IF(NOT(OR(AB70="Completed",AB70="NA",AB70="Cancelled")),"S4 Bare-PCB Fab",IF(NOT(OR(AG70="Completed",AG70="NA",AG70="Cancelled")),"S5 Assembly",IF(NOT(OR(AL70="Completed",AL70="NA",AL70="Cancelled")),"S6 Bring-up",IF(NOT(OR(AQ70="Completed",AQ70="NA",AQ70="Cancelled")),"S7 BOM Procurement","All Stages Closed"))))))))</f>
        <v/>
      </c>
      <c r="F70" s="32" t="str">
        <f aca="false">IF($C70="","",IF(COUNTIF(M70,"Cancelled")+COUNTIF(R70,"Cancelled")+COUNTIF(W70,"Cancelled")+COUNTIF(AB70,"Cancelled")+COUNTIF(AG70,"Cancelled")+COUNTIF(AL70,"Cancelled")+COUNTIF(AQ70,"Cancelled")&gt;0,"Cancelled",IF(E70="All Stages Closed","Completed",IF(E70="S1 Schematic",M70,IF(E70="S2 PCB Layout",R70,IF(E70="S3 SI &amp; PI",W70,IF(E70="S4 Bare-PCB Fab",AB70,IF(E70="S5 Assembly",AG70,IF(E70="S6 Bring-up",AL70,AQ70)))))))))</f>
        <v/>
      </c>
      <c r="G70" s="33" t="str">
        <f aca="false">IF($C70="","",IF(E70="All Stages Closed","",IF(E70="S1 Schematic",IF(N70="","Not added",N70),IF(E70="S2 PCB Layout",IF(S70="","Not added",S70),IF(E70="S3 SI &amp; PI",IF(X70="","Not added",X70),IF(E70="S4 Bare-PCB Fab",IF(AC70="","Not added",AC70),IF(E70="S5 Assembly",IF(AH70="","Not added",AH70),IF(E70="S6 Bring-up",IF(AM70="","Not added",AM70),IF(AR70="","Not added",AR70)))))))))</f>
        <v/>
      </c>
      <c r="H70" s="32" t="str">
        <f aca="true">IF($C70="","",IF(OR(F70="Completed",F70="Cancelled"),"",IF(NOT(ISNUMBER(G70)),"No date set",IF(TODAY()&gt;G70,TODAY()-G70&amp;" days late",G70-TODAY()&amp;" days left"))))</f>
        <v/>
      </c>
      <c r="I70" s="31" t="str">
        <f aca="false">IF($C70="","",COUNTIF(M70,"Completed")+COUNTIF(R70,"Completed")+COUNTIF(W70,"Completed")+COUNTIF(AB70,"Completed")+COUNTIF(AG70,"Completed")+COUNTIF(AL70,"Completed")+COUNTIF(AQ70,"Completed"))</f>
        <v/>
      </c>
      <c r="J70" s="31" t="str">
        <f aca="false">IF($C70="","",7-(COUNTIF(M70,"NA")+COUNTIF(R70,"NA")+COUNTIF(W70,"NA")+COUNTIF(AB70,"NA")+COUNTIF(AG70,"NA")+COUNTIF(AL70,"NA")+COUNTIF(AQ70,"NA")))</f>
        <v/>
      </c>
      <c r="K70" s="34" t="str">
        <f aca="false">IFERROR(I70/J70,"")</f>
        <v/>
      </c>
      <c r="L70" s="29"/>
      <c r="M70" s="35"/>
      <c r="N70" s="36"/>
      <c r="O70" s="36"/>
      <c r="P70" s="30"/>
      <c r="Q70" s="29"/>
      <c r="R70" s="35"/>
      <c r="S70" s="36"/>
      <c r="T70" s="36"/>
      <c r="U70" s="30"/>
      <c r="V70" s="29"/>
      <c r="W70" s="35"/>
      <c r="X70" s="36"/>
      <c r="Y70" s="36"/>
      <c r="Z70" s="30"/>
      <c r="AA70" s="29"/>
      <c r="AB70" s="35"/>
      <c r="AC70" s="36"/>
      <c r="AD70" s="36"/>
      <c r="AE70" s="30"/>
      <c r="AF70" s="29"/>
      <c r="AG70" s="35"/>
      <c r="AH70" s="36"/>
      <c r="AI70" s="36"/>
      <c r="AJ70" s="30"/>
      <c r="AK70" s="29"/>
      <c r="AL70" s="35"/>
      <c r="AM70" s="36"/>
      <c r="AN70" s="36"/>
      <c r="AO70" s="30"/>
      <c r="AP70" s="29"/>
      <c r="AQ70" s="35"/>
      <c r="AR70" s="36"/>
      <c r="AS70" s="36"/>
      <c r="AT70" s="30"/>
      <c r="AU70" s="29"/>
      <c r="AV70" s="29"/>
      <c r="AW70" s="29"/>
      <c r="AX70" s="37"/>
      <c r="AY70" s="29"/>
      <c r="AZ70" s="38" t="str">
        <f aca="false">IF($C70="","",IF(OR(F70="Completed",F70="Cancelled"),"",IF(AND(OR(F70="On Hold",ISNUMBER(VALUE(LEFT(H70,2)))),AY70=""),"Reason not given","")))</f>
        <v/>
      </c>
      <c r="BA70" s="30"/>
    </row>
    <row r="71" customFormat="false" ht="19.5" hidden="false" customHeight="true" outlineLevel="0" collapsed="false">
      <c r="A71" s="28" t="str">
        <f aca="false">IF($C71="","",COUNTA($C$17:$C71))</f>
        <v/>
      </c>
      <c r="B71" s="29"/>
      <c r="C71" s="30"/>
      <c r="D71" s="29"/>
      <c r="E71" s="31" t="str">
        <f aca="false">IF($C71="","",IF(NOT(OR(M71="Completed",M71="NA",M71="Cancelled")),"S1 Schematic",IF(NOT(OR(R71="Completed",R71="NA",R71="Cancelled")),"S2 PCB Layout",IF(NOT(OR(W71="Completed",W71="NA",W71="Cancelled")),"S3 SI &amp; PI",IF(NOT(OR(AB71="Completed",AB71="NA",AB71="Cancelled")),"S4 Bare-PCB Fab",IF(NOT(OR(AG71="Completed",AG71="NA",AG71="Cancelled")),"S5 Assembly",IF(NOT(OR(AL71="Completed",AL71="NA",AL71="Cancelled")),"S6 Bring-up",IF(NOT(OR(AQ71="Completed",AQ71="NA",AQ71="Cancelled")),"S7 BOM Procurement","All Stages Closed"))))))))</f>
        <v/>
      </c>
      <c r="F71" s="32" t="str">
        <f aca="false">IF($C71="","",IF(COUNTIF(M71,"Cancelled")+COUNTIF(R71,"Cancelled")+COUNTIF(W71,"Cancelled")+COUNTIF(AB71,"Cancelled")+COUNTIF(AG71,"Cancelled")+COUNTIF(AL71,"Cancelled")+COUNTIF(AQ71,"Cancelled")&gt;0,"Cancelled",IF(E71="All Stages Closed","Completed",IF(E71="S1 Schematic",M71,IF(E71="S2 PCB Layout",R71,IF(E71="S3 SI &amp; PI",W71,IF(E71="S4 Bare-PCB Fab",AB71,IF(E71="S5 Assembly",AG71,IF(E71="S6 Bring-up",AL71,AQ71)))))))))</f>
        <v/>
      </c>
      <c r="G71" s="33" t="str">
        <f aca="false">IF($C71="","",IF(E71="All Stages Closed","",IF(E71="S1 Schematic",IF(N71="","Not added",N71),IF(E71="S2 PCB Layout",IF(S71="","Not added",S71),IF(E71="S3 SI &amp; PI",IF(X71="","Not added",X71),IF(E71="S4 Bare-PCB Fab",IF(AC71="","Not added",AC71),IF(E71="S5 Assembly",IF(AH71="","Not added",AH71),IF(E71="S6 Bring-up",IF(AM71="","Not added",AM71),IF(AR71="","Not added",AR71)))))))))</f>
        <v/>
      </c>
      <c r="H71" s="32" t="str">
        <f aca="true">IF($C71="","",IF(OR(F71="Completed",F71="Cancelled"),"",IF(NOT(ISNUMBER(G71)),"No date set",IF(TODAY()&gt;G71,TODAY()-G71&amp;" days late",G71-TODAY()&amp;" days left"))))</f>
        <v/>
      </c>
      <c r="I71" s="31" t="str">
        <f aca="false">IF($C71="","",COUNTIF(M71,"Completed")+COUNTIF(R71,"Completed")+COUNTIF(W71,"Completed")+COUNTIF(AB71,"Completed")+COUNTIF(AG71,"Completed")+COUNTIF(AL71,"Completed")+COUNTIF(AQ71,"Completed"))</f>
        <v/>
      </c>
      <c r="J71" s="31" t="str">
        <f aca="false">IF($C71="","",7-(COUNTIF(M71,"NA")+COUNTIF(R71,"NA")+COUNTIF(W71,"NA")+COUNTIF(AB71,"NA")+COUNTIF(AG71,"NA")+COUNTIF(AL71,"NA")+COUNTIF(AQ71,"NA")))</f>
        <v/>
      </c>
      <c r="K71" s="34" t="str">
        <f aca="false">IFERROR(I71/J71,"")</f>
        <v/>
      </c>
      <c r="L71" s="29"/>
      <c r="M71" s="35"/>
      <c r="N71" s="36"/>
      <c r="O71" s="36"/>
      <c r="P71" s="30"/>
      <c r="Q71" s="29"/>
      <c r="R71" s="35"/>
      <c r="S71" s="36"/>
      <c r="T71" s="36"/>
      <c r="U71" s="30"/>
      <c r="V71" s="29"/>
      <c r="W71" s="35"/>
      <c r="X71" s="36"/>
      <c r="Y71" s="36"/>
      <c r="Z71" s="30"/>
      <c r="AA71" s="29"/>
      <c r="AB71" s="35"/>
      <c r="AC71" s="36"/>
      <c r="AD71" s="36"/>
      <c r="AE71" s="30"/>
      <c r="AF71" s="29"/>
      <c r="AG71" s="35"/>
      <c r="AH71" s="36"/>
      <c r="AI71" s="36"/>
      <c r="AJ71" s="30"/>
      <c r="AK71" s="29"/>
      <c r="AL71" s="35"/>
      <c r="AM71" s="36"/>
      <c r="AN71" s="36"/>
      <c r="AO71" s="30"/>
      <c r="AP71" s="29"/>
      <c r="AQ71" s="35"/>
      <c r="AR71" s="36"/>
      <c r="AS71" s="36"/>
      <c r="AT71" s="30"/>
      <c r="AU71" s="29"/>
      <c r="AV71" s="29"/>
      <c r="AW71" s="29"/>
      <c r="AX71" s="37"/>
      <c r="AY71" s="29"/>
      <c r="AZ71" s="38" t="str">
        <f aca="false">IF($C71="","",IF(OR(F71="Completed",F71="Cancelled"),"",IF(AND(OR(F71="On Hold",ISNUMBER(VALUE(LEFT(H71,2)))),AY71=""),"Reason not given","")))</f>
        <v/>
      </c>
      <c r="BA71" s="30"/>
    </row>
    <row r="72" customFormat="false" ht="19.5" hidden="false" customHeight="true" outlineLevel="0" collapsed="false">
      <c r="A72" s="28" t="str">
        <f aca="false">IF($C72="","",COUNTA($C$17:$C72))</f>
        <v/>
      </c>
      <c r="B72" s="29"/>
      <c r="C72" s="30"/>
      <c r="D72" s="29"/>
      <c r="E72" s="31" t="str">
        <f aca="false">IF($C72="","",IF(NOT(OR(M72="Completed",M72="NA",M72="Cancelled")),"S1 Schematic",IF(NOT(OR(R72="Completed",R72="NA",R72="Cancelled")),"S2 PCB Layout",IF(NOT(OR(W72="Completed",W72="NA",W72="Cancelled")),"S3 SI &amp; PI",IF(NOT(OR(AB72="Completed",AB72="NA",AB72="Cancelled")),"S4 Bare-PCB Fab",IF(NOT(OR(AG72="Completed",AG72="NA",AG72="Cancelled")),"S5 Assembly",IF(NOT(OR(AL72="Completed",AL72="NA",AL72="Cancelled")),"S6 Bring-up",IF(NOT(OR(AQ72="Completed",AQ72="NA",AQ72="Cancelled")),"S7 BOM Procurement","All Stages Closed"))))))))</f>
        <v/>
      </c>
      <c r="F72" s="32" t="str">
        <f aca="false">IF($C72="","",IF(COUNTIF(M72,"Cancelled")+COUNTIF(R72,"Cancelled")+COUNTIF(W72,"Cancelled")+COUNTIF(AB72,"Cancelled")+COUNTIF(AG72,"Cancelled")+COUNTIF(AL72,"Cancelled")+COUNTIF(AQ72,"Cancelled")&gt;0,"Cancelled",IF(E72="All Stages Closed","Completed",IF(E72="S1 Schematic",M72,IF(E72="S2 PCB Layout",R72,IF(E72="S3 SI &amp; PI",W72,IF(E72="S4 Bare-PCB Fab",AB72,IF(E72="S5 Assembly",AG72,IF(E72="S6 Bring-up",AL72,AQ72)))))))))</f>
        <v/>
      </c>
      <c r="G72" s="33" t="str">
        <f aca="false">IF($C72="","",IF(E72="All Stages Closed","",IF(E72="S1 Schematic",IF(N72="","Not added",N72),IF(E72="S2 PCB Layout",IF(S72="","Not added",S72),IF(E72="S3 SI &amp; PI",IF(X72="","Not added",X72),IF(E72="S4 Bare-PCB Fab",IF(AC72="","Not added",AC72),IF(E72="S5 Assembly",IF(AH72="","Not added",AH72),IF(E72="S6 Bring-up",IF(AM72="","Not added",AM72),IF(AR72="","Not added",AR72)))))))))</f>
        <v/>
      </c>
      <c r="H72" s="32" t="str">
        <f aca="true">IF($C72="","",IF(OR(F72="Completed",F72="Cancelled"),"",IF(NOT(ISNUMBER(G72)),"No date set",IF(TODAY()&gt;G72,TODAY()-G72&amp;" days late",G72-TODAY()&amp;" days left"))))</f>
        <v/>
      </c>
      <c r="I72" s="31" t="str">
        <f aca="false">IF($C72="","",COUNTIF(M72,"Completed")+COUNTIF(R72,"Completed")+COUNTIF(W72,"Completed")+COUNTIF(AB72,"Completed")+COUNTIF(AG72,"Completed")+COUNTIF(AL72,"Completed")+COUNTIF(AQ72,"Completed"))</f>
        <v/>
      </c>
      <c r="J72" s="31" t="str">
        <f aca="false">IF($C72="","",7-(COUNTIF(M72,"NA")+COUNTIF(R72,"NA")+COUNTIF(W72,"NA")+COUNTIF(AB72,"NA")+COUNTIF(AG72,"NA")+COUNTIF(AL72,"NA")+COUNTIF(AQ72,"NA")))</f>
        <v/>
      </c>
      <c r="K72" s="34" t="str">
        <f aca="false">IFERROR(I72/J72,"")</f>
        <v/>
      </c>
      <c r="L72" s="29"/>
      <c r="M72" s="35"/>
      <c r="N72" s="36"/>
      <c r="O72" s="36"/>
      <c r="P72" s="30"/>
      <c r="Q72" s="29"/>
      <c r="R72" s="35"/>
      <c r="S72" s="36"/>
      <c r="T72" s="36"/>
      <c r="U72" s="30"/>
      <c r="V72" s="29"/>
      <c r="W72" s="35"/>
      <c r="X72" s="36"/>
      <c r="Y72" s="36"/>
      <c r="Z72" s="30"/>
      <c r="AA72" s="29"/>
      <c r="AB72" s="35"/>
      <c r="AC72" s="36"/>
      <c r="AD72" s="36"/>
      <c r="AE72" s="30"/>
      <c r="AF72" s="29"/>
      <c r="AG72" s="35"/>
      <c r="AH72" s="36"/>
      <c r="AI72" s="36"/>
      <c r="AJ72" s="30"/>
      <c r="AK72" s="29"/>
      <c r="AL72" s="35"/>
      <c r="AM72" s="36"/>
      <c r="AN72" s="36"/>
      <c r="AO72" s="30"/>
      <c r="AP72" s="29"/>
      <c r="AQ72" s="35"/>
      <c r="AR72" s="36"/>
      <c r="AS72" s="36"/>
      <c r="AT72" s="30"/>
      <c r="AU72" s="29"/>
      <c r="AV72" s="29"/>
      <c r="AW72" s="29"/>
      <c r="AX72" s="37"/>
      <c r="AY72" s="29"/>
      <c r="AZ72" s="38" t="str">
        <f aca="false">IF($C72="","",IF(OR(F72="Completed",F72="Cancelled"),"",IF(AND(OR(F72="On Hold",ISNUMBER(VALUE(LEFT(H72,2)))),AY72=""),"Reason not given","")))</f>
        <v/>
      </c>
      <c r="BA72" s="30"/>
    </row>
    <row r="73" customFormat="false" ht="19.5" hidden="false" customHeight="true" outlineLevel="0" collapsed="false">
      <c r="A73" s="28" t="str">
        <f aca="false">IF($C73="","",COUNTA($C$17:$C73))</f>
        <v/>
      </c>
      <c r="B73" s="29"/>
      <c r="C73" s="30"/>
      <c r="D73" s="29"/>
      <c r="E73" s="31" t="str">
        <f aca="false">IF($C73="","",IF(NOT(OR(M73="Completed",M73="NA",M73="Cancelled")),"S1 Schematic",IF(NOT(OR(R73="Completed",R73="NA",R73="Cancelled")),"S2 PCB Layout",IF(NOT(OR(W73="Completed",W73="NA",W73="Cancelled")),"S3 SI &amp; PI",IF(NOT(OR(AB73="Completed",AB73="NA",AB73="Cancelled")),"S4 Bare-PCB Fab",IF(NOT(OR(AG73="Completed",AG73="NA",AG73="Cancelled")),"S5 Assembly",IF(NOT(OR(AL73="Completed",AL73="NA",AL73="Cancelled")),"S6 Bring-up",IF(NOT(OR(AQ73="Completed",AQ73="NA",AQ73="Cancelled")),"S7 BOM Procurement","All Stages Closed"))))))))</f>
        <v/>
      </c>
      <c r="F73" s="32" t="str">
        <f aca="false">IF($C73="","",IF(COUNTIF(M73,"Cancelled")+COUNTIF(R73,"Cancelled")+COUNTIF(W73,"Cancelled")+COUNTIF(AB73,"Cancelled")+COUNTIF(AG73,"Cancelled")+COUNTIF(AL73,"Cancelled")+COUNTIF(AQ73,"Cancelled")&gt;0,"Cancelled",IF(E73="All Stages Closed","Completed",IF(E73="S1 Schematic",M73,IF(E73="S2 PCB Layout",R73,IF(E73="S3 SI &amp; PI",W73,IF(E73="S4 Bare-PCB Fab",AB73,IF(E73="S5 Assembly",AG73,IF(E73="S6 Bring-up",AL73,AQ73)))))))))</f>
        <v/>
      </c>
      <c r="G73" s="33" t="str">
        <f aca="false">IF($C73="","",IF(E73="All Stages Closed","",IF(E73="S1 Schematic",IF(N73="","Not added",N73),IF(E73="S2 PCB Layout",IF(S73="","Not added",S73),IF(E73="S3 SI &amp; PI",IF(X73="","Not added",X73),IF(E73="S4 Bare-PCB Fab",IF(AC73="","Not added",AC73),IF(E73="S5 Assembly",IF(AH73="","Not added",AH73),IF(E73="S6 Bring-up",IF(AM73="","Not added",AM73),IF(AR73="","Not added",AR73)))))))))</f>
        <v/>
      </c>
      <c r="H73" s="32" t="str">
        <f aca="true">IF($C73="","",IF(OR(F73="Completed",F73="Cancelled"),"",IF(NOT(ISNUMBER(G73)),"No date set",IF(TODAY()&gt;G73,TODAY()-G73&amp;" days late",G73-TODAY()&amp;" days left"))))</f>
        <v/>
      </c>
      <c r="I73" s="31" t="str">
        <f aca="false">IF($C73="","",COUNTIF(M73,"Completed")+COUNTIF(R73,"Completed")+COUNTIF(W73,"Completed")+COUNTIF(AB73,"Completed")+COUNTIF(AG73,"Completed")+COUNTIF(AL73,"Completed")+COUNTIF(AQ73,"Completed"))</f>
        <v/>
      </c>
      <c r="J73" s="31" t="str">
        <f aca="false">IF($C73="","",7-(COUNTIF(M73,"NA")+COUNTIF(R73,"NA")+COUNTIF(W73,"NA")+COUNTIF(AB73,"NA")+COUNTIF(AG73,"NA")+COUNTIF(AL73,"NA")+COUNTIF(AQ73,"NA")))</f>
        <v/>
      </c>
      <c r="K73" s="34" t="str">
        <f aca="false">IFERROR(I73/J73,"")</f>
        <v/>
      </c>
      <c r="L73" s="29"/>
      <c r="M73" s="35"/>
      <c r="N73" s="36"/>
      <c r="O73" s="36"/>
      <c r="P73" s="30"/>
      <c r="Q73" s="29"/>
      <c r="R73" s="35"/>
      <c r="S73" s="36"/>
      <c r="T73" s="36"/>
      <c r="U73" s="30"/>
      <c r="V73" s="29"/>
      <c r="W73" s="35"/>
      <c r="X73" s="36"/>
      <c r="Y73" s="36"/>
      <c r="Z73" s="30"/>
      <c r="AA73" s="29"/>
      <c r="AB73" s="35"/>
      <c r="AC73" s="36"/>
      <c r="AD73" s="36"/>
      <c r="AE73" s="30"/>
      <c r="AF73" s="29"/>
      <c r="AG73" s="35"/>
      <c r="AH73" s="36"/>
      <c r="AI73" s="36"/>
      <c r="AJ73" s="30"/>
      <c r="AK73" s="29"/>
      <c r="AL73" s="35"/>
      <c r="AM73" s="36"/>
      <c r="AN73" s="36"/>
      <c r="AO73" s="30"/>
      <c r="AP73" s="29"/>
      <c r="AQ73" s="35"/>
      <c r="AR73" s="36"/>
      <c r="AS73" s="36"/>
      <c r="AT73" s="30"/>
      <c r="AU73" s="29"/>
      <c r="AV73" s="29"/>
      <c r="AW73" s="29"/>
      <c r="AX73" s="37"/>
      <c r="AY73" s="29"/>
      <c r="AZ73" s="38" t="str">
        <f aca="false">IF($C73="","",IF(OR(F73="Completed",F73="Cancelled"),"",IF(AND(OR(F73="On Hold",ISNUMBER(VALUE(LEFT(H73,2)))),AY73=""),"Reason not given","")))</f>
        <v/>
      </c>
      <c r="BA73" s="30"/>
    </row>
    <row r="74" customFormat="false" ht="19.5" hidden="false" customHeight="true" outlineLevel="0" collapsed="false">
      <c r="A74" s="28" t="str">
        <f aca="false">IF($C74="","",COUNTA($C$17:$C74))</f>
        <v/>
      </c>
      <c r="B74" s="29"/>
      <c r="C74" s="30"/>
      <c r="D74" s="29"/>
      <c r="E74" s="31" t="str">
        <f aca="false">IF($C74="","",IF(NOT(OR(M74="Completed",M74="NA",M74="Cancelled")),"S1 Schematic",IF(NOT(OR(R74="Completed",R74="NA",R74="Cancelled")),"S2 PCB Layout",IF(NOT(OR(W74="Completed",W74="NA",W74="Cancelled")),"S3 SI &amp; PI",IF(NOT(OR(AB74="Completed",AB74="NA",AB74="Cancelled")),"S4 Bare-PCB Fab",IF(NOT(OR(AG74="Completed",AG74="NA",AG74="Cancelled")),"S5 Assembly",IF(NOT(OR(AL74="Completed",AL74="NA",AL74="Cancelled")),"S6 Bring-up",IF(NOT(OR(AQ74="Completed",AQ74="NA",AQ74="Cancelled")),"S7 BOM Procurement","All Stages Closed"))))))))</f>
        <v/>
      </c>
      <c r="F74" s="32" t="str">
        <f aca="false">IF($C74="","",IF(COUNTIF(M74,"Cancelled")+COUNTIF(R74,"Cancelled")+COUNTIF(W74,"Cancelled")+COUNTIF(AB74,"Cancelled")+COUNTIF(AG74,"Cancelled")+COUNTIF(AL74,"Cancelled")+COUNTIF(AQ74,"Cancelled")&gt;0,"Cancelled",IF(E74="All Stages Closed","Completed",IF(E74="S1 Schematic",M74,IF(E74="S2 PCB Layout",R74,IF(E74="S3 SI &amp; PI",W74,IF(E74="S4 Bare-PCB Fab",AB74,IF(E74="S5 Assembly",AG74,IF(E74="S6 Bring-up",AL74,AQ74)))))))))</f>
        <v/>
      </c>
      <c r="G74" s="33" t="str">
        <f aca="false">IF($C74="","",IF(E74="All Stages Closed","",IF(E74="S1 Schematic",IF(N74="","Not added",N74),IF(E74="S2 PCB Layout",IF(S74="","Not added",S74),IF(E74="S3 SI &amp; PI",IF(X74="","Not added",X74),IF(E74="S4 Bare-PCB Fab",IF(AC74="","Not added",AC74),IF(E74="S5 Assembly",IF(AH74="","Not added",AH74),IF(E74="S6 Bring-up",IF(AM74="","Not added",AM74),IF(AR74="","Not added",AR74)))))))))</f>
        <v/>
      </c>
      <c r="H74" s="32" t="str">
        <f aca="true">IF($C74="","",IF(OR(F74="Completed",F74="Cancelled"),"",IF(NOT(ISNUMBER(G74)),"No date set",IF(TODAY()&gt;G74,TODAY()-G74&amp;" days late",G74-TODAY()&amp;" days left"))))</f>
        <v/>
      </c>
      <c r="I74" s="31" t="str">
        <f aca="false">IF($C74="","",COUNTIF(M74,"Completed")+COUNTIF(R74,"Completed")+COUNTIF(W74,"Completed")+COUNTIF(AB74,"Completed")+COUNTIF(AG74,"Completed")+COUNTIF(AL74,"Completed")+COUNTIF(AQ74,"Completed"))</f>
        <v/>
      </c>
      <c r="J74" s="31" t="str">
        <f aca="false">IF($C74="","",7-(COUNTIF(M74,"NA")+COUNTIF(R74,"NA")+COUNTIF(W74,"NA")+COUNTIF(AB74,"NA")+COUNTIF(AG74,"NA")+COUNTIF(AL74,"NA")+COUNTIF(AQ74,"NA")))</f>
        <v/>
      </c>
      <c r="K74" s="34" t="str">
        <f aca="false">IFERROR(I74/J74,"")</f>
        <v/>
      </c>
      <c r="L74" s="29"/>
      <c r="M74" s="35"/>
      <c r="N74" s="36"/>
      <c r="O74" s="36"/>
      <c r="P74" s="30"/>
      <c r="Q74" s="29"/>
      <c r="R74" s="35"/>
      <c r="S74" s="36"/>
      <c r="T74" s="36"/>
      <c r="U74" s="30"/>
      <c r="V74" s="29"/>
      <c r="W74" s="35"/>
      <c r="X74" s="36"/>
      <c r="Y74" s="36"/>
      <c r="Z74" s="30"/>
      <c r="AA74" s="29"/>
      <c r="AB74" s="35"/>
      <c r="AC74" s="36"/>
      <c r="AD74" s="36"/>
      <c r="AE74" s="30"/>
      <c r="AF74" s="29"/>
      <c r="AG74" s="35"/>
      <c r="AH74" s="36"/>
      <c r="AI74" s="36"/>
      <c r="AJ74" s="30"/>
      <c r="AK74" s="29"/>
      <c r="AL74" s="35"/>
      <c r="AM74" s="36"/>
      <c r="AN74" s="36"/>
      <c r="AO74" s="30"/>
      <c r="AP74" s="29"/>
      <c r="AQ74" s="35"/>
      <c r="AR74" s="36"/>
      <c r="AS74" s="36"/>
      <c r="AT74" s="30"/>
      <c r="AU74" s="29"/>
      <c r="AV74" s="29"/>
      <c r="AW74" s="29"/>
      <c r="AX74" s="37"/>
      <c r="AY74" s="29"/>
      <c r="AZ74" s="38" t="str">
        <f aca="false">IF($C74="","",IF(OR(F74="Completed",F74="Cancelled"),"",IF(AND(OR(F74="On Hold",ISNUMBER(VALUE(LEFT(H74,2)))),AY74=""),"Reason not given","")))</f>
        <v/>
      </c>
      <c r="BA74" s="30"/>
    </row>
    <row r="75" customFormat="false" ht="19.5" hidden="false" customHeight="true" outlineLevel="0" collapsed="false">
      <c r="A75" s="28" t="str">
        <f aca="false">IF($C75="","",COUNTA($C$17:$C75))</f>
        <v/>
      </c>
      <c r="B75" s="29"/>
      <c r="C75" s="30"/>
      <c r="D75" s="29"/>
      <c r="E75" s="31" t="str">
        <f aca="false">IF($C75="","",IF(NOT(OR(M75="Completed",M75="NA",M75="Cancelled")),"S1 Schematic",IF(NOT(OR(R75="Completed",R75="NA",R75="Cancelled")),"S2 PCB Layout",IF(NOT(OR(W75="Completed",W75="NA",W75="Cancelled")),"S3 SI &amp; PI",IF(NOT(OR(AB75="Completed",AB75="NA",AB75="Cancelled")),"S4 Bare-PCB Fab",IF(NOT(OR(AG75="Completed",AG75="NA",AG75="Cancelled")),"S5 Assembly",IF(NOT(OR(AL75="Completed",AL75="NA",AL75="Cancelled")),"S6 Bring-up",IF(NOT(OR(AQ75="Completed",AQ75="NA",AQ75="Cancelled")),"S7 BOM Procurement","All Stages Closed"))))))))</f>
        <v/>
      </c>
      <c r="F75" s="32" t="str">
        <f aca="false">IF($C75="","",IF(COUNTIF(M75,"Cancelled")+COUNTIF(R75,"Cancelled")+COUNTIF(W75,"Cancelled")+COUNTIF(AB75,"Cancelled")+COUNTIF(AG75,"Cancelled")+COUNTIF(AL75,"Cancelled")+COUNTIF(AQ75,"Cancelled")&gt;0,"Cancelled",IF(E75="All Stages Closed","Completed",IF(E75="S1 Schematic",M75,IF(E75="S2 PCB Layout",R75,IF(E75="S3 SI &amp; PI",W75,IF(E75="S4 Bare-PCB Fab",AB75,IF(E75="S5 Assembly",AG75,IF(E75="S6 Bring-up",AL75,AQ75)))))))))</f>
        <v/>
      </c>
      <c r="G75" s="33" t="str">
        <f aca="false">IF($C75="","",IF(E75="All Stages Closed","",IF(E75="S1 Schematic",IF(N75="","Not added",N75),IF(E75="S2 PCB Layout",IF(S75="","Not added",S75),IF(E75="S3 SI &amp; PI",IF(X75="","Not added",X75),IF(E75="S4 Bare-PCB Fab",IF(AC75="","Not added",AC75),IF(E75="S5 Assembly",IF(AH75="","Not added",AH75),IF(E75="S6 Bring-up",IF(AM75="","Not added",AM75),IF(AR75="","Not added",AR75)))))))))</f>
        <v/>
      </c>
      <c r="H75" s="32" t="str">
        <f aca="true">IF($C75="","",IF(OR(F75="Completed",F75="Cancelled"),"",IF(NOT(ISNUMBER(G75)),"No date set",IF(TODAY()&gt;G75,TODAY()-G75&amp;" days late",G75-TODAY()&amp;" days left"))))</f>
        <v/>
      </c>
      <c r="I75" s="31" t="str">
        <f aca="false">IF($C75="","",COUNTIF(M75,"Completed")+COUNTIF(R75,"Completed")+COUNTIF(W75,"Completed")+COUNTIF(AB75,"Completed")+COUNTIF(AG75,"Completed")+COUNTIF(AL75,"Completed")+COUNTIF(AQ75,"Completed"))</f>
        <v/>
      </c>
      <c r="J75" s="31" t="str">
        <f aca="false">IF($C75="","",7-(COUNTIF(M75,"NA")+COUNTIF(R75,"NA")+COUNTIF(W75,"NA")+COUNTIF(AB75,"NA")+COUNTIF(AG75,"NA")+COUNTIF(AL75,"NA")+COUNTIF(AQ75,"NA")))</f>
        <v/>
      </c>
      <c r="K75" s="34" t="str">
        <f aca="false">IFERROR(I75/J75,"")</f>
        <v/>
      </c>
      <c r="L75" s="29"/>
      <c r="M75" s="35"/>
      <c r="N75" s="36"/>
      <c r="O75" s="36"/>
      <c r="P75" s="30"/>
      <c r="Q75" s="29"/>
      <c r="R75" s="35"/>
      <c r="S75" s="36"/>
      <c r="T75" s="36"/>
      <c r="U75" s="30"/>
      <c r="V75" s="29"/>
      <c r="W75" s="35"/>
      <c r="X75" s="36"/>
      <c r="Y75" s="36"/>
      <c r="Z75" s="30"/>
      <c r="AA75" s="29"/>
      <c r="AB75" s="35"/>
      <c r="AC75" s="36"/>
      <c r="AD75" s="36"/>
      <c r="AE75" s="30"/>
      <c r="AF75" s="29"/>
      <c r="AG75" s="35"/>
      <c r="AH75" s="36"/>
      <c r="AI75" s="36"/>
      <c r="AJ75" s="30"/>
      <c r="AK75" s="29"/>
      <c r="AL75" s="35"/>
      <c r="AM75" s="36"/>
      <c r="AN75" s="36"/>
      <c r="AO75" s="30"/>
      <c r="AP75" s="29"/>
      <c r="AQ75" s="35"/>
      <c r="AR75" s="36"/>
      <c r="AS75" s="36"/>
      <c r="AT75" s="30"/>
      <c r="AU75" s="29"/>
      <c r="AV75" s="29"/>
      <c r="AW75" s="29"/>
      <c r="AX75" s="37"/>
      <c r="AY75" s="29"/>
      <c r="AZ75" s="38" t="str">
        <f aca="false">IF($C75="","",IF(OR(F75="Completed",F75="Cancelled"),"",IF(AND(OR(F75="On Hold",ISNUMBER(VALUE(LEFT(H75,2)))),AY75=""),"Reason not given","")))</f>
        <v/>
      </c>
      <c r="BA75" s="30"/>
    </row>
    <row r="76" customFormat="false" ht="19.5" hidden="false" customHeight="true" outlineLevel="0" collapsed="false">
      <c r="A76" s="28" t="str">
        <f aca="false">IF($C76="","",COUNTA($C$17:$C76))</f>
        <v/>
      </c>
      <c r="B76" s="29"/>
      <c r="C76" s="30"/>
      <c r="D76" s="29"/>
      <c r="E76" s="31" t="str">
        <f aca="false">IF($C76="","",IF(NOT(OR(M76="Completed",M76="NA",M76="Cancelled")),"S1 Schematic",IF(NOT(OR(R76="Completed",R76="NA",R76="Cancelled")),"S2 PCB Layout",IF(NOT(OR(W76="Completed",W76="NA",W76="Cancelled")),"S3 SI &amp; PI",IF(NOT(OR(AB76="Completed",AB76="NA",AB76="Cancelled")),"S4 Bare-PCB Fab",IF(NOT(OR(AG76="Completed",AG76="NA",AG76="Cancelled")),"S5 Assembly",IF(NOT(OR(AL76="Completed",AL76="NA",AL76="Cancelled")),"S6 Bring-up",IF(NOT(OR(AQ76="Completed",AQ76="NA",AQ76="Cancelled")),"S7 BOM Procurement","All Stages Closed"))))))))</f>
        <v/>
      </c>
      <c r="F76" s="32" t="str">
        <f aca="false">IF($C76="","",IF(COUNTIF(M76,"Cancelled")+COUNTIF(R76,"Cancelled")+COUNTIF(W76,"Cancelled")+COUNTIF(AB76,"Cancelled")+COUNTIF(AG76,"Cancelled")+COUNTIF(AL76,"Cancelled")+COUNTIF(AQ76,"Cancelled")&gt;0,"Cancelled",IF(E76="All Stages Closed","Completed",IF(E76="S1 Schematic",M76,IF(E76="S2 PCB Layout",R76,IF(E76="S3 SI &amp; PI",W76,IF(E76="S4 Bare-PCB Fab",AB76,IF(E76="S5 Assembly",AG76,IF(E76="S6 Bring-up",AL76,AQ76)))))))))</f>
        <v/>
      </c>
      <c r="G76" s="33" t="str">
        <f aca="false">IF($C76="","",IF(E76="All Stages Closed","",IF(E76="S1 Schematic",IF(N76="","Not added",N76),IF(E76="S2 PCB Layout",IF(S76="","Not added",S76),IF(E76="S3 SI &amp; PI",IF(X76="","Not added",X76),IF(E76="S4 Bare-PCB Fab",IF(AC76="","Not added",AC76),IF(E76="S5 Assembly",IF(AH76="","Not added",AH76),IF(E76="S6 Bring-up",IF(AM76="","Not added",AM76),IF(AR76="","Not added",AR76)))))))))</f>
        <v/>
      </c>
      <c r="H76" s="32" t="str">
        <f aca="true">IF($C76="","",IF(OR(F76="Completed",F76="Cancelled"),"",IF(NOT(ISNUMBER(G76)),"No date set",IF(TODAY()&gt;G76,TODAY()-G76&amp;" days late",G76-TODAY()&amp;" days left"))))</f>
        <v/>
      </c>
      <c r="I76" s="31" t="str">
        <f aca="false">IF($C76="","",COUNTIF(M76,"Completed")+COUNTIF(R76,"Completed")+COUNTIF(W76,"Completed")+COUNTIF(AB76,"Completed")+COUNTIF(AG76,"Completed")+COUNTIF(AL76,"Completed")+COUNTIF(AQ76,"Completed"))</f>
        <v/>
      </c>
      <c r="J76" s="31" t="str">
        <f aca="false">IF($C76="","",7-(COUNTIF(M76,"NA")+COUNTIF(R76,"NA")+COUNTIF(W76,"NA")+COUNTIF(AB76,"NA")+COUNTIF(AG76,"NA")+COUNTIF(AL76,"NA")+COUNTIF(AQ76,"NA")))</f>
        <v/>
      </c>
      <c r="K76" s="34" t="str">
        <f aca="false">IFERROR(I76/J76,"")</f>
        <v/>
      </c>
      <c r="L76" s="29"/>
      <c r="M76" s="35"/>
      <c r="N76" s="36"/>
      <c r="O76" s="36"/>
      <c r="P76" s="30"/>
      <c r="Q76" s="29"/>
      <c r="R76" s="35"/>
      <c r="S76" s="36"/>
      <c r="T76" s="36"/>
      <c r="U76" s="30"/>
      <c r="V76" s="29"/>
      <c r="W76" s="35"/>
      <c r="X76" s="36"/>
      <c r="Y76" s="36"/>
      <c r="Z76" s="30"/>
      <c r="AA76" s="29"/>
      <c r="AB76" s="35"/>
      <c r="AC76" s="36"/>
      <c r="AD76" s="36"/>
      <c r="AE76" s="30"/>
      <c r="AF76" s="29"/>
      <c r="AG76" s="35"/>
      <c r="AH76" s="36"/>
      <c r="AI76" s="36"/>
      <c r="AJ76" s="30"/>
      <c r="AK76" s="29"/>
      <c r="AL76" s="35"/>
      <c r="AM76" s="36"/>
      <c r="AN76" s="36"/>
      <c r="AO76" s="30"/>
      <c r="AP76" s="29"/>
      <c r="AQ76" s="35"/>
      <c r="AR76" s="36"/>
      <c r="AS76" s="36"/>
      <c r="AT76" s="30"/>
      <c r="AU76" s="29"/>
      <c r="AV76" s="29"/>
      <c r="AW76" s="29"/>
      <c r="AX76" s="37"/>
      <c r="AY76" s="29"/>
      <c r="AZ76" s="38" t="str">
        <f aca="false">IF($C76="","",IF(OR(F76="Completed",F76="Cancelled"),"",IF(AND(OR(F76="On Hold",ISNUMBER(VALUE(LEFT(H76,2)))),AY76=""),"Reason not given","")))</f>
        <v/>
      </c>
      <c r="BA76" s="30"/>
    </row>
    <row r="77" customFormat="false" ht="19.5" hidden="false" customHeight="true" outlineLevel="0" collapsed="false">
      <c r="A77" s="28" t="str">
        <f aca="false">IF($C77="","",COUNTA($C$17:$C77))</f>
        <v/>
      </c>
      <c r="B77" s="29"/>
      <c r="C77" s="30"/>
      <c r="D77" s="29"/>
      <c r="E77" s="31" t="str">
        <f aca="false">IF($C77="","",IF(NOT(OR(M77="Completed",M77="NA",M77="Cancelled")),"S1 Schematic",IF(NOT(OR(R77="Completed",R77="NA",R77="Cancelled")),"S2 PCB Layout",IF(NOT(OR(W77="Completed",W77="NA",W77="Cancelled")),"S3 SI &amp; PI",IF(NOT(OR(AB77="Completed",AB77="NA",AB77="Cancelled")),"S4 Bare-PCB Fab",IF(NOT(OR(AG77="Completed",AG77="NA",AG77="Cancelled")),"S5 Assembly",IF(NOT(OR(AL77="Completed",AL77="NA",AL77="Cancelled")),"S6 Bring-up",IF(NOT(OR(AQ77="Completed",AQ77="NA",AQ77="Cancelled")),"S7 BOM Procurement","All Stages Closed"))))))))</f>
        <v/>
      </c>
      <c r="F77" s="32" t="str">
        <f aca="false">IF($C77="","",IF(COUNTIF(M77,"Cancelled")+COUNTIF(R77,"Cancelled")+COUNTIF(W77,"Cancelled")+COUNTIF(AB77,"Cancelled")+COUNTIF(AG77,"Cancelled")+COUNTIF(AL77,"Cancelled")+COUNTIF(AQ77,"Cancelled")&gt;0,"Cancelled",IF(E77="All Stages Closed","Completed",IF(E77="S1 Schematic",M77,IF(E77="S2 PCB Layout",R77,IF(E77="S3 SI &amp; PI",W77,IF(E77="S4 Bare-PCB Fab",AB77,IF(E77="S5 Assembly",AG77,IF(E77="S6 Bring-up",AL77,AQ77)))))))))</f>
        <v/>
      </c>
      <c r="G77" s="33" t="str">
        <f aca="false">IF($C77="","",IF(E77="All Stages Closed","",IF(E77="S1 Schematic",IF(N77="","Not added",N77),IF(E77="S2 PCB Layout",IF(S77="","Not added",S77),IF(E77="S3 SI &amp; PI",IF(X77="","Not added",X77),IF(E77="S4 Bare-PCB Fab",IF(AC77="","Not added",AC77),IF(E77="S5 Assembly",IF(AH77="","Not added",AH77),IF(E77="S6 Bring-up",IF(AM77="","Not added",AM77),IF(AR77="","Not added",AR77)))))))))</f>
        <v/>
      </c>
      <c r="H77" s="32" t="str">
        <f aca="true">IF($C77="","",IF(OR(F77="Completed",F77="Cancelled"),"",IF(NOT(ISNUMBER(G77)),"No date set",IF(TODAY()&gt;G77,TODAY()-G77&amp;" days late",G77-TODAY()&amp;" days left"))))</f>
        <v/>
      </c>
      <c r="I77" s="31" t="str">
        <f aca="false">IF($C77="","",COUNTIF(M77,"Completed")+COUNTIF(R77,"Completed")+COUNTIF(W77,"Completed")+COUNTIF(AB77,"Completed")+COUNTIF(AG77,"Completed")+COUNTIF(AL77,"Completed")+COUNTIF(AQ77,"Completed"))</f>
        <v/>
      </c>
      <c r="J77" s="31" t="str">
        <f aca="false">IF($C77="","",7-(COUNTIF(M77,"NA")+COUNTIF(R77,"NA")+COUNTIF(W77,"NA")+COUNTIF(AB77,"NA")+COUNTIF(AG77,"NA")+COUNTIF(AL77,"NA")+COUNTIF(AQ77,"NA")))</f>
        <v/>
      </c>
      <c r="K77" s="34" t="str">
        <f aca="false">IFERROR(I77/J77,"")</f>
        <v/>
      </c>
      <c r="L77" s="29"/>
      <c r="M77" s="35"/>
      <c r="N77" s="36"/>
      <c r="O77" s="36"/>
      <c r="P77" s="30"/>
      <c r="Q77" s="29"/>
      <c r="R77" s="35"/>
      <c r="S77" s="36"/>
      <c r="T77" s="36"/>
      <c r="U77" s="30"/>
      <c r="V77" s="29"/>
      <c r="W77" s="35"/>
      <c r="X77" s="36"/>
      <c r="Y77" s="36"/>
      <c r="Z77" s="30"/>
      <c r="AA77" s="29"/>
      <c r="AB77" s="35"/>
      <c r="AC77" s="36"/>
      <c r="AD77" s="36"/>
      <c r="AE77" s="30"/>
      <c r="AF77" s="29"/>
      <c r="AG77" s="35"/>
      <c r="AH77" s="36"/>
      <c r="AI77" s="36"/>
      <c r="AJ77" s="30"/>
      <c r="AK77" s="29"/>
      <c r="AL77" s="35"/>
      <c r="AM77" s="36"/>
      <c r="AN77" s="36"/>
      <c r="AO77" s="30"/>
      <c r="AP77" s="29"/>
      <c r="AQ77" s="35"/>
      <c r="AR77" s="36"/>
      <c r="AS77" s="36"/>
      <c r="AT77" s="30"/>
      <c r="AU77" s="29"/>
      <c r="AV77" s="29"/>
      <c r="AW77" s="29"/>
      <c r="AX77" s="37"/>
      <c r="AY77" s="29"/>
      <c r="AZ77" s="38" t="str">
        <f aca="false">IF($C77="","",IF(OR(F77="Completed",F77="Cancelled"),"",IF(AND(OR(F77="On Hold",ISNUMBER(VALUE(LEFT(H77,2)))),AY77=""),"Reason not given","")))</f>
        <v/>
      </c>
      <c r="BA77" s="30"/>
    </row>
    <row r="78" customFormat="false" ht="19.5" hidden="false" customHeight="true" outlineLevel="0" collapsed="false">
      <c r="A78" s="28" t="str">
        <f aca="false">IF($C78="","",COUNTA($C$17:$C78))</f>
        <v/>
      </c>
      <c r="B78" s="29"/>
      <c r="C78" s="30"/>
      <c r="D78" s="29"/>
      <c r="E78" s="31" t="str">
        <f aca="false">IF($C78="","",IF(NOT(OR(M78="Completed",M78="NA",M78="Cancelled")),"S1 Schematic",IF(NOT(OR(R78="Completed",R78="NA",R78="Cancelled")),"S2 PCB Layout",IF(NOT(OR(W78="Completed",W78="NA",W78="Cancelled")),"S3 SI &amp; PI",IF(NOT(OR(AB78="Completed",AB78="NA",AB78="Cancelled")),"S4 Bare-PCB Fab",IF(NOT(OR(AG78="Completed",AG78="NA",AG78="Cancelled")),"S5 Assembly",IF(NOT(OR(AL78="Completed",AL78="NA",AL78="Cancelled")),"S6 Bring-up",IF(NOT(OR(AQ78="Completed",AQ78="NA",AQ78="Cancelled")),"S7 BOM Procurement","All Stages Closed"))))))))</f>
        <v/>
      </c>
      <c r="F78" s="32" t="str">
        <f aca="false">IF($C78="","",IF(COUNTIF(M78,"Cancelled")+COUNTIF(R78,"Cancelled")+COUNTIF(W78,"Cancelled")+COUNTIF(AB78,"Cancelled")+COUNTIF(AG78,"Cancelled")+COUNTIF(AL78,"Cancelled")+COUNTIF(AQ78,"Cancelled")&gt;0,"Cancelled",IF(E78="All Stages Closed","Completed",IF(E78="S1 Schematic",M78,IF(E78="S2 PCB Layout",R78,IF(E78="S3 SI &amp; PI",W78,IF(E78="S4 Bare-PCB Fab",AB78,IF(E78="S5 Assembly",AG78,IF(E78="S6 Bring-up",AL78,AQ78)))))))))</f>
        <v/>
      </c>
      <c r="G78" s="33" t="str">
        <f aca="false">IF($C78="","",IF(E78="All Stages Closed","",IF(E78="S1 Schematic",IF(N78="","Not added",N78),IF(E78="S2 PCB Layout",IF(S78="","Not added",S78),IF(E78="S3 SI &amp; PI",IF(X78="","Not added",X78),IF(E78="S4 Bare-PCB Fab",IF(AC78="","Not added",AC78),IF(E78="S5 Assembly",IF(AH78="","Not added",AH78),IF(E78="S6 Bring-up",IF(AM78="","Not added",AM78),IF(AR78="","Not added",AR78)))))))))</f>
        <v/>
      </c>
      <c r="H78" s="32" t="str">
        <f aca="true">IF($C78="","",IF(OR(F78="Completed",F78="Cancelled"),"",IF(NOT(ISNUMBER(G78)),"No date set",IF(TODAY()&gt;G78,TODAY()-G78&amp;" days late",G78-TODAY()&amp;" days left"))))</f>
        <v/>
      </c>
      <c r="I78" s="31" t="str">
        <f aca="false">IF($C78="","",COUNTIF(M78,"Completed")+COUNTIF(R78,"Completed")+COUNTIF(W78,"Completed")+COUNTIF(AB78,"Completed")+COUNTIF(AG78,"Completed")+COUNTIF(AL78,"Completed")+COUNTIF(AQ78,"Completed"))</f>
        <v/>
      </c>
      <c r="J78" s="31" t="str">
        <f aca="false">IF($C78="","",7-(COUNTIF(M78,"NA")+COUNTIF(R78,"NA")+COUNTIF(W78,"NA")+COUNTIF(AB78,"NA")+COUNTIF(AG78,"NA")+COUNTIF(AL78,"NA")+COUNTIF(AQ78,"NA")))</f>
        <v/>
      </c>
      <c r="K78" s="34" t="str">
        <f aca="false">IFERROR(I78/J78,"")</f>
        <v/>
      </c>
      <c r="L78" s="29"/>
      <c r="M78" s="35"/>
      <c r="N78" s="36"/>
      <c r="O78" s="36"/>
      <c r="P78" s="30"/>
      <c r="Q78" s="29"/>
      <c r="R78" s="35"/>
      <c r="S78" s="36"/>
      <c r="T78" s="36"/>
      <c r="U78" s="30"/>
      <c r="V78" s="29"/>
      <c r="W78" s="35"/>
      <c r="X78" s="36"/>
      <c r="Y78" s="36"/>
      <c r="Z78" s="30"/>
      <c r="AA78" s="29"/>
      <c r="AB78" s="35"/>
      <c r="AC78" s="36"/>
      <c r="AD78" s="36"/>
      <c r="AE78" s="30"/>
      <c r="AF78" s="29"/>
      <c r="AG78" s="35"/>
      <c r="AH78" s="36"/>
      <c r="AI78" s="36"/>
      <c r="AJ78" s="30"/>
      <c r="AK78" s="29"/>
      <c r="AL78" s="35"/>
      <c r="AM78" s="36"/>
      <c r="AN78" s="36"/>
      <c r="AO78" s="30"/>
      <c r="AP78" s="29"/>
      <c r="AQ78" s="35"/>
      <c r="AR78" s="36"/>
      <c r="AS78" s="36"/>
      <c r="AT78" s="30"/>
      <c r="AU78" s="29"/>
      <c r="AV78" s="29"/>
      <c r="AW78" s="29"/>
      <c r="AX78" s="37"/>
      <c r="AY78" s="29"/>
      <c r="AZ78" s="38" t="str">
        <f aca="false">IF($C78="","",IF(OR(F78="Completed",F78="Cancelled"),"",IF(AND(OR(F78="On Hold",ISNUMBER(VALUE(LEFT(H78,2)))),AY78=""),"Reason not given","")))</f>
        <v/>
      </c>
      <c r="BA78" s="30"/>
    </row>
    <row r="79" customFormat="false" ht="19.5" hidden="false" customHeight="true" outlineLevel="0" collapsed="false">
      <c r="A79" s="28" t="str">
        <f aca="false">IF($C79="","",COUNTA($C$17:$C79))</f>
        <v/>
      </c>
      <c r="B79" s="29"/>
      <c r="C79" s="30"/>
      <c r="D79" s="29"/>
      <c r="E79" s="31" t="str">
        <f aca="false">IF($C79="","",IF(NOT(OR(M79="Completed",M79="NA",M79="Cancelled")),"S1 Schematic",IF(NOT(OR(R79="Completed",R79="NA",R79="Cancelled")),"S2 PCB Layout",IF(NOT(OR(W79="Completed",W79="NA",W79="Cancelled")),"S3 SI &amp; PI",IF(NOT(OR(AB79="Completed",AB79="NA",AB79="Cancelled")),"S4 Bare-PCB Fab",IF(NOT(OR(AG79="Completed",AG79="NA",AG79="Cancelled")),"S5 Assembly",IF(NOT(OR(AL79="Completed",AL79="NA",AL79="Cancelled")),"S6 Bring-up",IF(NOT(OR(AQ79="Completed",AQ79="NA",AQ79="Cancelled")),"S7 BOM Procurement","All Stages Closed"))))))))</f>
        <v/>
      </c>
      <c r="F79" s="32" t="str">
        <f aca="false">IF($C79="","",IF(COUNTIF(M79,"Cancelled")+COUNTIF(R79,"Cancelled")+COUNTIF(W79,"Cancelled")+COUNTIF(AB79,"Cancelled")+COUNTIF(AG79,"Cancelled")+COUNTIF(AL79,"Cancelled")+COUNTIF(AQ79,"Cancelled")&gt;0,"Cancelled",IF(E79="All Stages Closed","Completed",IF(E79="S1 Schematic",M79,IF(E79="S2 PCB Layout",R79,IF(E79="S3 SI &amp; PI",W79,IF(E79="S4 Bare-PCB Fab",AB79,IF(E79="S5 Assembly",AG79,IF(E79="S6 Bring-up",AL79,AQ79)))))))))</f>
        <v/>
      </c>
      <c r="G79" s="33" t="str">
        <f aca="false">IF($C79="","",IF(E79="All Stages Closed","",IF(E79="S1 Schematic",IF(N79="","Not added",N79),IF(E79="S2 PCB Layout",IF(S79="","Not added",S79),IF(E79="S3 SI &amp; PI",IF(X79="","Not added",X79),IF(E79="S4 Bare-PCB Fab",IF(AC79="","Not added",AC79),IF(E79="S5 Assembly",IF(AH79="","Not added",AH79),IF(E79="S6 Bring-up",IF(AM79="","Not added",AM79),IF(AR79="","Not added",AR79)))))))))</f>
        <v/>
      </c>
      <c r="H79" s="32" t="str">
        <f aca="true">IF($C79="","",IF(OR(F79="Completed",F79="Cancelled"),"",IF(NOT(ISNUMBER(G79)),"No date set",IF(TODAY()&gt;G79,TODAY()-G79&amp;" days late",G79-TODAY()&amp;" days left"))))</f>
        <v/>
      </c>
      <c r="I79" s="31" t="str">
        <f aca="false">IF($C79="","",COUNTIF(M79,"Completed")+COUNTIF(R79,"Completed")+COUNTIF(W79,"Completed")+COUNTIF(AB79,"Completed")+COUNTIF(AG79,"Completed")+COUNTIF(AL79,"Completed")+COUNTIF(AQ79,"Completed"))</f>
        <v/>
      </c>
      <c r="J79" s="31" t="str">
        <f aca="false">IF($C79="","",7-(COUNTIF(M79,"NA")+COUNTIF(R79,"NA")+COUNTIF(W79,"NA")+COUNTIF(AB79,"NA")+COUNTIF(AG79,"NA")+COUNTIF(AL79,"NA")+COUNTIF(AQ79,"NA")))</f>
        <v/>
      </c>
      <c r="K79" s="34" t="str">
        <f aca="false">IFERROR(I79/J79,"")</f>
        <v/>
      </c>
      <c r="L79" s="29"/>
      <c r="M79" s="35"/>
      <c r="N79" s="36"/>
      <c r="O79" s="36"/>
      <c r="P79" s="30"/>
      <c r="Q79" s="29"/>
      <c r="R79" s="35"/>
      <c r="S79" s="36"/>
      <c r="T79" s="36"/>
      <c r="U79" s="30"/>
      <c r="V79" s="29"/>
      <c r="W79" s="35"/>
      <c r="X79" s="36"/>
      <c r="Y79" s="36"/>
      <c r="Z79" s="30"/>
      <c r="AA79" s="29"/>
      <c r="AB79" s="35"/>
      <c r="AC79" s="36"/>
      <c r="AD79" s="36"/>
      <c r="AE79" s="30"/>
      <c r="AF79" s="29"/>
      <c r="AG79" s="35"/>
      <c r="AH79" s="36"/>
      <c r="AI79" s="36"/>
      <c r="AJ79" s="30"/>
      <c r="AK79" s="29"/>
      <c r="AL79" s="35"/>
      <c r="AM79" s="36"/>
      <c r="AN79" s="36"/>
      <c r="AO79" s="30"/>
      <c r="AP79" s="29"/>
      <c r="AQ79" s="35"/>
      <c r="AR79" s="36"/>
      <c r="AS79" s="36"/>
      <c r="AT79" s="30"/>
      <c r="AU79" s="29"/>
      <c r="AV79" s="29"/>
      <c r="AW79" s="29"/>
      <c r="AX79" s="37"/>
      <c r="AY79" s="29"/>
      <c r="AZ79" s="38" t="str">
        <f aca="false">IF($C79="","",IF(OR(F79="Completed",F79="Cancelled"),"",IF(AND(OR(F79="On Hold",ISNUMBER(VALUE(LEFT(H79,2)))),AY79=""),"Reason not given","")))</f>
        <v/>
      </c>
      <c r="BA79" s="30"/>
    </row>
    <row r="80" customFormat="false" ht="19.5" hidden="false" customHeight="true" outlineLevel="0" collapsed="false">
      <c r="A80" s="28" t="str">
        <f aca="false">IF($C80="","",COUNTA($C$17:$C80))</f>
        <v/>
      </c>
      <c r="B80" s="29"/>
      <c r="C80" s="30"/>
      <c r="D80" s="29"/>
      <c r="E80" s="31" t="str">
        <f aca="false">IF($C80="","",IF(NOT(OR(M80="Completed",M80="NA",M80="Cancelled")),"S1 Schematic",IF(NOT(OR(R80="Completed",R80="NA",R80="Cancelled")),"S2 PCB Layout",IF(NOT(OR(W80="Completed",W80="NA",W80="Cancelled")),"S3 SI &amp; PI",IF(NOT(OR(AB80="Completed",AB80="NA",AB80="Cancelled")),"S4 Bare-PCB Fab",IF(NOT(OR(AG80="Completed",AG80="NA",AG80="Cancelled")),"S5 Assembly",IF(NOT(OR(AL80="Completed",AL80="NA",AL80="Cancelled")),"S6 Bring-up",IF(NOT(OR(AQ80="Completed",AQ80="NA",AQ80="Cancelled")),"S7 BOM Procurement","All Stages Closed"))))))))</f>
        <v/>
      </c>
      <c r="F80" s="32" t="str">
        <f aca="false">IF($C80="","",IF(COUNTIF(M80,"Cancelled")+COUNTIF(R80,"Cancelled")+COUNTIF(W80,"Cancelled")+COUNTIF(AB80,"Cancelled")+COUNTIF(AG80,"Cancelled")+COUNTIF(AL80,"Cancelled")+COUNTIF(AQ80,"Cancelled")&gt;0,"Cancelled",IF(E80="All Stages Closed","Completed",IF(E80="S1 Schematic",M80,IF(E80="S2 PCB Layout",R80,IF(E80="S3 SI &amp; PI",W80,IF(E80="S4 Bare-PCB Fab",AB80,IF(E80="S5 Assembly",AG80,IF(E80="S6 Bring-up",AL80,AQ80)))))))))</f>
        <v/>
      </c>
      <c r="G80" s="33" t="str">
        <f aca="false">IF($C80="","",IF(E80="All Stages Closed","",IF(E80="S1 Schematic",IF(N80="","Not added",N80),IF(E80="S2 PCB Layout",IF(S80="","Not added",S80),IF(E80="S3 SI &amp; PI",IF(X80="","Not added",X80),IF(E80="S4 Bare-PCB Fab",IF(AC80="","Not added",AC80),IF(E80="S5 Assembly",IF(AH80="","Not added",AH80),IF(E80="S6 Bring-up",IF(AM80="","Not added",AM80),IF(AR80="","Not added",AR80)))))))))</f>
        <v/>
      </c>
      <c r="H80" s="32" t="str">
        <f aca="true">IF($C80="","",IF(OR(F80="Completed",F80="Cancelled"),"",IF(NOT(ISNUMBER(G80)),"No date set",IF(TODAY()&gt;G80,TODAY()-G80&amp;" days late",G80-TODAY()&amp;" days left"))))</f>
        <v/>
      </c>
      <c r="I80" s="31" t="str">
        <f aca="false">IF($C80="","",COUNTIF(M80,"Completed")+COUNTIF(R80,"Completed")+COUNTIF(W80,"Completed")+COUNTIF(AB80,"Completed")+COUNTIF(AG80,"Completed")+COUNTIF(AL80,"Completed")+COUNTIF(AQ80,"Completed"))</f>
        <v/>
      </c>
      <c r="J80" s="31" t="str">
        <f aca="false">IF($C80="","",7-(COUNTIF(M80,"NA")+COUNTIF(R80,"NA")+COUNTIF(W80,"NA")+COUNTIF(AB80,"NA")+COUNTIF(AG80,"NA")+COUNTIF(AL80,"NA")+COUNTIF(AQ80,"NA")))</f>
        <v/>
      </c>
      <c r="K80" s="34" t="str">
        <f aca="false">IFERROR(I80/J80,"")</f>
        <v/>
      </c>
      <c r="L80" s="29"/>
      <c r="M80" s="35"/>
      <c r="N80" s="36"/>
      <c r="O80" s="36"/>
      <c r="P80" s="30"/>
      <c r="Q80" s="29"/>
      <c r="R80" s="35"/>
      <c r="S80" s="36"/>
      <c r="T80" s="36"/>
      <c r="U80" s="30"/>
      <c r="V80" s="29"/>
      <c r="W80" s="35"/>
      <c r="X80" s="36"/>
      <c r="Y80" s="36"/>
      <c r="Z80" s="30"/>
      <c r="AA80" s="29"/>
      <c r="AB80" s="35"/>
      <c r="AC80" s="36"/>
      <c r="AD80" s="36"/>
      <c r="AE80" s="30"/>
      <c r="AF80" s="29"/>
      <c r="AG80" s="35"/>
      <c r="AH80" s="36"/>
      <c r="AI80" s="36"/>
      <c r="AJ80" s="30"/>
      <c r="AK80" s="29"/>
      <c r="AL80" s="35"/>
      <c r="AM80" s="36"/>
      <c r="AN80" s="36"/>
      <c r="AO80" s="30"/>
      <c r="AP80" s="29"/>
      <c r="AQ80" s="35"/>
      <c r="AR80" s="36"/>
      <c r="AS80" s="36"/>
      <c r="AT80" s="30"/>
      <c r="AU80" s="29"/>
      <c r="AV80" s="29"/>
      <c r="AW80" s="29"/>
      <c r="AX80" s="37"/>
      <c r="AY80" s="29"/>
      <c r="AZ80" s="38" t="str">
        <f aca="false">IF($C80="","",IF(OR(F80="Completed",F80="Cancelled"),"",IF(AND(OR(F80="On Hold",ISNUMBER(VALUE(LEFT(H80,2)))),AY80=""),"Reason not given","")))</f>
        <v/>
      </c>
      <c r="BA80" s="30"/>
    </row>
    <row r="81" customFormat="false" ht="19.5" hidden="false" customHeight="true" outlineLevel="0" collapsed="false">
      <c r="A81" s="28" t="str">
        <f aca="false">IF($C81="","",COUNTA($C$17:$C81))</f>
        <v/>
      </c>
      <c r="B81" s="29"/>
      <c r="C81" s="30"/>
      <c r="D81" s="29"/>
      <c r="E81" s="31" t="str">
        <f aca="false">IF($C81="","",IF(NOT(OR(M81="Completed",M81="NA",M81="Cancelled")),"S1 Schematic",IF(NOT(OR(R81="Completed",R81="NA",R81="Cancelled")),"S2 PCB Layout",IF(NOT(OR(W81="Completed",W81="NA",W81="Cancelled")),"S3 SI &amp; PI",IF(NOT(OR(AB81="Completed",AB81="NA",AB81="Cancelled")),"S4 Bare-PCB Fab",IF(NOT(OR(AG81="Completed",AG81="NA",AG81="Cancelled")),"S5 Assembly",IF(NOT(OR(AL81="Completed",AL81="NA",AL81="Cancelled")),"S6 Bring-up",IF(NOT(OR(AQ81="Completed",AQ81="NA",AQ81="Cancelled")),"S7 BOM Procurement","All Stages Closed"))))))))</f>
        <v/>
      </c>
      <c r="F81" s="32" t="str">
        <f aca="false">IF($C81="","",IF(COUNTIF(M81,"Cancelled")+COUNTIF(R81,"Cancelled")+COUNTIF(W81,"Cancelled")+COUNTIF(AB81,"Cancelled")+COUNTIF(AG81,"Cancelled")+COUNTIF(AL81,"Cancelled")+COUNTIF(AQ81,"Cancelled")&gt;0,"Cancelled",IF(E81="All Stages Closed","Completed",IF(E81="S1 Schematic",M81,IF(E81="S2 PCB Layout",R81,IF(E81="S3 SI &amp; PI",W81,IF(E81="S4 Bare-PCB Fab",AB81,IF(E81="S5 Assembly",AG81,IF(E81="S6 Bring-up",AL81,AQ81)))))))))</f>
        <v/>
      </c>
      <c r="G81" s="33" t="str">
        <f aca="false">IF($C81="","",IF(E81="All Stages Closed","",IF(E81="S1 Schematic",IF(N81="","Not added",N81),IF(E81="S2 PCB Layout",IF(S81="","Not added",S81),IF(E81="S3 SI &amp; PI",IF(X81="","Not added",X81),IF(E81="S4 Bare-PCB Fab",IF(AC81="","Not added",AC81),IF(E81="S5 Assembly",IF(AH81="","Not added",AH81),IF(E81="S6 Bring-up",IF(AM81="","Not added",AM81),IF(AR81="","Not added",AR81)))))))))</f>
        <v/>
      </c>
      <c r="H81" s="32" t="str">
        <f aca="true">IF($C81="","",IF(OR(F81="Completed",F81="Cancelled"),"",IF(NOT(ISNUMBER(G81)),"No date set",IF(TODAY()&gt;G81,TODAY()-G81&amp;" days late",G81-TODAY()&amp;" days left"))))</f>
        <v/>
      </c>
      <c r="I81" s="31" t="str">
        <f aca="false">IF($C81="","",COUNTIF(M81,"Completed")+COUNTIF(R81,"Completed")+COUNTIF(W81,"Completed")+COUNTIF(AB81,"Completed")+COUNTIF(AG81,"Completed")+COUNTIF(AL81,"Completed")+COUNTIF(AQ81,"Completed"))</f>
        <v/>
      </c>
      <c r="J81" s="31" t="str">
        <f aca="false">IF($C81="","",7-(COUNTIF(M81,"NA")+COUNTIF(R81,"NA")+COUNTIF(W81,"NA")+COUNTIF(AB81,"NA")+COUNTIF(AG81,"NA")+COUNTIF(AL81,"NA")+COUNTIF(AQ81,"NA")))</f>
        <v/>
      </c>
      <c r="K81" s="34" t="str">
        <f aca="false">IFERROR(I81/J81,"")</f>
        <v/>
      </c>
      <c r="L81" s="29"/>
      <c r="M81" s="35"/>
      <c r="N81" s="36"/>
      <c r="O81" s="36"/>
      <c r="P81" s="30"/>
      <c r="Q81" s="29"/>
      <c r="R81" s="35"/>
      <c r="S81" s="36"/>
      <c r="T81" s="36"/>
      <c r="U81" s="30"/>
      <c r="V81" s="29"/>
      <c r="W81" s="35"/>
      <c r="X81" s="36"/>
      <c r="Y81" s="36"/>
      <c r="Z81" s="30"/>
      <c r="AA81" s="29"/>
      <c r="AB81" s="35"/>
      <c r="AC81" s="36"/>
      <c r="AD81" s="36"/>
      <c r="AE81" s="30"/>
      <c r="AF81" s="29"/>
      <c r="AG81" s="35"/>
      <c r="AH81" s="36"/>
      <c r="AI81" s="36"/>
      <c r="AJ81" s="30"/>
      <c r="AK81" s="29"/>
      <c r="AL81" s="35"/>
      <c r="AM81" s="36"/>
      <c r="AN81" s="36"/>
      <c r="AO81" s="30"/>
      <c r="AP81" s="29"/>
      <c r="AQ81" s="35"/>
      <c r="AR81" s="36"/>
      <c r="AS81" s="36"/>
      <c r="AT81" s="30"/>
      <c r="AU81" s="29"/>
      <c r="AV81" s="29"/>
      <c r="AW81" s="29"/>
      <c r="AX81" s="37"/>
      <c r="AY81" s="29"/>
      <c r="AZ81" s="38" t="str">
        <f aca="false">IF($C81="","",IF(OR(F81="Completed",F81="Cancelled"),"",IF(AND(OR(F81="On Hold",ISNUMBER(VALUE(LEFT(H81,2)))),AY81=""),"Reason not given","")))</f>
        <v/>
      </c>
      <c r="BA81" s="30"/>
    </row>
    <row r="82" customFormat="false" ht="19.5" hidden="false" customHeight="true" outlineLevel="0" collapsed="false">
      <c r="A82" s="28" t="str">
        <f aca="false">IF($C82="","",COUNTA($C$17:$C82))</f>
        <v/>
      </c>
      <c r="B82" s="29"/>
      <c r="C82" s="30"/>
      <c r="D82" s="29"/>
      <c r="E82" s="31" t="str">
        <f aca="false">IF($C82="","",IF(NOT(OR(M82="Completed",M82="NA",M82="Cancelled")),"S1 Schematic",IF(NOT(OR(R82="Completed",R82="NA",R82="Cancelled")),"S2 PCB Layout",IF(NOT(OR(W82="Completed",W82="NA",W82="Cancelled")),"S3 SI &amp; PI",IF(NOT(OR(AB82="Completed",AB82="NA",AB82="Cancelled")),"S4 Bare-PCB Fab",IF(NOT(OR(AG82="Completed",AG82="NA",AG82="Cancelled")),"S5 Assembly",IF(NOT(OR(AL82="Completed",AL82="NA",AL82="Cancelled")),"S6 Bring-up",IF(NOT(OR(AQ82="Completed",AQ82="NA",AQ82="Cancelled")),"S7 BOM Procurement","All Stages Closed"))))))))</f>
        <v/>
      </c>
      <c r="F82" s="32" t="str">
        <f aca="false">IF($C82="","",IF(COUNTIF(M82,"Cancelled")+COUNTIF(R82,"Cancelled")+COUNTIF(W82,"Cancelled")+COUNTIF(AB82,"Cancelled")+COUNTIF(AG82,"Cancelled")+COUNTIF(AL82,"Cancelled")+COUNTIF(AQ82,"Cancelled")&gt;0,"Cancelled",IF(E82="All Stages Closed","Completed",IF(E82="S1 Schematic",M82,IF(E82="S2 PCB Layout",R82,IF(E82="S3 SI &amp; PI",W82,IF(E82="S4 Bare-PCB Fab",AB82,IF(E82="S5 Assembly",AG82,IF(E82="S6 Bring-up",AL82,AQ82)))))))))</f>
        <v/>
      </c>
      <c r="G82" s="33" t="str">
        <f aca="false">IF($C82="","",IF(E82="All Stages Closed","",IF(E82="S1 Schematic",IF(N82="","Not added",N82),IF(E82="S2 PCB Layout",IF(S82="","Not added",S82),IF(E82="S3 SI &amp; PI",IF(X82="","Not added",X82),IF(E82="S4 Bare-PCB Fab",IF(AC82="","Not added",AC82),IF(E82="S5 Assembly",IF(AH82="","Not added",AH82),IF(E82="S6 Bring-up",IF(AM82="","Not added",AM82),IF(AR82="","Not added",AR82)))))))))</f>
        <v/>
      </c>
      <c r="H82" s="32" t="str">
        <f aca="true">IF($C82="","",IF(OR(F82="Completed",F82="Cancelled"),"",IF(NOT(ISNUMBER(G82)),"No date set",IF(TODAY()&gt;G82,TODAY()-G82&amp;" days late",G82-TODAY()&amp;" days left"))))</f>
        <v/>
      </c>
      <c r="I82" s="31" t="str">
        <f aca="false">IF($C82="","",COUNTIF(M82,"Completed")+COUNTIF(R82,"Completed")+COUNTIF(W82,"Completed")+COUNTIF(AB82,"Completed")+COUNTIF(AG82,"Completed")+COUNTIF(AL82,"Completed")+COUNTIF(AQ82,"Completed"))</f>
        <v/>
      </c>
      <c r="J82" s="31" t="str">
        <f aca="false">IF($C82="","",7-(COUNTIF(M82,"NA")+COUNTIF(R82,"NA")+COUNTIF(W82,"NA")+COUNTIF(AB82,"NA")+COUNTIF(AG82,"NA")+COUNTIF(AL82,"NA")+COUNTIF(AQ82,"NA")))</f>
        <v/>
      </c>
      <c r="K82" s="34" t="str">
        <f aca="false">IFERROR(I82/J82,"")</f>
        <v/>
      </c>
      <c r="L82" s="29"/>
      <c r="M82" s="35"/>
      <c r="N82" s="36"/>
      <c r="O82" s="36"/>
      <c r="P82" s="30"/>
      <c r="Q82" s="29"/>
      <c r="R82" s="35"/>
      <c r="S82" s="36"/>
      <c r="T82" s="36"/>
      <c r="U82" s="30"/>
      <c r="V82" s="29"/>
      <c r="W82" s="35"/>
      <c r="X82" s="36"/>
      <c r="Y82" s="36"/>
      <c r="Z82" s="30"/>
      <c r="AA82" s="29"/>
      <c r="AB82" s="35"/>
      <c r="AC82" s="36"/>
      <c r="AD82" s="36"/>
      <c r="AE82" s="30"/>
      <c r="AF82" s="29"/>
      <c r="AG82" s="35"/>
      <c r="AH82" s="36"/>
      <c r="AI82" s="36"/>
      <c r="AJ82" s="30"/>
      <c r="AK82" s="29"/>
      <c r="AL82" s="35"/>
      <c r="AM82" s="36"/>
      <c r="AN82" s="36"/>
      <c r="AO82" s="30"/>
      <c r="AP82" s="29"/>
      <c r="AQ82" s="35"/>
      <c r="AR82" s="36"/>
      <c r="AS82" s="36"/>
      <c r="AT82" s="30"/>
      <c r="AU82" s="29"/>
      <c r="AV82" s="29"/>
      <c r="AW82" s="29"/>
      <c r="AX82" s="37"/>
      <c r="AY82" s="29"/>
      <c r="AZ82" s="38" t="str">
        <f aca="false">IF($C82="","",IF(OR(F82="Completed",F82="Cancelled"),"",IF(AND(OR(F82="On Hold",ISNUMBER(VALUE(LEFT(H82,2)))),AY82=""),"Reason not given","")))</f>
        <v/>
      </c>
      <c r="BA82" s="30"/>
    </row>
    <row r="83" customFormat="false" ht="19.5" hidden="false" customHeight="true" outlineLevel="0" collapsed="false">
      <c r="A83" s="28" t="str">
        <f aca="false">IF($C83="","",COUNTA($C$17:$C83))</f>
        <v/>
      </c>
      <c r="B83" s="29"/>
      <c r="C83" s="30"/>
      <c r="D83" s="29"/>
      <c r="E83" s="31" t="str">
        <f aca="false">IF($C83="","",IF(NOT(OR(M83="Completed",M83="NA",M83="Cancelled")),"S1 Schematic",IF(NOT(OR(R83="Completed",R83="NA",R83="Cancelled")),"S2 PCB Layout",IF(NOT(OR(W83="Completed",W83="NA",W83="Cancelled")),"S3 SI &amp; PI",IF(NOT(OR(AB83="Completed",AB83="NA",AB83="Cancelled")),"S4 Bare-PCB Fab",IF(NOT(OR(AG83="Completed",AG83="NA",AG83="Cancelled")),"S5 Assembly",IF(NOT(OR(AL83="Completed",AL83="NA",AL83="Cancelled")),"S6 Bring-up",IF(NOT(OR(AQ83="Completed",AQ83="NA",AQ83="Cancelled")),"S7 BOM Procurement","All Stages Closed"))))))))</f>
        <v/>
      </c>
      <c r="F83" s="32" t="str">
        <f aca="false">IF($C83="","",IF(COUNTIF(M83,"Cancelled")+COUNTIF(R83,"Cancelled")+COUNTIF(W83,"Cancelled")+COUNTIF(AB83,"Cancelled")+COUNTIF(AG83,"Cancelled")+COUNTIF(AL83,"Cancelled")+COUNTIF(AQ83,"Cancelled")&gt;0,"Cancelled",IF(E83="All Stages Closed","Completed",IF(E83="S1 Schematic",M83,IF(E83="S2 PCB Layout",R83,IF(E83="S3 SI &amp; PI",W83,IF(E83="S4 Bare-PCB Fab",AB83,IF(E83="S5 Assembly",AG83,IF(E83="S6 Bring-up",AL83,AQ83)))))))))</f>
        <v/>
      </c>
      <c r="G83" s="33" t="str">
        <f aca="false">IF($C83="","",IF(E83="All Stages Closed","",IF(E83="S1 Schematic",IF(N83="","Not added",N83),IF(E83="S2 PCB Layout",IF(S83="","Not added",S83),IF(E83="S3 SI &amp; PI",IF(X83="","Not added",X83),IF(E83="S4 Bare-PCB Fab",IF(AC83="","Not added",AC83),IF(E83="S5 Assembly",IF(AH83="","Not added",AH83),IF(E83="S6 Bring-up",IF(AM83="","Not added",AM83),IF(AR83="","Not added",AR83)))))))))</f>
        <v/>
      </c>
      <c r="H83" s="32" t="str">
        <f aca="true">IF($C83="","",IF(OR(F83="Completed",F83="Cancelled"),"",IF(NOT(ISNUMBER(G83)),"No date set",IF(TODAY()&gt;G83,TODAY()-G83&amp;" days late",G83-TODAY()&amp;" days left"))))</f>
        <v/>
      </c>
      <c r="I83" s="31" t="str">
        <f aca="false">IF($C83="","",COUNTIF(M83,"Completed")+COUNTIF(R83,"Completed")+COUNTIF(W83,"Completed")+COUNTIF(AB83,"Completed")+COUNTIF(AG83,"Completed")+COUNTIF(AL83,"Completed")+COUNTIF(AQ83,"Completed"))</f>
        <v/>
      </c>
      <c r="J83" s="31" t="str">
        <f aca="false">IF($C83="","",7-(COUNTIF(M83,"NA")+COUNTIF(R83,"NA")+COUNTIF(W83,"NA")+COUNTIF(AB83,"NA")+COUNTIF(AG83,"NA")+COUNTIF(AL83,"NA")+COUNTIF(AQ83,"NA")))</f>
        <v/>
      </c>
      <c r="K83" s="34" t="str">
        <f aca="false">IFERROR(I83/J83,"")</f>
        <v/>
      </c>
      <c r="L83" s="29"/>
      <c r="M83" s="35"/>
      <c r="N83" s="36"/>
      <c r="O83" s="36"/>
      <c r="P83" s="30"/>
      <c r="Q83" s="29"/>
      <c r="R83" s="35"/>
      <c r="S83" s="36"/>
      <c r="T83" s="36"/>
      <c r="U83" s="30"/>
      <c r="V83" s="29"/>
      <c r="W83" s="35"/>
      <c r="X83" s="36"/>
      <c r="Y83" s="36"/>
      <c r="Z83" s="30"/>
      <c r="AA83" s="29"/>
      <c r="AB83" s="35"/>
      <c r="AC83" s="36"/>
      <c r="AD83" s="36"/>
      <c r="AE83" s="30"/>
      <c r="AF83" s="29"/>
      <c r="AG83" s="35"/>
      <c r="AH83" s="36"/>
      <c r="AI83" s="36"/>
      <c r="AJ83" s="30"/>
      <c r="AK83" s="29"/>
      <c r="AL83" s="35"/>
      <c r="AM83" s="36"/>
      <c r="AN83" s="36"/>
      <c r="AO83" s="30"/>
      <c r="AP83" s="29"/>
      <c r="AQ83" s="35"/>
      <c r="AR83" s="36"/>
      <c r="AS83" s="36"/>
      <c r="AT83" s="30"/>
      <c r="AU83" s="29"/>
      <c r="AV83" s="29"/>
      <c r="AW83" s="29"/>
      <c r="AX83" s="37"/>
      <c r="AY83" s="29"/>
      <c r="AZ83" s="38" t="str">
        <f aca="false">IF($C83="","",IF(OR(F83="Completed",F83="Cancelled"),"",IF(AND(OR(F83="On Hold",ISNUMBER(VALUE(LEFT(H83,2)))),AY83=""),"Reason not given","")))</f>
        <v/>
      </c>
      <c r="BA83" s="30"/>
    </row>
    <row r="84" customFormat="false" ht="19.5" hidden="false" customHeight="true" outlineLevel="0" collapsed="false">
      <c r="A84" s="28" t="str">
        <f aca="false">IF($C84="","",COUNTA($C$17:$C84))</f>
        <v/>
      </c>
      <c r="B84" s="29"/>
      <c r="C84" s="30"/>
      <c r="D84" s="29"/>
      <c r="E84" s="31" t="str">
        <f aca="false">IF($C84="","",IF(NOT(OR(M84="Completed",M84="NA",M84="Cancelled")),"S1 Schematic",IF(NOT(OR(R84="Completed",R84="NA",R84="Cancelled")),"S2 PCB Layout",IF(NOT(OR(W84="Completed",W84="NA",W84="Cancelled")),"S3 SI &amp; PI",IF(NOT(OR(AB84="Completed",AB84="NA",AB84="Cancelled")),"S4 Bare-PCB Fab",IF(NOT(OR(AG84="Completed",AG84="NA",AG84="Cancelled")),"S5 Assembly",IF(NOT(OR(AL84="Completed",AL84="NA",AL84="Cancelled")),"S6 Bring-up",IF(NOT(OR(AQ84="Completed",AQ84="NA",AQ84="Cancelled")),"S7 BOM Procurement","All Stages Closed"))))))))</f>
        <v/>
      </c>
      <c r="F84" s="32" t="str">
        <f aca="false">IF($C84="","",IF(COUNTIF(M84,"Cancelled")+COUNTIF(R84,"Cancelled")+COUNTIF(W84,"Cancelled")+COUNTIF(AB84,"Cancelled")+COUNTIF(AG84,"Cancelled")+COUNTIF(AL84,"Cancelled")+COUNTIF(AQ84,"Cancelled")&gt;0,"Cancelled",IF(E84="All Stages Closed","Completed",IF(E84="S1 Schematic",M84,IF(E84="S2 PCB Layout",R84,IF(E84="S3 SI &amp; PI",W84,IF(E84="S4 Bare-PCB Fab",AB84,IF(E84="S5 Assembly",AG84,IF(E84="S6 Bring-up",AL84,AQ84)))))))))</f>
        <v/>
      </c>
      <c r="G84" s="33" t="str">
        <f aca="false">IF($C84="","",IF(E84="All Stages Closed","",IF(E84="S1 Schematic",IF(N84="","Not added",N84),IF(E84="S2 PCB Layout",IF(S84="","Not added",S84),IF(E84="S3 SI &amp; PI",IF(X84="","Not added",X84),IF(E84="S4 Bare-PCB Fab",IF(AC84="","Not added",AC84),IF(E84="S5 Assembly",IF(AH84="","Not added",AH84),IF(E84="S6 Bring-up",IF(AM84="","Not added",AM84),IF(AR84="","Not added",AR84)))))))))</f>
        <v/>
      </c>
      <c r="H84" s="32" t="str">
        <f aca="true">IF($C84="","",IF(OR(F84="Completed",F84="Cancelled"),"",IF(NOT(ISNUMBER(G84)),"No date set",IF(TODAY()&gt;G84,TODAY()-G84&amp;" days late",G84-TODAY()&amp;" days left"))))</f>
        <v/>
      </c>
      <c r="I84" s="31" t="str">
        <f aca="false">IF($C84="","",COUNTIF(M84,"Completed")+COUNTIF(R84,"Completed")+COUNTIF(W84,"Completed")+COUNTIF(AB84,"Completed")+COUNTIF(AG84,"Completed")+COUNTIF(AL84,"Completed")+COUNTIF(AQ84,"Completed"))</f>
        <v/>
      </c>
      <c r="J84" s="31" t="str">
        <f aca="false">IF($C84="","",7-(COUNTIF(M84,"NA")+COUNTIF(R84,"NA")+COUNTIF(W84,"NA")+COUNTIF(AB84,"NA")+COUNTIF(AG84,"NA")+COUNTIF(AL84,"NA")+COUNTIF(AQ84,"NA")))</f>
        <v/>
      </c>
      <c r="K84" s="34" t="str">
        <f aca="false">IFERROR(I84/J84,"")</f>
        <v/>
      </c>
      <c r="L84" s="29"/>
      <c r="M84" s="35"/>
      <c r="N84" s="36"/>
      <c r="O84" s="36"/>
      <c r="P84" s="30"/>
      <c r="Q84" s="29"/>
      <c r="R84" s="35"/>
      <c r="S84" s="36"/>
      <c r="T84" s="36"/>
      <c r="U84" s="30"/>
      <c r="V84" s="29"/>
      <c r="W84" s="35"/>
      <c r="X84" s="36"/>
      <c r="Y84" s="36"/>
      <c r="Z84" s="30"/>
      <c r="AA84" s="29"/>
      <c r="AB84" s="35"/>
      <c r="AC84" s="36"/>
      <c r="AD84" s="36"/>
      <c r="AE84" s="30"/>
      <c r="AF84" s="29"/>
      <c r="AG84" s="35"/>
      <c r="AH84" s="36"/>
      <c r="AI84" s="36"/>
      <c r="AJ84" s="30"/>
      <c r="AK84" s="29"/>
      <c r="AL84" s="35"/>
      <c r="AM84" s="36"/>
      <c r="AN84" s="36"/>
      <c r="AO84" s="30"/>
      <c r="AP84" s="29"/>
      <c r="AQ84" s="35"/>
      <c r="AR84" s="36"/>
      <c r="AS84" s="36"/>
      <c r="AT84" s="30"/>
      <c r="AU84" s="29"/>
      <c r="AV84" s="29"/>
      <c r="AW84" s="29"/>
      <c r="AX84" s="37"/>
      <c r="AY84" s="29"/>
      <c r="AZ84" s="38" t="str">
        <f aca="false">IF($C84="","",IF(OR(F84="Completed",F84="Cancelled"),"",IF(AND(OR(F84="On Hold",ISNUMBER(VALUE(LEFT(H84,2)))),AY84=""),"Reason not given","")))</f>
        <v/>
      </c>
      <c r="BA84" s="30"/>
    </row>
    <row r="85" customFormat="false" ht="19.5" hidden="false" customHeight="true" outlineLevel="0" collapsed="false">
      <c r="A85" s="28" t="str">
        <f aca="false">IF($C85="","",COUNTA($C$17:$C85))</f>
        <v/>
      </c>
      <c r="B85" s="29"/>
      <c r="C85" s="30"/>
      <c r="D85" s="29"/>
      <c r="E85" s="31" t="str">
        <f aca="false">IF($C85="","",IF(NOT(OR(M85="Completed",M85="NA",M85="Cancelled")),"S1 Schematic",IF(NOT(OR(R85="Completed",R85="NA",R85="Cancelled")),"S2 PCB Layout",IF(NOT(OR(W85="Completed",W85="NA",W85="Cancelled")),"S3 SI &amp; PI",IF(NOT(OR(AB85="Completed",AB85="NA",AB85="Cancelled")),"S4 Bare-PCB Fab",IF(NOT(OR(AG85="Completed",AG85="NA",AG85="Cancelled")),"S5 Assembly",IF(NOT(OR(AL85="Completed",AL85="NA",AL85="Cancelled")),"S6 Bring-up",IF(NOT(OR(AQ85="Completed",AQ85="NA",AQ85="Cancelled")),"S7 BOM Procurement","All Stages Closed"))))))))</f>
        <v/>
      </c>
      <c r="F85" s="32" t="str">
        <f aca="false">IF($C85="","",IF(COUNTIF(M85,"Cancelled")+COUNTIF(R85,"Cancelled")+COUNTIF(W85,"Cancelled")+COUNTIF(AB85,"Cancelled")+COUNTIF(AG85,"Cancelled")+COUNTIF(AL85,"Cancelled")+COUNTIF(AQ85,"Cancelled")&gt;0,"Cancelled",IF(E85="All Stages Closed","Completed",IF(E85="S1 Schematic",M85,IF(E85="S2 PCB Layout",R85,IF(E85="S3 SI &amp; PI",W85,IF(E85="S4 Bare-PCB Fab",AB85,IF(E85="S5 Assembly",AG85,IF(E85="S6 Bring-up",AL85,AQ85)))))))))</f>
        <v/>
      </c>
      <c r="G85" s="33" t="str">
        <f aca="false">IF($C85="","",IF(E85="All Stages Closed","",IF(E85="S1 Schematic",IF(N85="","Not added",N85),IF(E85="S2 PCB Layout",IF(S85="","Not added",S85),IF(E85="S3 SI &amp; PI",IF(X85="","Not added",X85),IF(E85="S4 Bare-PCB Fab",IF(AC85="","Not added",AC85),IF(E85="S5 Assembly",IF(AH85="","Not added",AH85),IF(E85="S6 Bring-up",IF(AM85="","Not added",AM85),IF(AR85="","Not added",AR85)))))))))</f>
        <v/>
      </c>
      <c r="H85" s="32" t="str">
        <f aca="true">IF($C85="","",IF(OR(F85="Completed",F85="Cancelled"),"",IF(NOT(ISNUMBER(G85)),"No date set",IF(TODAY()&gt;G85,TODAY()-G85&amp;" days late",G85-TODAY()&amp;" days left"))))</f>
        <v/>
      </c>
      <c r="I85" s="31" t="str">
        <f aca="false">IF($C85="","",COUNTIF(M85,"Completed")+COUNTIF(R85,"Completed")+COUNTIF(W85,"Completed")+COUNTIF(AB85,"Completed")+COUNTIF(AG85,"Completed")+COUNTIF(AL85,"Completed")+COUNTIF(AQ85,"Completed"))</f>
        <v/>
      </c>
      <c r="J85" s="31" t="str">
        <f aca="false">IF($C85="","",7-(COUNTIF(M85,"NA")+COUNTIF(R85,"NA")+COUNTIF(W85,"NA")+COUNTIF(AB85,"NA")+COUNTIF(AG85,"NA")+COUNTIF(AL85,"NA")+COUNTIF(AQ85,"NA")))</f>
        <v/>
      </c>
      <c r="K85" s="34" t="str">
        <f aca="false">IFERROR(I85/J85,"")</f>
        <v/>
      </c>
      <c r="L85" s="29"/>
      <c r="M85" s="35"/>
      <c r="N85" s="36"/>
      <c r="O85" s="36"/>
      <c r="P85" s="30"/>
      <c r="Q85" s="29"/>
      <c r="R85" s="35"/>
      <c r="S85" s="36"/>
      <c r="T85" s="36"/>
      <c r="U85" s="30"/>
      <c r="V85" s="29"/>
      <c r="W85" s="35"/>
      <c r="X85" s="36"/>
      <c r="Y85" s="36"/>
      <c r="Z85" s="30"/>
      <c r="AA85" s="29"/>
      <c r="AB85" s="35"/>
      <c r="AC85" s="36"/>
      <c r="AD85" s="36"/>
      <c r="AE85" s="30"/>
      <c r="AF85" s="29"/>
      <c r="AG85" s="35"/>
      <c r="AH85" s="36"/>
      <c r="AI85" s="36"/>
      <c r="AJ85" s="30"/>
      <c r="AK85" s="29"/>
      <c r="AL85" s="35"/>
      <c r="AM85" s="36"/>
      <c r="AN85" s="36"/>
      <c r="AO85" s="30"/>
      <c r="AP85" s="29"/>
      <c r="AQ85" s="35"/>
      <c r="AR85" s="36"/>
      <c r="AS85" s="36"/>
      <c r="AT85" s="30"/>
      <c r="AU85" s="29"/>
      <c r="AV85" s="29"/>
      <c r="AW85" s="29"/>
      <c r="AX85" s="37"/>
      <c r="AY85" s="29"/>
      <c r="AZ85" s="38" t="str">
        <f aca="false">IF($C85="","",IF(OR(F85="Completed",F85="Cancelled"),"",IF(AND(OR(F85="On Hold",ISNUMBER(VALUE(LEFT(H85,2)))),AY85=""),"Reason not given","")))</f>
        <v/>
      </c>
      <c r="BA85" s="30"/>
    </row>
    <row r="86" customFormat="false" ht="19.5" hidden="false" customHeight="true" outlineLevel="0" collapsed="false">
      <c r="A86" s="28" t="str">
        <f aca="false">IF($C86="","",COUNTA($C$17:$C86))</f>
        <v/>
      </c>
      <c r="B86" s="29"/>
      <c r="C86" s="30"/>
      <c r="D86" s="29"/>
      <c r="E86" s="31" t="str">
        <f aca="false">IF($C86="","",IF(NOT(OR(M86="Completed",M86="NA",M86="Cancelled")),"S1 Schematic",IF(NOT(OR(R86="Completed",R86="NA",R86="Cancelled")),"S2 PCB Layout",IF(NOT(OR(W86="Completed",W86="NA",W86="Cancelled")),"S3 SI &amp; PI",IF(NOT(OR(AB86="Completed",AB86="NA",AB86="Cancelled")),"S4 Bare-PCB Fab",IF(NOT(OR(AG86="Completed",AG86="NA",AG86="Cancelled")),"S5 Assembly",IF(NOT(OR(AL86="Completed",AL86="NA",AL86="Cancelled")),"S6 Bring-up",IF(NOT(OR(AQ86="Completed",AQ86="NA",AQ86="Cancelled")),"S7 BOM Procurement","All Stages Closed"))))))))</f>
        <v/>
      </c>
      <c r="F86" s="32" t="str">
        <f aca="false">IF($C86="","",IF(COUNTIF(M86,"Cancelled")+COUNTIF(R86,"Cancelled")+COUNTIF(W86,"Cancelled")+COUNTIF(AB86,"Cancelled")+COUNTIF(AG86,"Cancelled")+COUNTIF(AL86,"Cancelled")+COUNTIF(AQ86,"Cancelled")&gt;0,"Cancelled",IF(E86="All Stages Closed","Completed",IF(E86="S1 Schematic",M86,IF(E86="S2 PCB Layout",R86,IF(E86="S3 SI &amp; PI",W86,IF(E86="S4 Bare-PCB Fab",AB86,IF(E86="S5 Assembly",AG86,IF(E86="S6 Bring-up",AL86,AQ86)))))))))</f>
        <v/>
      </c>
      <c r="G86" s="33" t="str">
        <f aca="false">IF($C86="","",IF(E86="All Stages Closed","",IF(E86="S1 Schematic",IF(N86="","Not added",N86),IF(E86="S2 PCB Layout",IF(S86="","Not added",S86),IF(E86="S3 SI &amp; PI",IF(X86="","Not added",X86),IF(E86="S4 Bare-PCB Fab",IF(AC86="","Not added",AC86),IF(E86="S5 Assembly",IF(AH86="","Not added",AH86),IF(E86="S6 Bring-up",IF(AM86="","Not added",AM86),IF(AR86="","Not added",AR86)))))))))</f>
        <v/>
      </c>
      <c r="H86" s="32" t="str">
        <f aca="true">IF($C86="","",IF(OR(F86="Completed",F86="Cancelled"),"",IF(NOT(ISNUMBER(G86)),"No date set",IF(TODAY()&gt;G86,TODAY()-G86&amp;" days late",G86-TODAY()&amp;" days left"))))</f>
        <v/>
      </c>
      <c r="I86" s="31" t="str">
        <f aca="false">IF($C86="","",COUNTIF(M86,"Completed")+COUNTIF(R86,"Completed")+COUNTIF(W86,"Completed")+COUNTIF(AB86,"Completed")+COUNTIF(AG86,"Completed")+COUNTIF(AL86,"Completed")+COUNTIF(AQ86,"Completed"))</f>
        <v/>
      </c>
      <c r="J86" s="31" t="str">
        <f aca="false">IF($C86="","",7-(COUNTIF(M86,"NA")+COUNTIF(R86,"NA")+COUNTIF(W86,"NA")+COUNTIF(AB86,"NA")+COUNTIF(AG86,"NA")+COUNTIF(AL86,"NA")+COUNTIF(AQ86,"NA")))</f>
        <v/>
      </c>
      <c r="K86" s="34" t="str">
        <f aca="false">IFERROR(I86/J86,"")</f>
        <v/>
      </c>
      <c r="L86" s="29"/>
      <c r="M86" s="35"/>
      <c r="N86" s="36"/>
      <c r="O86" s="36"/>
      <c r="P86" s="30"/>
      <c r="Q86" s="29"/>
      <c r="R86" s="35"/>
      <c r="S86" s="36"/>
      <c r="T86" s="36"/>
      <c r="U86" s="30"/>
      <c r="V86" s="29"/>
      <c r="W86" s="35"/>
      <c r="X86" s="36"/>
      <c r="Y86" s="36"/>
      <c r="Z86" s="30"/>
      <c r="AA86" s="29"/>
      <c r="AB86" s="35"/>
      <c r="AC86" s="36"/>
      <c r="AD86" s="36"/>
      <c r="AE86" s="30"/>
      <c r="AF86" s="29"/>
      <c r="AG86" s="35"/>
      <c r="AH86" s="36"/>
      <c r="AI86" s="36"/>
      <c r="AJ86" s="30"/>
      <c r="AK86" s="29"/>
      <c r="AL86" s="35"/>
      <c r="AM86" s="36"/>
      <c r="AN86" s="36"/>
      <c r="AO86" s="30"/>
      <c r="AP86" s="29"/>
      <c r="AQ86" s="35"/>
      <c r="AR86" s="36"/>
      <c r="AS86" s="36"/>
      <c r="AT86" s="30"/>
      <c r="AU86" s="29"/>
      <c r="AV86" s="29"/>
      <c r="AW86" s="29"/>
      <c r="AX86" s="37"/>
      <c r="AY86" s="29"/>
      <c r="AZ86" s="38" t="str">
        <f aca="false">IF($C86="","",IF(OR(F86="Completed",F86="Cancelled"),"",IF(AND(OR(F86="On Hold",ISNUMBER(VALUE(LEFT(H86,2)))),AY86=""),"Reason not given","")))</f>
        <v/>
      </c>
      <c r="BA86" s="30"/>
    </row>
    <row r="87" customFormat="false" ht="19.5" hidden="false" customHeight="true" outlineLevel="0" collapsed="false">
      <c r="A87" s="28" t="str">
        <f aca="false">IF($C87="","",COUNTA($C$17:$C87))</f>
        <v/>
      </c>
      <c r="B87" s="29"/>
      <c r="C87" s="30"/>
      <c r="D87" s="29"/>
      <c r="E87" s="31" t="str">
        <f aca="false">IF($C87="","",IF(NOT(OR(M87="Completed",M87="NA",M87="Cancelled")),"S1 Schematic",IF(NOT(OR(R87="Completed",R87="NA",R87="Cancelled")),"S2 PCB Layout",IF(NOT(OR(W87="Completed",W87="NA",W87="Cancelled")),"S3 SI &amp; PI",IF(NOT(OR(AB87="Completed",AB87="NA",AB87="Cancelled")),"S4 Bare-PCB Fab",IF(NOT(OR(AG87="Completed",AG87="NA",AG87="Cancelled")),"S5 Assembly",IF(NOT(OR(AL87="Completed",AL87="NA",AL87="Cancelled")),"S6 Bring-up",IF(NOT(OR(AQ87="Completed",AQ87="NA",AQ87="Cancelled")),"S7 BOM Procurement","All Stages Closed"))))))))</f>
        <v/>
      </c>
      <c r="F87" s="32" t="str">
        <f aca="false">IF($C87="","",IF(COUNTIF(M87,"Cancelled")+COUNTIF(R87,"Cancelled")+COUNTIF(W87,"Cancelled")+COUNTIF(AB87,"Cancelled")+COUNTIF(AG87,"Cancelled")+COUNTIF(AL87,"Cancelled")+COUNTIF(AQ87,"Cancelled")&gt;0,"Cancelled",IF(E87="All Stages Closed","Completed",IF(E87="S1 Schematic",M87,IF(E87="S2 PCB Layout",R87,IF(E87="S3 SI &amp; PI",W87,IF(E87="S4 Bare-PCB Fab",AB87,IF(E87="S5 Assembly",AG87,IF(E87="S6 Bring-up",AL87,AQ87)))))))))</f>
        <v/>
      </c>
      <c r="G87" s="33" t="str">
        <f aca="false">IF($C87="","",IF(E87="All Stages Closed","",IF(E87="S1 Schematic",IF(N87="","Not added",N87),IF(E87="S2 PCB Layout",IF(S87="","Not added",S87),IF(E87="S3 SI &amp; PI",IF(X87="","Not added",X87),IF(E87="S4 Bare-PCB Fab",IF(AC87="","Not added",AC87),IF(E87="S5 Assembly",IF(AH87="","Not added",AH87),IF(E87="S6 Bring-up",IF(AM87="","Not added",AM87),IF(AR87="","Not added",AR87)))))))))</f>
        <v/>
      </c>
      <c r="H87" s="32" t="str">
        <f aca="true">IF($C87="","",IF(OR(F87="Completed",F87="Cancelled"),"",IF(NOT(ISNUMBER(G87)),"No date set",IF(TODAY()&gt;G87,TODAY()-G87&amp;" days late",G87-TODAY()&amp;" days left"))))</f>
        <v/>
      </c>
      <c r="I87" s="31" t="str">
        <f aca="false">IF($C87="","",COUNTIF(M87,"Completed")+COUNTIF(R87,"Completed")+COUNTIF(W87,"Completed")+COUNTIF(AB87,"Completed")+COUNTIF(AG87,"Completed")+COUNTIF(AL87,"Completed")+COUNTIF(AQ87,"Completed"))</f>
        <v/>
      </c>
      <c r="J87" s="31" t="str">
        <f aca="false">IF($C87="","",7-(COUNTIF(M87,"NA")+COUNTIF(R87,"NA")+COUNTIF(W87,"NA")+COUNTIF(AB87,"NA")+COUNTIF(AG87,"NA")+COUNTIF(AL87,"NA")+COUNTIF(AQ87,"NA")))</f>
        <v/>
      </c>
      <c r="K87" s="34" t="str">
        <f aca="false">IFERROR(I87/J87,"")</f>
        <v/>
      </c>
      <c r="L87" s="29"/>
      <c r="M87" s="35"/>
      <c r="N87" s="36"/>
      <c r="O87" s="36"/>
      <c r="P87" s="30"/>
      <c r="Q87" s="29"/>
      <c r="R87" s="35"/>
      <c r="S87" s="36"/>
      <c r="T87" s="36"/>
      <c r="U87" s="30"/>
      <c r="V87" s="29"/>
      <c r="W87" s="35"/>
      <c r="X87" s="36"/>
      <c r="Y87" s="36"/>
      <c r="Z87" s="30"/>
      <c r="AA87" s="29"/>
      <c r="AB87" s="35"/>
      <c r="AC87" s="36"/>
      <c r="AD87" s="36"/>
      <c r="AE87" s="30"/>
      <c r="AF87" s="29"/>
      <c r="AG87" s="35"/>
      <c r="AH87" s="36"/>
      <c r="AI87" s="36"/>
      <c r="AJ87" s="30"/>
      <c r="AK87" s="29"/>
      <c r="AL87" s="35"/>
      <c r="AM87" s="36"/>
      <c r="AN87" s="36"/>
      <c r="AO87" s="30"/>
      <c r="AP87" s="29"/>
      <c r="AQ87" s="35"/>
      <c r="AR87" s="36"/>
      <c r="AS87" s="36"/>
      <c r="AT87" s="30"/>
      <c r="AU87" s="29"/>
      <c r="AV87" s="29"/>
      <c r="AW87" s="29"/>
      <c r="AX87" s="37"/>
      <c r="AY87" s="29"/>
      <c r="AZ87" s="38" t="str">
        <f aca="false">IF($C87="","",IF(OR(F87="Completed",F87="Cancelled"),"",IF(AND(OR(F87="On Hold",ISNUMBER(VALUE(LEFT(H87,2)))),AY87=""),"Reason not given","")))</f>
        <v/>
      </c>
      <c r="BA87" s="30"/>
    </row>
    <row r="88" customFormat="false" ht="19.5" hidden="false" customHeight="true" outlineLevel="0" collapsed="false">
      <c r="A88" s="28" t="str">
        <f aca="false">IF($C88="","",COUNTA($C$17:$C88))</f>
        <v/>
      </c>
      <c r="B88" s="29"/>
      <c r="C88" s="30"/>
      <c r="D88" s="29"/>
      <c r="E88" s="31" t="str">
        <f aca="false">IF($C88="","",IF(NOT(OR(M88="Completed",M88="NA",M88="Cancelled")),"S1 Schematic",IF(NOT(OR(R88="Completed",R88="NA",R88="Cancelled")),"S2 PCB Layout",IF(NOT(OR(W88="Completed",W88="NA",W88="Cancelled")),"S3 SI &amp; PI",IF(NOT(OR(AB88="Completed",AB88="NA",AB88="Cancelled")),"S4 Bare-PCB Fab",IF(NOT(OR(AG88="Completed",AG88="NA",AG88="Cancelled")),"S5 Assembly",IF(NOT(OR(AL88="Completed",AL88="NA",AL88="Cancelled")),"S6 Bring-up",IF(NOT(OR(AQ88="Completed",AQ88="NA",AQ88="Cancelled")),"S7 BOM Procurement","All Stages Closed"))))))))</f>
        <v/>
      </c>
      <c r="F88" s="32" t="str">
        <f aca="false">IF($C88="","",IF(COUNTIF(M88,"Cancelled")+COUNTIF(R88,"Cancelled")+COUNTIF(W88,"Cancelled")+COUNTIF(AB88,"Cancelled")+COUNTIF(AG88,"Cancelled")+COUNTIF(AL88,"Cancelled")+COUNTIF(AQ88,"Cancelled")&gt;0,"Cancelled",IF(E88="All Stages Closed","Completed",IF(E88="S1 Schematic",M88,IF(E88="S2 PCB Layout",R88,IF(E88="S3 SI &amp; PI",W88,IF(E88="S4 Bare-PCB Fab",AB88,IF(E88="S5 Assembly",AG88,IF(E88="S6 Bring-up",AL88,AQ88)))))))))</f>
        <v/>
      </c>
      <c r="G88" s="33" t="str">
        <f aca="false">IF($C88="","",IF(E88="All Stages Closed","",IF(E88="S1 Schematic",IF(N88="","Not added",N88),IF(E88="S2 PCB Layout",IF(S88="","Not added",S88),IF(E88="S3 SI &amp; PI",IF(X88="","Not added",X88),IF(E88="S4 Bare-PCB Fab",IF(AC88="","Not added",AC88),IF(E88="S5 Assembly",IF(AH88="","Not added",AH88),IF(E88="S6 Bring-up",IF(AM88="","Not added",AM88),IF(AR88="","Not added",AR88)))))))))</f>
        <v/>
      </c>
      <c r="H88" s="32" t="str">
        <f aca="true">IF($C88="","",IF(OR(F88="Completed",F88="Cancelled"),"",IF(NOT(ISNUMBER(G88)),"No date set",IF(TODAY()&gt;G88,TODAY()-G88&amp;" days late",G88-TODAY()&amp;" days left"))))</f>
        <v/>
      </c>
      <c r="I88" s="31" t="str">
        <f aca="false">IF($C88="","",COUNTIF(M88,"Completed")+COUNTIF(R88,"Completed")+COUNTIF(W88,"Completed")+COUNTIF(AB88,"Completed")+COUNTIF(AG88,"Completed")+COUNTIF(AL88,"Completed")+COUNTIF(AQ88,"Completed"))</f>
        <v/>
      </c>
      <c r="J88" s="31" t="str">
        <f aca="false">IF($C88="","",7-(COUNTIF(M88,"NA")+COUNTIF(R88,"NA")+COUNTIF(W88,"NA")+COUNTIF(AB88,"NA")+COUNTIF(AG88,"NA")+COUNTIF(AL88,"NA")+COUNTIF(AQ88,"NA")))</f>
        <v/>
      </c>
      <c r="K88" s="34" t="str">
        <f aca="false">IFERROR(I88/J88,"")</f>
        <v/>
      </c>
      <c r="L88" s="29"/>
      <c r="M88" s="35"/>
      <c r="N88" s="36"/>
      <c r="O88" s="36"/>
      <c r="P88" s="30"/>
      <c r="Q88" s="29"/>
      <c r="R88" s="35"/>
      <c r="S88" s="36"/>
      <c r="T88" s="36"/>
      <c r="U88" s="30"/>
      <c r="V88" s="29"/>
      <c r="W88" s="35"/>
      <c r="X88" s="36"/>
      <c r="Y88" s="36"/>
      <c r="Z88" s="30"/>
      <c r="AA88" s="29"/>
      <c r="AB88" s="35"/>
      <c r="AC88" s="36"/>
      <c r="AD88" s="36"/>
      <c r="AE88" s="30"/>
      <c r="AF88" s="29"/>
      <c r="AG88" s="35"/>
      <c r="AH88" s="36"/>
      <c r="AI88" s="36"/>
      <c r="AJ88" s="30"/>
      <c r="AK88" s="29"/>
      <c r="AL88" s="35"/>
      <c r="AM88" s="36"/>
      <c r="AN88" s="36"/>
      <c r="AO88" s="30"/>
      <c r="AP88" s="29"/>
      <c r="AQ88" s="35"/>
      <c r="AR88" s="36"/>
      <c r="AS88" s="36"/>
      <c r="AT88" s="30"/>
      <c r="AU88" s="29"/>
      <c r="AV88" s="29"/>
      <c r="AW88" s="29"/>
      <c r="AX88" s="37"/>
      <c r="AY88" s="29"/>
      <c r="AZ88" s="38" t="str">
        <f aca="false">IF($C88="","",IF(OR(F88="Completed",F88="Cancelled"),"",IF(AND(OR(F88="On Hold",ISNUMBER(VALUE(LEFT(H88,2)))),AY88=""),"Reason not given","")))</f>
        <v/>
      </c>
      <c r="BA88" s="30"/>
    </row>
    <row r="89" customFormat="false" ht="19.5" hidden="false" customHeight="true" outlineLevel="0" collapsed="false">
      <c r="A89" s="28" t="str">
        <f aca="false">IF($C89="","",COUNTA($C$17:$C89))</f>
        <v/>
      </c>
      <c r="B89" s="29"/>
      <c r="C89" s="30"/>
      <c r="D89" s="29"/>
      <c r="E89" s="31" t="str">
        <f aca="false">IF($C89="","",IF(NOT(OR(M89="Completed",M89="NA",M89="Cancelled")),"S1 Schematic",IF(NOT(OR(R89="Completed",R89="NA",R89="Cancelled")),"S2 PCB Layout",IF(NOT(OR(W89="Completed",W89="NA",W89="Cancelled")),"S3 SI &amp; PI",IF(NOT(OR(AB89="Completed",AB89="NA",AB89="Cancelled")),"S4 Bare-PCB Fab",IF(NOT(OR(AG89="Completed",AG89="NA",AG89="Cancelled")),"S5 Assembly",IF(NOT(OR(AL89="Completed",AL89="NA",AL89="Cancelled")),"S6 Bring-up",IF(NOT(OR(AQ89="Completed",AQ89="NA",AQ89="Cancelled")),"S7 BOM Procurement","All Stages Closed"))))))))</f>
        <v/>
      </c>
      <c r="F89" s="32" t="str">
        <f aca="false">IF($C89="","",IF(COUNTIF(M89,"Cancelled")+COUNTIF(R89,"Cancelled")+COUNTIF(W89,"Cancelled")+COUNTIF(AB89,"Cancelled")+COUNTIF(AG89,"Cancelled")+COUNTIF(AL89,"Cancelled")+COUNTIF(AQ89,"Cancelled")&gt;0,"Cancelled",IF(E89="All Stages Closed","Completed",IF(E89="S1 Schematic",M89,IF(E89="S2 PCB Layout",R89,IF(E89="S3 SI &amp; PI",W89,IF(E89="S4 Bare-PCB Fab",AB89,IF(E89="S5 Assembly",AG89,IF(E89="S6 Bring-up",AL89,AQ89)))))))))</f>
        <v/>
      </c>
      <c r="G89" s="33" t="str">
        <f aca="false">IF($C89="","",IF(E89="All Stages Closed","",IF(E89="S1 Schematic",IF(N89="","Not added",N89),IF(E89="S2 PCB Layout",IF(S89="","Not added",S89),IF(E89="S3 SI &amp; PI",IF(X89="","Not added",X89),IF(E89="S4 Bare-PCB Fab",IF(AC89="","Not added",AC89),IF(E89="S5 Assembly",IF(AH89="","Not added",AH89),IF(E89="S6 Bring-up",IF(AM89="","Not added",AM89),IF(AR89="","Not added",AR89)))))))))</f>
        <v/>
      </c>
      <c r="H89" s="32" t="str">
        <f aca="true">IF($C89="","",IF(OR(F89="Completed",F89="Cancelled"),"",IF(NOT(ISNUMBER(G89)),"No date set",IF(TODAY()&gt;G89,TODAY()-G89&amp;" days late",G89-TODAY()&amp;" days left"))))</f>
        <v/>
      </c>
      <c r="I89" s="31" t="str">
        <f aca="false">IF($C89="","",COUNTIF(M89,"Completed")+COUNTIF(R89,"Completed")+COUNTIF(W89,"Completed")+COUNTIF(AB89,"Completed")+COUNTIF(AG89,"Completed")+COUNTIF(AL89,"Completed")+COUNTIF(AQ89,"Completed"))</f>
        <v/>
      </c>
      <c r="J89" s="31" t="str">
        <f aca="false">IF($C89="","",7-(COUNTIF(M89,"NA")+COUNTIF(R89,"NA")+COUNTIF(W89,"NA")+COUNTIF(AB89,"NA")+COUNTIF(AG89,"NA")+COUNTIF(AL89,"NA")+COUNTIF(AQ89,"NA")))</f>
        <v/>
      </c>
      <c r="K89" s="34" t="str">
        <f aca="false">IFERROR(I89/J89,"")</f>
        <v/>
      </c>
      <c r="L89" s="29"/>
      <c r="M89" s="35"/>
      <c r="N89" s="36"/>
      <c r="O89" s="36"/>
      <c r="P89" s="30"/>
      <c r="Q89" s="29"/>
      <c r="R89" s="35"/>
      <c r="S89" s="36"/>
      <c r="T89" s="36"/>
      <c r="U89" s="30"/>
      <c r="V89" s="29"/>
      <c r="W89" s="35"/>
      <c r="X89" s="36"/>
      <c r="Y89" s="36"/>
      <c r="Z89" s="30"/>
      <c r="AA89" s="29"/>
      <c r="AB89" s="35"/>
      <c r="AC89" s="36"/>
      <c r="AD89" s="36"/>
      <c r="AE89" s="30"/>
      <c r="AF89" s="29"/>
      <c r="AG89" s="35"/>
      <c r="AH89" s="36"/>
      <c r="AI89" s="36"/>
      <c r="AJ89" s="30"/>
      <c r="AK89" s="29"/>
      <c r="AL89" s="35"/>
      <c r="AM89" s="36"/>
      <c r="AN89" s="36"/>
      <c r="AO89" s="30"/>
      <c r="AP89" s="29"/>
      <c r="AQ89" s="35"/>
      <c r="AR89" s="36"/>
      <c r="AS89" s="36"/>
      <c r="AT89" s="30"/>
      <c r="AU89" s="29"/>
      <c r="AV89" s="29"/>
      <c r="AW89" s="29"/>
      <c r="AX89" s="37"/>
      <c r="AY89" s="29"/>
      <c r="AZ89" s="38" t="str">
        <f aca="false">IF($C89="","",IF(OR(F89="Completed",F89="Cancelled"),"",IF(AND(OR(F89="On Hold",ISNUMBER(VALUE(LEFT(H89,2)))),AY89=""),"Reason not given","")))</f>
        <v/>
      </c>
      <c r="BA89" s="30"/>
    </row>
    <row r="90" customFormat="false" ht="19.5" hidden="false" customHeight="true" outlineLevel="0" collapsed="false">
      <c r="A90" s="28" t="str">
        <f aca="false">IF($C90="","",COUNTA($C$17:$C90))</f>
        <v/>
      </c>
      <c r="B90" s="29"/>
      <c r="C90" s="30"/>
      <c r="D90" s="29"/>
      <c r="E90" s="31" t="str">
        <f aca="false">IF($C90="","",IF(NOT(OR(M90="Completed",M90="NA",M90="Cancelled")),"S1 Schematic",IF(NOT(OR(R90="Completed",R90="NA",R90="Cancelled")),"S2 PCB Layout",IF(NOT(OR(W90="Completed",W90="NA",W90="Cancelled")),"S3 SI &amp; PI",IF(NOT(OR(AB90="Completed",AB90="NA",AB90="Cancelled")),"S4 Bare-PCB Fab",IF(NOT(OR(AG90="Completed",AG90="NA",AG90="Cancelled")),"S5 Assembly",IF(NOT(OR(AL90="Completed",AL90="NA",AL90="Cancelled")),"S6 Bring-up",IF(NOT(OR(AQ90="Completed",AQ90="NA",AQ90="Cancelled")),"S7 BOM Procurement","All Stages Closed"))))))))</f>
        <v/>
      </c>
      <c r="F90" s="32" t="str">
        <f aca="false">IF($C90="","",IF(COUNTIF(M90,"Cancelled")+COUNTIF(R90,"Cancelled")+COUNTIF(W90,"Cancelled")+COUNTIF(AB90,"Cancelled")+COUNTIF(AG90,"Cancelled")+COUNTIF(AL90,"Cancelled")+COUNTIF(AQ90,"Cancelled")&gt;0,"Cancelled",IF(E90="All Stages Closed","Completed",IF(E90="S1 Schematic",M90,IF(E90="S2 PCB Layout",R90,IF(E90="S3 SI &amp; PI",W90,IF(E90="S4 Bare-PCB Fab",AB90,IF(E90="S5 Assembly",AG90,IF(E90="S6 Bring-up",AL90,AQ90)))))))))</f>
        <v/>
      </c>
      <c r="G90" s="33" t="str">
        <f aca="false">IF($C90="","",IF(E90="All Stages Closed","",IF(E90="S1 Schematic",IF(N90="","Not added",N90),IF(E90="S2 PCB Layout",IF(S90="","Not added",S90),IF(E90="S3 SI &amp; PI",IF(X90="","Not added",X90),IF(E90="S4 Bare-PCB Fab",IF(AC90="","Not added",AC90),IF(E90="S5 Assembly",IF(AH90="","Not added",AH90),IF(E90="S6 Bring-up",IF(AM90="","Not added",AM90),IF(AR90="","Not added",AR90)))))))))</f>
        <v/>
      </c>
      <c r="H90" s="32" t="str">
        <f aca="true">IF($C90="","",IF(OR(F90="Completed",F90="Cancelled"),"",IF(NOT(ISNUMBER(G90)),"No date set",IF(TODAY()&gt;G90,TODAY()-G90&amp;" days late",G90-TODAY()&amp;" days left"))))</f>
        <v/>
      </c>
      <c r="I90" s="31" t="str">
        <f aca="false">IF($C90="","",COUNTIF(M90,"Completed")+COUNTIF(R90,"Completed")+COUNTIF(W90,"Completed")+COUNTIF(AB90,"Completed")+COUNTIF(AG90,"Completed")+COUNTIF(AL90,"Completed")+COUNTIF(AQ90,"Completed"))</f>
        <v/>
      </c>
      <c r="J90" s="31" t="str">
        <f aca="false">IF($C90="","",7-(COUNTIF(M90,"NA")+COUNTIF(R90,"NA")+COUNTIF(W90,"NA")+COUNTIF(AB90,"NA")+COUNTIF(AG90,"NA")+COUNTIF(AL90,"NA")+COUNTIF(AQ90,"NA")))</f>
        <v/>
      </c>
      <c r="K90" s="34" t="str">
        <f aca="false">IFERROR(I90/J90,"")</f>
        <v/>
      </c>
      <c r="L90" s="29"/>
      <c r="M90" s="35"/>
      <c r="N90" s="36"/>
      <c r="O90" s="36"/>
      <c r="P90" s="30"/>
      <c r="Q90" s="29"/>
      <c r="R90" s="35"/>
      <c r="S90" s="36"/>
      <c r="T90" s="36"/>
      <c r="U90" s="30"/>
      <c r="V90" s="29"/>
      <c r="W90" s="35"/>
      <c r="X90" s="36"/>
      <c r="Y90" s="36"/>
      <c r="Z90" s="30"/>
      <c r="AA90" s="29"/>
      <c r="AB90" s="35"/>
      <c r="AC90" s="36"/>
      <c r="AD90" s="36"/>
      <c r="AE90" s="30"/>
      <c r="AF90" s="29"/>
      <c r="AG90" s="35"/>
      <c r="AH90" s="36"/>
      <c r="AI90" s="36"/>
      <c r="AJ90" s="30"/>
      <c r="AK90" s="29"/>
      <c r="AL90" s="35"/>
      <c r="AM90" s="36"/>
      <c r="AN90" s="36"/>
      <c r="AO90" s="30"/>
      <c r="AP90" s="29"/>
      <c r="AQ90" s="35"/>
      <c r="AR90" s="36"/>
      <c r="AS90" s="36"/>
      <c r="AT90" s="30"/>
      <c r="AU90" s="29"/>
      <c r="AV90" s="29"/>
      <c r="AW90" s="29"/>
      <c r="AX90" s="37"/>
      <c r="AY90" s="29"/>
      <c r="AZ90" s="38" t="str">
        <f aca="false">IF($C90="","",IF(OR(F90="Completed",F90="Cancelled"),"",IF(AND(OR(F90="On Hold",ISNUMBER(VALUE(LEFT(H90,2)))),AY90=""),"Reason not given","")))</f>
        <v/>
      </c>
      <c r="BA90" s="30"/>
    </row>
    <row r="91" customFormat="false" ht="19.5" hidden="false" customHeight="true" outlineLevel="0" collapsed="false">
      <c r="A91" s="28" t="str">
        <f aca="false">IF($C91="","",COUNTA($C$17:$C91))</f>
        <v/>
      </c>
      <c r="B91" s="29"/>
      <c r="C91" s="30"/>
      <c r="D91" s="29"/>
      <c r="E91" s="31" t="str">
        <f aca="false">IF($C91="","",IF(NOT(OR(M91="Completed",M91="NA",M91="Cancelled")),"S1 Schematic",IF(NOT(OR(R91="Completed",R91="NA",R91="Cancelled")),"S2 PCB Layout",IF(NOT(OR(W91="Completed",W91="NA",W91="Cancelled")),"S3 SI &amp; PI",IF(NOT(OR(AB91="Completed",AB91="NA",AB91="Cancelled")),"S4 Bare-PCB Fab",IF(NOT(OR(AG91="Completed",AG91="NA",AG91="Cancelled")),"S5 Assembly",IF(NOT(OR(AL91="Completed",AL91="NA",AL91="Cancelled")),"S6 Bring-up",IF(NOT(OR(AQ91="Completed",AQ91="NA",AQ91="Cancelled")),"S7 BOM Procurement","All Stages Closed"))))))))</f>
        <v/>
      </c>
      <c r="F91" s="32" t="str">
        <f aca="false">IF($C91="","",IF(COUNTIF(M91,"Cancelled")+COUNTIF(R91,"Cancelled")+COUNTIF(W91,"Cancelled")+COUNTIF(AB91,"Cancelled")+COUNTIF(AG91,"Cancelled")+COUNTIF(AL91,"Cancelled")+COUNTIF(AQ91,"Cancelled")&gt;0,"Cancelled",IF(E91="All Stages Closed","Completed",IF(E91="S1 Schematic",M91,IF(E91="S2 PCB Layout",R91,IF(E91="S3 SI &amp; PI",W91,IF(E91="S4 Bare-PCB Fab",AB91,IF(E91="S5 Assembly",AG91,IF(E91="S6 Bring-up",AL91,AQ91)))))))))</f>
        <v/>
      </c>
      <c r="G91" s="33" t="str">
        <f aca="false">IF($C91="","",IF(E91="All Stages Closed","",IF(E91="S1 Schematic",IF(N91="","Not added",N91),IF(E91="S2 PCB Layout",IF(S91="","Not added",S91),IF(E91="S3 SI &amp; PI",IF(X91="","Not added",X91),IF(E91="S4 Bare-PCB Fab",IF(AC91="","Not added",AC91),IF(E91="S5 Assembly",IF(AH91="","Not added",AH91),IF(E91="S6 Bring-up",IF(AM91="","Not added",AM91),IF(AR91="","Not added",AR91)))))))))</f>
        <v/>
      </c>
      <c r="H91" s="32" t="str">
        <f aca="true">IF($C91="","",IF(OR(F91="Completed",F91="Cancelled"),"",IF(NOT(ISNUMBER(G91)),"No date set",IF(TODAY()&gt;G91,TODAY()-G91&amp;" days late",G91-TODAY()&amp;" days left"))))</f>
        <v/>
      </c>
      <c r="I91" s="31" t="str">
        <f aca="false">IF($C91="","",COUNTIF(M91,"Completed")+COUNTIF(R91,"Completed")+COUNTIF(W91,"Completed")+COUNTIF(AB91,"Completed")+COUNTIF(AG91,"Completed")+COUNTIF(AL91,"Completed")+COUNTIF(AQ91,"Completed"))</f>
        <v/>
      </c>
      <c r="J91" s="31" t="str">
        <f aca="false">IF($C91="","",7-(COUNTIF(M91,"NA")+COUNTIF(R91,"NA")+COUNTIF(W91,"NA")+COUNTIF(AB91,"NA")+COUNTIF(AG91,"NA")+COUNTIF(AL91,"NA")+COUNTIF(AQ91,"NA")))</f>
        <v/>
      </c>
      <c r="K91" s="34" t="str">
        <f aca="false">IFERROR(I91/J91,"")</f>
        <v/>
      </c>
      <c r="L91" s="29"/>
      <c r="M91" s="35"/>
      <c r="N91" s="36"/>
      <c r="O91" s="36"/>
      <c r="P91" s="30"/>
      <c r="Q91" s="29"/>
      <c r="R91" s="35"/>
      <c r="S91" s="36"/>
      <c r="T91" s="36"/>
      <c r="U91" s="30"/>
      <c r="V91" s="29"/>
      <c r="W91" s="35"/>
      <c r="X91" s="36"/>
      <c r="Y91" s="36"/>
      <c r="Z91" s="30"/>
      <c r="AA91" s="29"/>
      <c r="AB91" s="35"/>
      <c r="AC91" s="36"/>
      <c r="AD91" s="36"/>
      <c r="AE91" s="30"/>
      <c r="AF91" s="29"/>
      <c r="AG91" s="35"/>
      <c r="AH91" s="36"/>
      <c r="AI91" s="36"/>
      <c r="AJ91" s="30"/>
      <c r="AK91" s="29"/>
      <c r="AL91" s="35"/>
      <c r="AM91" s="36"/>
      <c r="AN91" s="36"/>
      <c r="AO91" s="30"/>
      <c r="AP91" s="29"/>
      <c r="AQ91" s="35"/>
      <c r="AR91" s="36"/>
      <c r="AS91" s="36"/>
      <c r="AT91" s="30"/>
      <c r="AU91" s="29"/>
      <c r="AV91" s="29"/>
      <c r="AW91" s="29"/>
      <c r="AX91" s="37"/>
      <c r="AY91" s="29"/>
      <c r="AZ91" s="38" t="str">
        <f aca="false">IF($C91="","",IF(OR(F91="Completed",F91="Cancelled"),"",IF(AND(OR(F91="On Hold",ISNUMBER(VALUE(LEFT(H91,2)))),AY91=""),"Reason not given","")))</f>
        <v/>
      </c>
      <c r="BA91" s="30"/>
    </row>
    <row r="92" customFormat="false" ht="19.5" hidden="false" customHeight="true" outlineLevel="0" collapsed="false">
      <c r="A92" s="28" t="str">
        <f aca="false">IF($C92="","",COUNTA($C$17:$C92))</f>
        <v/>
      </c>
      <c r="B92" s="29"/>
      <c r="C92" s="30"/>
      <c r="D92" s="29"/>
      <c r="E92" s="31" t="str">
        <f aca="false">IF($C92="","",IF(NOT(OR(M92="Completed",M92="NA",M92="Cancelled")),"S1 Schematic",IF(NOT(OR(R92="Completed",R92="NA",R92="Cancelled")),"S2 PCB Layout",IF(NOT(OR(W92="Completed",W92="NA",W92="Cancelled")),"S3 SI &amp; PI",IF(NOT(OR(AB92="Completed",AB92="NA",AB92="Cancelled")),"S4 Bare-PCB Fab",IF(NOT(OR(AG92="Completed",AG92="NA",AG92="Cancelled")),"S5 Assembly",IF(NOT(OR(AL92="Completed",AL92="NA",AL92="Cancelled")),"S6 Bring-up",IF(NOT(OR(AQ92="Completed",AQ92="NA",AQ92="Cancelled")),"S7 BOM Procurement","All Stages Closed"))))))))</f>
        <v/>
      </c>
      <c r="F92" s="32" t="str">
        <f aca="false">IF($C92="","",IF(COUNTIF(M92,"Cancelled")+COUNTIF(R92,"Cancelled")+COUNTIF(W92,"Cancelled")+COUNTIF(AB92,"Cancelled")+COUNTIF(AG92,"Cancelled")+COUNTIF(AL92,"Cancelled")+COUNTIF(AQ92,"Cancelled")&gt;0,"Cancelled",IF(E92="All Stages Closed","Completed",IF(E92="S1 Schematic",M92,IF(E92="S2 PCB Layout",R92,IF(E92="S3 SI &amp; PI",W92,IF(E92="S4 Bare-PCB Fab",AB92,IF(E92="S5 Assembly",AG92,IF(E92="S6 Bring-up",AL92,AQ92)))))))))</f>
        <v/>
      </c>
      <c r="G92" s="33" t="str">
        <f aca="false">IF($C92="","",IF(E92="All Stages Closed","",IF(E92="S1 Schematic",IF(N92="","Not added",N92),IF(E92="S2 PCB Layout",IF(S92="","Not added",S92),IF(E92="S3 SI &amp; PI",IF(X92="","Not added",X92),IF(E92="S4 Bare-PCB Fab",IF(AC92="","Not added",AC92),IF(E92="S5 Assembly",IF(AH92="","Not added",AH92),IF(E92="S6 Bring-up",IF(AM92="","Not added",AM92),IF(AR92="","Not added",AR92)))))))))</f>
        <v/>
      </c>
      <c r="H92" s="32" t="str">
        <f aca="true">IF($C92="","",IF(OR(F92="Completed",F92="Cancelled"),"",IF(NOT(ISNUMBER(G92)),"No date set",IF(TODAY()&gt;G92,TODAY()-G92&amp;" days late",G92-TODAY()&amp;" days left"))))</f>
        <v/>
      </c>
      <c r="I92" s="31" t="str">
        <f aca="false">IF($C92="","",COUNTIF(M92,"Completed")+COUNTIF(R92,"Completed")+COUNTIF(W92,"Completed")+COUNTIF(AB92,"Completed")+COUNTIF(AG92,"Completed")+COUNTIF(AL92,"Completed")+COUNTIF(AQ92,"Completed"))</f>
        <v/>
      </c>
      <c r="J92" s="31" t="str">
        <f aca="false">IF($C92="","",7-(COUNTIF(M92,"NA")+COUNTIF(R92,"NA")+COUNTIF(W92,"NA")+COUNTIF(AB92,"NA")+COUNTIF(AG92,"NA")+COUNTIF(AL92,"NA")+COUNTIF(AQ92,"NA")))</f>
        <v/>
      </c>
      <c r="K92" s="34" t="str">
        <f aca="false">IFERROR(I92/J92,"")</f>
        <v/>
      </c>
      <c r="L92" s="29"/>
      <c r="M92" s="35"/>
      <c r="N92" s="36"/>
      <c r="O92" s="36"/>
      <c r="P92" s="30"/>
      <c r="Q92" s="29"/>
      <c r="R92" s="35"/>
      <c r="S92" s="36"/>
      <c r="T92" s="36"/>
      <c r="U92" s="30"/>
      <c r="V92" s="29"/>
      <c r="W92" s="35"/>
      <c r="X92" s="36"/>
      <c r="Y92" s="36"/>
      <c r="Z92" s="30"/>
      <c r="AA92" s="29"/>
      <c r="AB92" s="35"/>
      <c r="AC92" s="36"/>
      <c r="AD92" s="36"/>
      <c r="AE92" s="30"/>
      <c r="AF92" s="29"/>
      <c r="AG92" s="35"/>
      <c r="AH92" s="36"/>
      <c r="AI92" s="36"/>
      <c r="AJ92" s="30"/>
      <c r="AK92" s="29"/>
      <c r="AL92" s="35"/>
      <c r="AM92" s="36"/>
      <c r="AN92" s="36"/>
      <c r="AO92" s="30"/>
      <c r="AP92" s="29"/>
      <c r="AQ92" s="35"/>
      <c r="AR92" s="36"/>
      <c r="AS92" s="36"/>
      <c r="AT92" s="30"/>
      <c r="AU92" s="29"/>
      <c r="AV92" s="29"/>
      <c r="AW92" s="29"/>
      <c r="AX92" s="37"/>
      <c r="AY92" s="29"/>
      <c r="AZ92" s="38" t="str">
        <f aca="false">IF($C92="","",IF(OR(F92="Completed",F92="Cancelled"),"",IF(AND(OR(F92="On Hold",ISNUMBER(VALUE(LEFT(H92,2)))),AY92=""),"Reason not given","")))</f>
        <v/>
      </c>
      <c r="BA92" s="30"/>
    </row>
    <row r="93" customFormat="false" ht="19.5" hidden="false" customHeight="true" outlineLevel="0" collapsed="false">
      <c r="A93" s="28" t="str">
        <f aca="false">IF($C93="","",COUNTA($C$17:$C93))</f>
        <v/>
      </c>
      <c r="B93" s="29"/>
      <c r="C93" s="30"/>
      <c r="D93" s="29"/>
      <c r="E93" s="31" t="str">
        <f aca="false">IF($C93="","",IF(NOT(OR(M93="Completed",M93="NA",M93="Cancelled")),"S1 Schematic",IF(NOT(OR(R93="Completed",R93="NA",R93="Cancelled")),"S2 PCB Layout",IF(NOT(OR(W93="Completed",W93="NA",W93="Cancelled")),"S3 SI &amp; PI",IF(NOT(OR(AB93="Completed",AB93="NA",AB93="Cancelled")),"S4 Bare-PCB Fab",IF(NOT(OR(AG93="Completed",AG93="NA",AG93="Cancelled")),"S5 Assembly",IF(NOT(OR(AL93="Completed",AL93="NA",AL93="Cancelled")),"S6 Bring-up",IF(NOT(OR(AQ93="Completed",AQ93="NA",AQ93="Cancelled")),"S7 BOM Procurement","All Stages Closed"))))))))</f>
        <v/>
      </c>
      <c r="F93" s="32" t="str">
        <f aca="false">IF($C93="","",IF(COUNTIF(M93,"Cancelled")+COUNTIF(R93,"Cancelled")+COUNTIF(W93,"Cancelled")+COUNTIF(AB93,"Cancelled")+COUNTIF(AG93,"Cancelled")+COUNTIF(AL93,"Cancelled")+COUNTIF(AQ93,"Cancelled")&gt;0,"Cancelled",IF(E93="All Stages Closed","Completed",IF(E93="S1 Schematic",M93,IF(E93="S2 PCB Layout",R93,IF(E93="S3 SI &amp; PI",W93,IF(E93="S4 Bare-PCB Fab",AB93,IF(E93="S5 Assembly",AG93,IF(E93="S6 Bring-up",AL93,AQ93)))))))))</f>
        <v/>
      </c>
      <c r="G93" s="33" t="str">
        <f aca="false">IF($C93="","",IF(E93="All Stages Closed","",IF(E93="S1 Schematic",IF(N93="","Not added",N93),IF(E93="S2 PCB Layout",IF(S93="","Not added",S93),IF(E93="S3 SI &amp; PI",IF(X93="","Not added",X93),IF(E93="S4 Bare-PCB Fab",IF(AC93="","Not added",AC93),IF(E93="S5 Assembly",IF(AH93="","Not added",AH93),IF(E93="S6 Bring-up",IF(AM93="","Not added",AM93),IF(AR93="","Not added",AR93)))))))))</f>
        <v/>
      </c>
      <c r="H93" s="32" t="str">
        <f aca="true">IF($C93="","",IF(OR(F93="Completed",F93="Cancelled"),"",IF(NOT(ISNUMBER(G93)),"No date set",IF(TODAY()&gt;G93,TODAY()-G93&amp;" days late",G93-TODAY()&amp;" days left"))))</f>
        <v/>
      </c>
      <c r="I93" s="31" t="str">
        <f aca="false">IF($C93="","",COUNTIF(M93,"Completed")+COUNTIF(R93,"Completed")+COUNTIF(W93,"Completed")+COUNTIF(AB93,"Completed")+COUNTIF(AG93,"Completed")+COUNTIF(AL93,"Completed")+COUNTIF(AQ93,"Completed"))</f>
        <v/>
      </c>
      <c r="J93" s="31" t="str">
        <f aca="false">IF($C93="","",7-(COUNTIF(M93,"NA")+COUNTIF(R93,"NA")+COUNTIF(W93,"NA")+COUNTIF(AB93,"NA")+COUNTIF(AG93,"NA")+COUNTIF(AL93,"NA")+COUNTIF(AQ93,"NA")))</f>
        <v/>
      </c>
      <c r="K93" s="34" t="str">
        <f aca="false">IFERROR(I93/J93,"")</f>
        <v/>
      </c>
      <c r="L93" s="29"/>
      <c r="M93" s="35"/>
      <c r="N93" s="36"/>
      <c r="O93" s="36"/>
      <c r="P93" s="30"/>
      <c r="Q93" s="29"/>
      <c r="R93" s="35"/>
      <c r="S93" s="36"/>
      <c r="T93" s="36"/>
      <c r="U93" s="30"/>
      <c r="V93" s="29"/>
      <c r="W93" s="35"/>
      <c r="X93" s="36"/>
      <c r="Y93" s="36"/>
      <c r="Z93" s="30"/>
      <c r="AA93" s="29"/>
      <c r="AB93" s="35"/>
      <c r="AC93" s="36"/>
      <c r="AD93" s="36"/>
      <c r="AE93" s="30"/>
      <c r="AF93" s="29"/>
      <c r="AG93" s="35"/>
      <c r="AH93" s="36"/>
      <c r="AI93" s="36"/>
      <c r="AJ93" s="30"/>
      <c r="AK93" s="29"/>
      <c r="AL93" s="35"/>
      <c r="AM93" s="36"/>
      <c r="AN93" s="36"/>
      <c r="AO93" s="30"/>
      <c r="AP93" s="29"/>
      <c r="AQ93" s="35"/>
      <c r="AR93" s="36"/>
      <c r="AS93" s="36"/>
      <c r="AT93" s="30"/>
      <c r="AU93" s="29"/>
      <c r="AV93" s="29"/>
      <c r="AW93" s="29"/>
      <c r="AX93" s="37"/>
      <c r="AY93" s="29"/>
      <c r="AZ93" s="38" t="str">
        <f aca="false">IF($C93="","",IF(OR(F93="Completed",F93="Cancelled"),"",IF(AND(OR(F93="On Hold",ISNUMBER(VALUE(LEFT(H93,2)))),AY93=""),"Reason not given","")))</f>
        <v/>
      </c>
      <c r="BA93" s="30"/>
    </row>
    <row r="94" customFormat="false" ht="19.5" hidden="false" customHeight="true" outlineLevel="0" collapsed="false">
      <c r="A94" s="28" t="str">
        <f aca="false">IF($C94="","",COUNTA($C$17:$C94))</f>
        <v/>
      </c>
      <c r="B94" s="29"/>
      <c r="C94" s="30"/>
      <c r="D94" s="29"/>
      <c r="E94" s="31" t="str">
        <f aca="false">IF($C94="","",IF(NOT(OR(M94="Completed",M94="NA",M94="Cancelled")),"S1 Schematic",IF(NOT(OR(R94="Completed",R94="NA",R94="Cancelled")),"S2 PCB Layout",IF(NOT(OR(W94="Completed",W94="NA",W94="Cancelled")),"S3 SI &amp; PI",IF(NOT(OR(AB94="Completed",AB94="NA",AB94="Cancelled")),"S4 Bare-PCB Fab",IF(NOT(OR(AG94="Completed",AG94="NA",AG94="Cancelled")),"S5 Assembly",IF(NOT(OR(AL94="Completed",AL94="NA",AL94="Cancelled")),"S6 Bring-up",IF(NOT(OR(AQ94="Completed",AQ94="NA",AQ94="Cancelled")),"S7 BOM Procurement","All Stages Closed"))))))))</f>
        <v/>
      </c>
      <c r="F94" s="32" t="str">
        <f aca="false">IF($C94="","",IF(COUNTIF(M94,"Cancelled")+COUNTIF(R94,"Cancelled")+COUNTIF(W94,"Cancelled")+COUNTIF(AB94,"Cancelled")+COUNTIF(AG94,"Cancelled")+COUNTIF(AL94,"Cancelled")+COUNTIF(AQ94,"Cancelled")&gt;0,"Cancelled",IF(E94="All Stages Closed","Completed",IF(E94="S1 Schematic",M94,IF(E94="S2 PCB Layout",R94,IF(E94="S3 SI &amp; PI",W94,IF(E94="S4 Bare-PCB Fab",AB94,IF(E94="S5 Assembly",AG94,IF(E94="S6 Bring-up",AL94,AQ94)))))))))</f>
        <v/>
      </c>
      <c r="G94" s="33" t="str">
        <f aca="false">IF($C94="","",IF(E94="All Stages Closed","",IF(E94="S1 Schematic",IF(N94="","Not added",N94),IF(E94="S2 PCB Layout",IF(S94="","Not added",S94),IF(E94="S3 SI &amp; PI",IF(X94="","Not added",X94),IF(E94="S4 Bare-PCB Fab",IF(AC94="","Not added",AC94),IF(E94="S5 Assembly",IF(AH94="","Not added",AH94),IF(E94="S6 Bring-up",IF(AM94="","Not added",AM94),IF(AR94="","Not added",AR94)))))))))</f>
        <v/>
      </c>
      <c r="H94" s="32" t="str">
        <f aca="true">IF($C94="","",IF(OR(F94="Completed",F94="Cancelled"),"",IF(NOT(ISNUMBER(G94)),"No date set",IF(TODAY()&gt;G94,TODAY()-G94&amp;" days late",G94-TODAY()&amp;" days left"))))</f>
        <v/>
      </c>
      <c r="I94" s="31" t="str">
        <f aca="false">IF($C94="","",COUNTIF(M94,"Completed")+COUNTIF(R94,"Completed")+COUNTIF(W94,"Completed")+COUNTIF(AB94,"Completed")+COUNTIF(AG94,"Completed")+COUNTIF(AL94,"Completed")+COUNTIF(AQ94,"Completed"))</f>
        <v/>
      </c>
      <c r="J94" s="31" t="str">
        <f aca="false">IF($C94="","",7-(COUNTIF(M94,"NA")+COUNTIF(R94,"NA")+COUNTIF(W94,"NA")+COUNTIF(AB94,"NA")+COUNTIF(AG94,"NA")+COUNTIF(AL94,"NA")+COUNTIF(AQ94,"NA")))</f>
        <v/>
      </c>
      <c r="K94" s="34" t="str">
        <f aca="false">IFERROR(I94/J94,"")</f>
        <v/>
      </c>
      <c r="L94" s="29"/>
      <c r="M94" s="35"/>
      <c r="N94" s="36"/>
      <c r="O94" s="36"/>
      <c r="P94" s="30"/>
      <c r="Q94" s="29"/>
      <c r="R94" s="35"/>
      <c r="S94" s="36"/>
      <c r="T94" s="36"/>
      <c r="U94" s="30"/>
      <c r="V94" s="29"/>
      <c r="W94" s="35"/>
      <c r="X94" s="36"/>
      <c r="Y94" s="36"/>
      <c r="Z94" s="30"/>
      <c r="AA94" s="29"/>
      <c r="AB94" s="35"/>
      <c r="AC94" s="36"/>
      <c r="AD94" s="36"/>
      <c r="AE94" s="30"/>
      <c r="AF94" s="29"/>
      <c r="AG94" s="35"/>
      <c r="AH94" s="36"/>
      <c r="AI94" s="36"/>
      <c r="AJ94" s="30"/>
      <c r="AK94" s="29"/>
      <c r="AL94" s="35"/>
      <c r="AM94" s="36"/>
      <c r="AN94" s="36"/>
      <c r="AO94" s="30"/>
      <c r="AP94" s="29"/>
      <c r="AQ94" s="35"/>
      <c r="AR94" s="36"/>
      <c r="AS94" s="36"/>
      <c r="AT94" s="30"/>
      <c r="AU94" s="29"/>
      <c r="AV94" s="29"/>
      <c r="AW94" s="29"/>
      <c r="AX94" s="37"/>
      <c r="AY94" s="29"/>
      <c r="AZ94" s="38" t="str">
        <f aca="false">IF($C94="","",IF(OR(F94="Completed",F94="Cancelled"),"",IF(AND(OR(F94="On Hold",ISNUMBER(VALUE(LEFT(H94,2)))),AY94=""),"Reason not given","")))</f>
        <v/>
      </c>
      <c r="BA94" s="30"/>
    </row>
    <row r="95" customFormat="false" ht="19.5" hidden="false" customHeight="true" outlineLevel="0" collapsed="false">
      <c r="A95" s="28" t="str">
        <f aca="false">IF($C95="","",COUNTA($C$17:$C95))</f>
        <v/>
      </c>
      <c r="B95" s="29"/>
      <c r="C95" s="30"/>
      <c r="D95" s="29"/>
      <c r="E95" s="31" t="str">
        <f aca="false">IF($C95="","",IF(NOT(OR(M95="Completed",M95="NA",M95="Cancelled")),"S1 Schematic",IF(NOT(OR(R95="Completed",R95="NA",R95="Cancelled")),"S2 PCB Layout",IF(NOT(OR(W95="Completed",W95="NA",W95="Cancelled")),"S3 SI &amp; PI",IF(NOT(OR(AB95="Completed",AB95="NA",AB95="Cancelled")),"S4 Bare-PCB Fab",IF(NOT(OR(AG95="Completed",AG95="NA",AG95="Cancelled")),"S5 Assembly",IF(NOT(OR(AL95="Completed",AL95="NA",AL95="Cancelled")),"S6 Bring-up",IF(NOT(OR(AQ95="Completed",AQ95="NA",AQ95="Cancelled")),"S7 BOM Procurement","All Stages Closed"))))))))</f>
        <v/>
      </c>
      <c r="F95" s="32" t="str">
        <f aca="false">IF($C95="","",IF(COUNTIF(M95,"Cancelled")+COUNTIF(R95,"Cancelled")+COUNTIF(W95,"Cancelled")+COUNTIF(AB95,"Cancelled")+COUNTIF(AG95,"Cancelled")+COUNTIF(AL95,"Cancelled")+COUNTIF(AQ95,"Cancelled")&gt;0,"Cancelled",IF(E95="All Stages Closed","Completed",IF(E95="S1 Schematic",M95,IF(E95="S2 PCB Layout",R95,IF(E95="S3 SI &amp; PI",W95,IF(E95="S4 Bare-PCB Fab",AB95,IF(E95="S5 Assembly",AG95,IF(E95="S6 Bring-up",AL95,AQ95)))))))))</f>
        <v/>
      </c>
      <c r="G95" s="33" t="str">
        <f aca="false">IF($C95="","",IF(E95="All Stages Closed","",IF(E95="S1 Schematic",IF(N95="","Not added",N95),IF(E95="S2 PCB Layout",IF(S95="","Not added",S95),IF(E95="S3 SI &amp; PI",IF(X95="","Not added",X95),IF(E95="S4 Bare-PCB Fab",IF(AC95="","Not added",AC95),IF(E95="S5 Assembly",IF(AH95="","Not added",AH95),IF(E95="S6 Bring-up",IF(AM95="","Not added",AM95),IF(AR95="","Not added",AR95)))))))))</f>
        <v/>
      </c>
      <c r="H95" s="32" t="str">
        <f aca="true">IF($C95="","",IF(OR(F95="Completed",F95="Cancelled"),"",IF(NOT(ISNUMBER(G95)),"No date set",IF(TODAY()&gt;G95,TODAY()-G95&amp;" days late",G95-TODAY()&amp;" days left"))))</f>
        <v/>
      </c>
      <c r="I95" s="31" t="str">
        <f aca="false">IF($C95="","",COUNTIF(M95,"Completed")+COUNTIF(R95,"Completed")+COUNTIF(W95,"Completed")+COUNTIF(AB95,"Completed")+COUNTIF(AG95,"Completed")+COUNTIF(AL95,"Completed")+COUNTIF(AQ95,"Completed"))</f>
        <v/>
      </c>
      <c r="J95" s="31" t="str">
        <f aca="false">IF($C95="","",7-(COUNTIF(M95,"NA")+COUNTIF(R95,"NA")+COUNTIF(W95,"NA")+COUNTIF(AB95,"NA")+COUNTIF(AG95,"NA")+COUNTIF(AL95,"NA")+COUNTIF(AQ95,"NA")))</f>
        <v/>
      </c>
      <c r="K95" s="34" t="str">
        <f aca="false">IFERROR(I95/J95,"")</f>
        <v/>
      </c>
      <c r="L95" s="29"/>
      <c r="M95" s="35"/>
      <c r="N95" s="36"/>
      <c r="O95" s="36"/>
      <c r="P95" s="30"/>
      <c r="Q95" s="29"/>
      <c r="R95" s="35"/>
      <c r="S95" s="36"/>
      <c r="T95" s="36"/>
      <c r="U95" s="30"/>
      <c r="V95" s="29"/>
      <c r="W95" s="35"/>
      <c r="X95" s="36"/>
      <c r="Y95" s="36"/>
      <c r="Z95" s="30"/>
      <c r="AA95" s="29"/>
      <c r="AB95" s="35"/>
      <c r="AC95" s="36"/>
      <c r="AD95" s="36"/>
      <c r="AE95" s="30"/>
      <c r="AF95" s="29"/>
      <c r="AG95" s="35"/>
      <c r="AH95" s="36"/>
      <c r="AI95" s="36"/>
      <c r="AJ95" s="30"/>
      <c r="AK95" s="29"/>
      <c r="AL95" s="35"/>
      <c r="AM95" s="36"/>
      <c r="AN95" s="36"/>
      <c r="AO95" s="30"/>
      <c r="AP95" s="29"/>
      <c r="AQ95" s="35"/>
      <c r="AR95" s="36"/>
      <c r="AS95" s="36"/>
      <c r="AT95" s="30"/>
      <c r="AU95" s="29"/>
      <c r="AV95" s="29"/>
      <c r="AW95" s="29"/>
      <c r="AX95" s="37"/>
      <c r="AY95" s="29"/>
      <c r="AZ95" s="38" t="str">
        <f aca="false">IF($C95="","",IF(OR(F95="Completed",F95="Cancelled"),"",IF(AND(OR(F95="On Hold",ISNUMBER(VALUE(LEFT(H95,2)))),AY95=""),"Reason not given","")))</f>
        <v/>
      </c>
      <c r="BA95" s="30"/>
    </row>
    <row r="96" customFormat="false" ht="19.5" hidden="false" customHeight="true" outlineLevel="0" collapsed="false">
      <c r="A96" s="28" t="str">
        <f aca="false">IF($C96="","",COUNTA($C$17:$C96))</f>
        <v/>
      </c>
      <c r="B96" s="29"/>
      <c r="C96" s="30"/>
      <c r="D96" s="29"/>
      <c r="E96" s="31" t="str">
        <f aca="false">IF($C96="","",IF(NOT(OR(M96="Completed",M96="NA",M96="Cancelled")),"S1 Schematic",IF(NOT(OR(R96="Completed",R96="NA",R96="Cancelled")),"S2 PCB Layout",IF(NOT(OR(W96="Completed",W96="NA",W96="Cancelled")),"S3 SI &amp; PI",IF(NOT(OR(AB96="Completed",AB96="NA",AB96="Cancelled")),"S4 Bare-PCB Fab",IF(NOT(OR(AG96="Completed",AG96="NA",AG96="Cancelled")),"S5 Assembly",IF(NOT(OR(AL96="Completed",AL96="NA",AL96="Cancelled")),"S6 Bring-up",IF(NOT(OR(AQ96="Completed",AQ96="NA",AQ96="Cancelled")),"S7 BOM Procurement","All Stages Closed"))))))))</f>
        <v/>
      </c>
      <c r="F96" s="32" t="str">
        <f aca="false">IF($C96="","",IF(COUNTIF(M96,"Cancelled")+COUNTIF(R96,"Cancelled")+COUNTIF(W96,"Cancelled")+COUNTIF(AB96,"Cancelled")+COUNTIF(AG96,"Cancelled")+COUNTIF(AL96,"Cancelled")+COUNTIF(AQ96,"Cancelled")&gt;0,"Cancelled",IF(E96="All Stages Closed","Completed",IF(E96="S1 Schematic",M96,IF(E96="S2 PCB Layout",R96,IF(E96="S3 SI &amp; PI",W96,IF(E96="S4 Bare-PCB Fab",AB96,IF(E96="S5 Assembly",AG96,IF(E96="S6 Bring-up",AL96,AQ96)))))))))</f>
        <v/>
      </c>
      <c r="G96" s="33" t="str">
        <f aca="false">IF($C96="","",IF(E96="All Stages Closed","",IF(E96="S1 Schematic",IF(N96="","Not added",N96),IF(E96="S2 PCB Layout",IF(S96="","Not added",S96),IF(E96="S3 SI &amp; PI",IF(X96="","Not added",X96),IF(E96="S4 Bare-PCB Fab",IF(AC96="","Not added",AC96),IF(E96="S5 Assembly",IF(AH96="","Not added",AH96),IF(E96="S6 Bring-up",IF(AM96="","Not added",AM96),IF(AR96="","Not added",AR96)))))))))</f>
        <v/>
      </c>
      <c r="H96" s="32" t="str">
        <f aca="true">IF($C96="","",IF(OR(F96="Completed",F96="Cancelled"),"",IF(NOT(ISNUMBER(G96)),"No date set",IF(TODAY()&gt;G96,TODAY()-G96&amp;" days late",G96-TODAY()&amp;" days left"))))</f>
        <v/>
      </c>
      <c r="I96" s="31" t="str">
        <f aca="false">IF($C96="","",COUNTIF(M96,"Completed")+COUNTIF(R96,"Completed")+COUNTIF(W96,"Completed")+COUNTIF(AB96,"Completed")+COUNTIF(AG96,"Completed")+COUNTIF(AL96,"Completed")+COUNTIF(AQ96,"Completed"))</f>
        <v/>
      </c>
      <c r="J96" s="31" t="str">
        <f aca="false">IF($C96="","",7-(COUNTIF(M96,"NA")+COUNTIF(R96,"NA")+COUNTIF(W96,"NA")+COUNTIF(AB96,"NA")+COUNTIF(AG96,"NA")+COUNTIF(AL96,"NA")+COUNTIF(AQ96,"NA")))</f>
        <v/>
      </c>
      <c r="K96" s="34" t="str">
        <f aca="false">IFERROR(I96/J96,"")</f>
        <v/>
      </c>
      <c r="L96" s="29"/>
      <c r="M96" s="35"/>
      <c r="N96" s="36"/>
      <c r="O96" s="36"/>
      <c r="P96" s="30"/>
      <c r="Q96" s="29"/>
      <c r="R96" s="35"/>
      <c r="S96" s="36"/>
      <c r="T96" s="36"/>
      <c r="U96" s="30"/>
      <c r="V96" s="29"/>
      <c r="W96" s="35"/>
      <c r="X96" s="36"/>
      <c r="Y96" s="36"/>
      <c r="Z96" s="30"/>
      <c r="AA96" s="29"/>
      <c r="AB96" s="35"/>
      <c r="AC96" s="36"/>
      <c r="AD96" s="36"/>
      <c r="AE96" s="30"/>
      <c r="AF96" s="29"/>
      <c r="AG96" s="35"/>
      <c r="AH96" s="36"/>
      <c r="AI96" s="36"/>
      <c r="AJ96" s="30"/>
      <c r="AK96" s="29"/>
      <c r="AL96" s="35"/>
      <c r="AM96" s="36"/>
      <c r="AN96" s="36"/>
      <c r="AO96" s="30"/>
      <c r="AP96" s="29"/>
      <c r="AQ96" s="35"/>
      <c r="AR96" s="36"/>
      <c r="AS96" s="36"/>
      <c r="AT96" s="30"/>
      <c r="AU96" s="29"/>
      <c r="AV96" s="29"/>
      <c r="AW96" s="29"/>
      <c r="AX96" s="37"/>
      <c r="AY96" s="29"/>
      <c r="AZ96" s="38" t="str">
        <f aca="false">IF($C96="","",IF(OR(F96="Completed",F96="Cancelled"),"",IF(AND(OR(F96="On Hold",ISNUMBER(VALUE(LEFT(H96,2)))),AY96=""),"Reason not given","")))</f>
        <v/>
      </c>
      <c r="BA96" s="30"/>
    </row>
    <row r="97" customFormat="false" ht="19.5" hidden="false" customHeight="true" outlineLevel="0" collapsed="false">
      <c r="A97" s="28" t="str">
        <f aca="false">IF($C97="","",COUNTA($C$17:$C97))</f>
        <v/>
      </c>
      <c r="B97" s="29"/>
      <c r="C97" s="30"/>
      <c r="D97" s="29"/>
      <c r="E97" s="31" t="str">
        <f aca="false">IF($C97="","",IF(NOT(OR(M97="Completed",M97="NA",M97="Cancelled")),"S1 Schematic",IF(NOT(OR(R97="Completed",R97="NA",R97="Cancelled")),"S2 PCB Layout",IF(NOT(OR(W97="Completed",W97="NA",W97="Cancelled")),"S3 SI &amp; PI",IF(NOT(OR(AB97="Completed",AB97="NA",AB97="Cancelled")),"S4 Bare-PCB Fab",IF(NOT(OR(AG97="Completed",AG97="NA",AG97="Cancelled")),"S5 Assembly",IF(NOT(OR(AL97="Completed",AL97="NA",AL97="Cancelled")),"S6 Bring-up",IF(NOT(OR(AQ97="Completed",AQ97="NA",AQ97="Cancelled")),"S7 BOM Procurement","All Stages Closed"))))))))</f>
        <v/>
      </c>
      <c r="F97" s="32" t="str">
        <f aca="false">IF($C97="","",IF(COUNTIF(M97,"Cancelled")+COUNTIF(R97,"Cancelled")+COUNTIF(W97,"Cancelled")+COUNTIF(AB97,"Cancelled")+COUNTIF(AG97,"Cancelled")+COUNTIF(AL97,"Cancelled")+COUNTIF(AQ97,"Cancelled")&gt;0,"Cancelled",IF(E97="All Stages Closed","Completed",IF(E97="S1 Schematic",M97,IF(E97="S2 PCB Layout",R97,IF(E97="S3 SI &amp; PI",W97,IF(E97="S4 Bare-PCB Fab",AB97,IF(E97="S5 Assembly",AG97,IF(E97="S6 Bring-up",AL97,AQ97)))))))))</f>
        <v/>
      </c>
      <c r="G97" s="33" t="str">
        <f aca="false">IF($C97="","",IF(E97="All Stages Closed","",IF(E97="S1 Schematic",IF(N97="","Not added",N97),IF(E97="S2 PCB Layout",IF(S97="","Not added",S97),IF(E97="S3 SI &amp; PI",IF(X97="","Not added",X97),IF(E97="S4 Bare-PCB Fab",IF(AC97="","Not added",AC97),IF(E97="S5 Assembly",IF(AH97="","Not added",AH97),IF(E97="S6 Bring-up",IF(AM97="","Not added",AM97),IF(AR97="","Not added",AR97)))))))))</f>
        <v/>
      </c>
      <c r="H97" s="32" t="str">
        <f aca="true">IF($C97="","",IF(OR(F97="Completed",F97="Cancelled"),"",IF(NOT(ISNUMBER(G97)),"No date set",IF(TODAY()&gt;G97,TODAY()-G97&amp;" days late",G97-TODAY()&amp;" days left"))))</f>
        <v/>
      </c>
      <c r="I97" s="31" t="str">
        <f aca="false">IF($C97="","",COUNTIF(M97,"Completed")+COUNTIF(R97,"Completed")+COUNTIF(W97,"Completed")+COUNTIF(AB97,"Completed")+COUNTIF(AG97,"Completed")+COUNTIF(AL97,"Completed")+COUNTIF(AQ97,"Completed"))</f>
        <v/>
      </c>
      <c r="J97" s="31" t="str">
        <f aca="false">IF($C97="","",7-(COUNTIF(M97,"NA")+COUNTIF(R97,"NA")+COUNTIF(W97,"NA")+COUNTIF(AB97,"NA")+COUNTIF(AG97,"NA")+COUNTIF(AL97,"NA")+COUNTIF(AQ97,"NA")))</f>
        <v/>
      </c>
      <c r="K97" s="34" t="str">
        <f aca="false">IFERROR(I97/J97,"")</f>
        <v/>
      </c>
      <c r="L97" s="29"/>
      <c r="M97" s="35"/>
      <c r="N97" s="36"/>
      <c r="O97" s="36"/>
      <c r="P97" s="30"/>
      <c r="Q97" s="29"/>
      <c r="R97" s="35"/>
      <c r="S97" s="36"/>
      <c r="T97" s="36"/>
      <c r="U97" s="30"/>
      <c r="V97" s="29"/>
      <c r="W97" s="35"/>
      <c r="X97" s="36"/>
      <c r="Y97" s="36"/>
      <c r="Z97" s="30"/>
      <c r="AA97" s="29"/>
      <c r="AB97" s="35"/>
      <c r="AC97" s="36"/>
      <c r="AD97" s="36"/>
      <c r="AE97" s="30"/>
      <c r="AF97" s="29"/>
      <c r="AG97" s="35"/>
      <c r="AH97" s="36"/>
      <c r="AI97" s="36"/>
      <c r="AJ97" s="30"/>
      <c r="AK97" s="29"/>
      <c r="AL97" s="35"/>
      <c r="AM97" s="36"/>
      <c r="AN97" s="36"/>
      <c r="AO97" s="30"/>
      <c r="AP97" s="29"/>
      <c r="AQ97" s="35"/>
      <c r="AR97" s="36"/>
      <c r="AS97" s="36"/>
      <c r="AT97" s="30"/>
      <c r="AU97" s="29"/>
      <c r="AV97" s="29"/>
      <c r="AW97" s="29"/>
      <c r="AX97" s="37"/>
      <c r="AY97" s="29"/>
      <c r="AZ97" s="38" t="str">
        <f aca="false">IF($C97="","",IF(OR(F97="Completed",F97="Cancelled"),"",IF(AND(OR(F97="On Hold",ISNUMBER(VALUE(LEFT(H97,2)))),AY97=""),"Reason not given","")))</f>
        <v/>
      </c>
      <c r="BA97" s="30"/>
    </row>
    <row r="98" customFormat="false" ht="19.5" hidden="false" customHeight="true" outlineLevel="0" collapsed="false">
      <c r="A98" s="28" t="str">
        <f aca="false">IF($C98="","",COUNTA($C$17:$C98))</f>
        <v/>
      </c>
      <c r="B98" s="29"/>
      <c r="C98" s="30"/>
      <c r="D98" s="29"/>
      <c r="E98" s="31" t="str">
        <f aca="false">IF($C98="","",IF(NOT(OR(M98="Completed",M98="NA",M98="Cancelled")),"S1 Schematic",IF(NOT(OR(R98="Completed",R98="NA",R98="Cancelled")),"S2 PCB Layout",IF(NOT(OR(W98="Completed",W98="NA",W98="Cancelled")),"S3 SI &amp; PI",IF(NOT(OR(AB98="Completed",AB98="NA",AB98="Cancelled")),"S4 Bare-PCB Fab",IF(NOT(OR(AG98="Completed",AG98="NA",AG98="Cancelled")),"S5 Assembly",IF(NOT(OR(AL98="Completed",AL98="NA",AL98="Cancelled")),"S6 Bring-up",IF(NOT(OR(AQ98="Completed",AQ98="NA",AQ98="Cancelled")),"S7 BOM Procurement","All Stages Closed"))))))))</f>
        <v/>
      </c>
      <c r="F98" s="32" t="str">
        <f aca="false">IF($C98="","",IF(COUNTIF(M98,"Cancelled")+COUNTIF(R98,"Cancelled")+COUNTIF(W98,"Cancelled")+COUNTIF(AB98,"Cancelled")+COUNTIF(AG98,"Cancelled")+COUNTIF(AL98,"Cancelled")+COUNTIF(AQ98,"Cancelled")&gt;0,"Cancelled",IF(E98="All Stages Closed","Completed",IF(E98="S1 Schematic",M98,IF(E98="S2 PCB Layout",R98,IF(E98="S3 SI &amp; PI",W98,IF(E98="S4 Bare-PCB Fab",AB98,IF(E98="S5 Assembly",AG98,IF(E98="S6 Bring-up",AL98,AQ98)))))))))</f>
        <v/>
      </c>
      <c r="G98" s="33" t="str">
        <f aca="false">IF($C98="","",IF(E98="All Stages Closed","",IF(E98="S1 Schematic",IF(N98="","Not added",N98),IF(E98="S2 PCB Layout",IF(S98="","Not added",S98),IF(E98="S3 SI &amp; PI",IF(X98="","Not added",X98),IF(E98="S4 Bare-PCB Fab",IF(AC98="","Not added",AC98),IF(E98="S5 Assembly",IF(AH98="","Not added",AH98),IF(E98="S6 Bring-up",IF(AM98="","Not added",AM98),IF(AR98="","Not added",AR98)))))))))</f>
        <v/>
      </c>
      <c r="H98" s="32" t="str">
        <f aca="true">IF($C98="","",IF(OR(F98="Completed",F98="Cancelled"),"",IF(NOT(ISNUMBER(G98)),"No date set",IF(TODAY()&gt;G98,TODAY()-G98&amp;" days late",G98-TODAY()&amp;" days left"))))</f>
        <v/>
      </c>
      <c r="I98" s="31" t="str">
        <f aca="false">IF($C98="","",COUNTIF(M98,"Completed")+COUNTIF(R98,"Completed")+COUNTIF(W98,"Completed")+COUNTIF(AB98,"Completed")+COUNTIF(AG98,"Completed")+COUNTIF(AL98,"Completed")+COUNTIF(AQ98,"Completed"))</f>
        <v/>
      </c>
      <c r="J98" s="31" t="str">
        <f aca="false">IF($C98="","",7-(COUNTIF(M98,"NA")+COUNTIF(R98,"NA")+COUNTIF(W98,"NA")+COUNTIF(AB98,"NA")+COUNTIF(AG98,"NA")+COUNTIF(AL98,"NA")+COUNTIF(AQ98,"NA")))</f>
        <v/>
      </c>
      <c r="K98" s="34" t="str">
        <f aca="false">IFERROR(I98/J98,"")</f>
        <v/>
      </c>
      <c r="L98" s="29"/>
      <c r="M98" s="35"/>
      <c r="N98" s="36"/>
      <c r="O98" s="36"/>
      <c r="P98" s="30"/>
      <c r="Q98" s="29"/>
      <c r="R98" s="35"/>
      <c r="S98" s="36"/>
      <c r="T98" s="36"/>
      <c r="U98" s="30"/>
      <c r="V98" s="29"/>
      <c r="W98" s="35"/>
      <c r="X98" s="36"/>
      <c r="Y98" s="36"/>
      <c r="Z98" s="30"/>
      <c r="AA98" s="29"/>
      <c r="AB98" s="35"/>
      <c r="AC98" s="36"/>
      <c r="AD98" s="36"/>
      <c r="AE98" s="30"/>
      <c r="AF98" s="29"/>
      <c r="AG98" s="35"/>
      <c r="AH98" s="36"/>
      <c r="AI98" s="36"/>
      <c r="AJ98" s="30"/>
      <c r="AK98" s="29"/>
      <c r="AL98" s="35"/>
      <c r="AM98" s="36"/>
      <c r="AN98" s="36"/>
      <c r="AO98" s="30"/>
      <c r="AP98" s="29"/>
      <c r="AQ98" s="35"/>
      <c r="AR98" s="36"/>
      <c r="AS98" s="36"/>
      <c r="AT98" s="30"/>
      <c r="AU98" s="29"/>
      <c r="AV98" s="29"/>
      <c r="AW98" s="29"/>
      <c r="AX98" s="37"/>
      <c r="AY98" s="29"/>
      <c r="AZ98" s="38" t="str">
        <f aca="false">IF($C98="","",IF(OR(F98="Completed",F98="Cancelled"),"",IF(AND(OR(F98="On Hold",ISNUMBER(VALUE(LEFT(H98,2)))),AY98=""),"Reason not given","")))</f>
        <v/>
      </c>
      <c r="BA98" s="30"/>
    </row>
    <row r="99" customFormat="false" ht="19.5" hidden="false" customHeight="true" outlineLevel="0" collapsed="false">
      <c r="A99" s="28" t="str">
        <f aca="false">IF($C99="","",COUNTA($C$17:$C99))</f>
        <v/>
      </c>
      <c r="B99" s="29"/>
      <c r="C99" s="30"/>
      <c r="D99" s="29"/>
      <c r="E99" s="31" t="str">
        <f aca="false">IF($C99="","",IF(NOT(OR(M99="Completed",M99="NA",M99="Cancelled")),"S1 Schematic",IF(NOT(OR(R99="Completed",R99="NA",R99="Cancelled")),"S2 PCB Layout",IF(NOT(OR(W99="Completed",W99="NA",W99="Cancelled")),"S3 SI &amp; PI",IF(NOT(OR(AB99="Completed",AB99="NA",AB99="Cancelled")),"S4 Bare-PCB Fab",IF(NOT(OR(AG99="Completed",AG99="NA",AG99="Cancelled")),"S5 Assembly",IF(NOT(OR(AL99="Completed",AL99="NA",AL99="Cancelled")),"S6 Bring-up",IF(NOT(OR(AQ99="Completed",AQ99="NA",AQ99="Cancelled")),"S7 BOM Procurement","All Stages Closed"))))))))</f>
        <v/>
      </c>
      <c r="F99" s="32" t="str">
        <f aca="false">IF($C99="","",IF(COUNTIF(M99,"Cancelled")+COUNTIF(R99,"Cancelled")+COUNTIF(W99,"Cancelled")+COUNTIF(AB99,"Cancelled")+COUNTIF(AG99,"Cancelled")+COUNTIF(AL99,"Cancelled")+COUNTIF(AQ99,"Cancelled")&gt;0,"Cancelled",IF(E99="All Stages Closed","Completed",IF(E99="S1 Schematic",M99,IF(E99="S2 PCB Layout",R99,IF(E99="S3 SI &amp; PI",W99,IF(E99="S4 Bare-PCB Fab",AB99,IF(E99="S5 Assembly",AG99,IF(E99="S6 Bring-up",AL99,AQ99)))))))))</f>
        <v/>
      </c>
      <c r="G99" s="33" t="str">
        <f aca="false">IF($C99="","",IF(E99="All Stages Closed","",IF(E99="S1 Schematic",IF(N99="","Not added",N99),IF(E99="S2 PCB Layout",IF(S99="","Not added",S99),IF(E99="S3 SI &amp; PI",IF(X99="","Not added",X99),IF(E99="S4 Bare-PCB Fab",IF(AC99="","Not added",AC99),IF(E99="S5 Assembly",IF(AH99="","Not added",AH99),IF(E99="S6 Bring-up",IF(AM99="","Not added",AM99),IF(AR99="","Not added",AR99)))))))))</f>
        <v/>
      </c>
      <c r="H99" s="32" t="str">
        <f aca="true">IF($C99="","",IF(OR(F99="Completed",F99="Cancelled"),"",IF(NOT(ISNUMBER(G99)),"No date set",IF(TODAY()&gt;G99,TODAY()-G99&amp;" days late",G99-TODAY()&amp;" days left"))))</f>
        <v/>
      </c>
      <c r="I99" s="31" t="str">
        <f aca="false">IF($C99="","",COUNTIF(M99,"Completed")+COUNTIF(R99,"Completed")+COUNTIF(W99,"Completed")+COUNTIF(AB99,"Completed")+COUNTIF(AG99,"Completed")+COUNTIF(AL99,"Completed")+COUNTIF(AQ99,"Completed"))</f>
        <v/>
      </c>
      <c r="J99" s="31" t="str">
        <f aca="false">IF($C99="","",7-(COUNTIF(M99,"NA")+COUNTIF(R99,"NA")+COUNTIF(W99,"NA")+COUNTIF(AB99,"NA")+COUNTIF(AG99,"NA")+COUNTIF(AL99,"NA")+COUNTIF(AQ99,"NA")))</f>
        <v/>
      </c>
      <c r="K99" s="34" t="str">
        <f aca="false">IFERROR(I99/J99,"")</f>
        <v/>
      </c>
      <c r="L99" s="29"/>
      <c r="M99" s="35"/>
      <c r="N99" s="36"/>
      <c r="O99" s="36"/>
      <c r="P99" s="30"/>
      <c r="Q99" s="29"/>
      <c r="R99" s="35"/>
      <c r="S99" s="36"/>
      <c r="T99" s="36"/>
      <c r="U99" s="30"/>
      <c r="V99" s="29"/>
      <c r="W99" s="35"/>
      <c r="X99" s="36"/>
      <c r="Y99" s="36"/>
      <c r="Z99" s="30"/>
      <c r="AA99" s="29"/>
      <c r="AB99" s="35"/>
      <c r="AC99" s="36"/>
      <c r="AD99" s="36"/>
      <c r="AE99" s="30"/>
      <c r="AF99" s="29"/>
      <c r="AG99" s="35"/>
      <c r="AH99" s="36"/>
      <c r="AI99" s="36"/>
      <c r="AJ99" s="30"/>
      <c r="AK99" s="29"/>
      <c r="AL99" s="35"/>
      <c r="AM99" s="36"/>
      <c r="AN99" s="36"/>
      <c r="AO99" s="30"/>
      <c r="AP99" s="29"/>
      <c r="AQ99" s="35"/>
      <c r="AR99" s="36"/>
      <c r="AS99" s="36"/>
      <c r="AT99" s="30"/>
      <c r="AU99" s="29"/>
      <c r="AV99" s="29"/>
      <c r="AW99" s="29"/>
      <c r="AX99" s="37"/>
      <c r="AY99" s="29"/>
      <c r="AZ99" s="38" t="str">
        <f aca="false">IF($C99="","",IF(OR(F99="Completed",F99="Cancelled"),"",IF(AND(OR(F99="On Hold",ISNUMBER(VALUE(LEFT(H99,2)))),AY99=""),"Reason not given","")))</f>
        <v/>
      </c>
      <c r="BA99" s="30"/>
    </row>
    <row r="100" customFormat="false" ht="19.5" hidden="false" customHeight="true" outlineLevel="0" collapsed="false">
      <c r="A100" s="28" t="str">
        <f aca="false">IF($C100="","",COUNTA($C$17:$C100))</f>
        <v/>
      </c>
      <c r="B100" s="29"/>
      <c r="C100" s="30"/>
      <c r="D100" s="29"/>
      <c r="E100" s="31" t="str">
        <f aca="false">IF($C100="","",IF(NOT(OR(M100="Completed",M100="NA",M100="Cancelled")),"S1 Schematic",IF(NOT(OR(R100="Completed",R100="NA",R100="Cancelled")),"S2 PCB Layout",IF(NOT(OR(W100="Completed",W100="NA",W100="Cancelled")),"S3 SI &amp; PI",IF(NOT(OR(AB100="Completed",AB100="NA",AB100="Cancelled")),"S4 Bare-PCB Fab",IF(NOT(OR(AG100="Completed",AG100="NA",AG100="Cancelled")),"S5 Assembly",IF(NOT(OR(AL100="Completed",AL100="NA",AL100="Cancelled")),"S6 Bring-up",IF(NOT(OR(AQ100="Completed",AQ100="NA",AQ100="Cancelled")),"S7 BOM Procurement","All Stages Closed"))))))))</f>
        <v/>
      </c>
      <c r="F100" s="32" t="str">
        <f aca="false">IF($C100="","",IF(COUNTIF(M100,"Cancelled")+COUNTIF(R100,"Cancelled")+COUNTIF(W100,"Cancelled")+COUNTIF(AB100,"Cancelled")+COUNTIF(AG100,"Cancelled")+COUNTIF(AL100,"Cancelled")+COUNTIF(AQ100,"Cancelled")&gt;0,"Cancelled",IF(E100="All Stages Closed","Completed",IF(E100="S1 Schematic",M100,IF(E100="S2 PCB Layout",R100,IF(E100="S3 SI &amp; PI",W100,IF(E100="S4 Bare-PCB Fab",AB100,IF(E100="S5 Assembly",AG100,IF(E100="S6 Bring-up",AL100,AQ100)))))))))</f>
        <v/>
      </c>
      <c r="G100" s="33" t="str">
        <f aca="false">IF($C100="","",IF(E100="All Stages Closed","",IF(E100="S1 Schematic",IF(N100="","Not added",N100),IF(E100="S2 PCB Layout",IF(S100="","Not added",S100),IF(E100="S3 SI &amp; PI",IF(X100="","Not added",X100),IF(E100="S4 Bare-PCB Fab",IF(AC100="","Not added",AC100),IF(E100="S5 Assembly",IF(AH100="","Not added",AH100),IF(E100="S6 Bring-up",IF(AM100="","Not added",AM100),IF(AR100="","Not added",AR100)))))))))</f>
        <v/>
      </c>
      <c r="H100" s="32" t="str">
        <f aca="true">IF($C100="","",IF(OR(F100="Completed",F100="Cancelled"),"",IF(NOT(ISNUMBER(G100)),"No date set",IF(TODAY()&gt;G100,TODAY()-G100&amp;" days late",G100-TODAY()&amp;" days left"))))</f>
        <v/>
      </c>
      <c r="I100" s="31" t="str">
        <f aca="false">IF($C100="","",COUNTIF(M100,"Completed")+COUNTIF(R100,"Completed")+COUNTIF(W100,"Completed")+COUNTIF(AB100,"Completed")+COUNTIF(AG100,"Completed")+COUNTIF(AL100,"Completed")+COUNTIF(AQ100,"Completed"))</f>
        <v/>
      </c>
      <c r="J100" s="31" t="str">
        <f aca="false">IF($C100="","",7-(COUNTIF(M100,"NA")+COUNTIF(R100,"NA")+COUNTIF(W100,"NA")+COUNTIF(AB100,"NA")+COUNTIF(AG100,"NA")+COUNTIF(AL100,"NA")+COUNTIF(AQ100,"NA")))</f>
        <v/>
      </c>
      <c r="K100" s="34" t="str">
        <f aca="false">IFERROR(I100/J100,"")</f>
        <v/>
      </c>
      <c r="L100" s="29"/>
      <c r="M100" s="35"/>
      <c r="N100" s="36"/>
      <c r="O100" s="36"/>
      <c r="P100" s="30"/>
      <c r="Q100" s="29"/>
      <c r="R100" s="35"/>
      <c r="S100" s="36"/>
      <c r="T100" s="36"/>
      <c r="U100" s="30"/>
      <c r="V100" s="29"/>
      <c r="W100" s="35"/>
      <c r="X100" s="36"/>
      <c r="Y100" s="36"/>
      <c r="Z100" s="30"/>
      <c r="AA100" s="29"/>
      <c r="AB100" s="35"/>
      <c r="AC100" s="36"/>
      <c r="AD100" s="36"/>
      <c r="AE100" s="30"/>
      <c r="AF100" s="29"/>
      <c r="AG100" s="35"/>
      <c r="AH100" s="36"/>
      <c r="AI100" s="36"/>
      <c r="AJ100" s="30"/>
      <c r="AK100" s="29"/>
      <c r="AL100" s="35"/>
      <c r="AM100" s="36"/>
      <c r="AN100" s="36"/>
      <c r="AO100" s="30"/>
      <c r="AP100" s="29"/>
      <c r="AQ100" s="35"/>
      <c r="AR100" s="36"/>
      <c r="AS100" s="36"/>
      <c r="AT100" s="30"/>
      <c r="AU100" s="29"/>
      <c r="AV100" s="29"/>
      <c r="AW100" s="29"/>
      <c r="AX100" s="37"/>
      <c r="AY100" s="29"/>
      <c r="AZ100" s="38" t="str">
        <f aca="false">IF($C100="","",IF(OR(F100="Completed",F100="Cancelled"),"",IF(AND(OR(F100="On Hold",ISNUMBER(VALUE(LEFT(H100,2)))),AY100=""),"Reason not given","")))</f>
        <v/>
      </c>
      <c r="BA100" s="30"/>
    </row>
    <row r="101" customFormat="false" ht="19.5" hidden="false" customHeight="true" outlineLevel="0" collapsed="false">
      <c r="A101" s="28" t="str">
        <f aca="false">IF($C101="","",COUNTA($C$17:$C101))</f>
        <v/>
      </c>
      <c r="B101" s="29"/>
      <c r="C101" s="30"/>
      <c r="D101" s="29"/>
      <c r="E101" s="31" t="str">
        <f aca="false">IF($C101="","",IF(NOT(OR(M101="Completed",M101="NA",M101="Cancelled")),"S1 Schematic",IF(NOT(OR(R101="Completed",R101="NA",R101="Cancelled")),"S2 PCB Layout",IF(NOT(OR(W101="Completed",W101="NA",W101="Cancelled")),"S3 SI &amp; PI",IF(NOT(OR(AB101="Completed",AB101="NA",AB101="Cancelled")),"S4 Bare-PCB Fab",IF(NOT(OR(AG101="Completed",AG101="NA",AG101="Cancelled")),"S5 Assembly",IF(NOT(OR(AL101="Completed",AL101="NA",AL101="Cancelled")),"S6 Bring-up",IF(NOT(OR(AQ101="Completed",AQ101="NA",AQ101="Cancelled")),"S7 BOM Procurement","All Stages Closed"))))))))</f>
        <v/>
      </c>
      <c r="F101" s="32" t="str">
        <f aca="false">IF($C101="","",IF(COUNTIF(M101,"Cancelled")+COUNTIF(R101,"Cancelled")+COUNTIF(W101,"Cancelled")+COUNTIF(AB101,"Cancelled")+COUNTIF(AG101,"Cancelled")+COUNTIF(AL101,"Cancelled")+COUNTIF(AQ101,"Cancelled")&gt;0,"Cancelled",IF(E101="All Stages Closed","Completed",IF(E101="S1 Schematic",M101,IF(E101="S2 PCB Layout",R101,IF(E101="S3 SI &amp; PI",W101,IF(E101="S4 Bare-PCB Fab",AB101,IF(E101="S5 Assembly",AG101,IF(E101="S6 Bring-up",AL101,AQ101)))))))))</f>
        <v/>
      </c>
      <c r="G101" s="33" t="str">
        <f aca="false">IF($C101="","",IF(E101="All Stages Closed","",IF(E101="S1 Schematic",IF(N101="","Not added",N101),IF(E101="S2 PCB Layout",IF(S101="","Not added",S101),IF(E101="S3 SI &amp; PI",IF(X101="","Not added",X101),IF(E101="S4 Bare-PCB Fab",IF(AC101="","Not added",AC101),IF(E101="S5 Assembly",IF(AH101="","Not added",AH101),IF(E101="S6 Bring-up",IF(AM101="","Not added",AM101),IF(AR101="","Not added",AR101)))))))))</f>
        <v/>
      </c>
      <c r="H101" s="32" t="str">
        <f aca="true">IF($C101="","",IF(OR(F101="Completed",F101="Cancelled"),"",IF(NOT(ISNUMBER(G101)),"No date set",IF(TODAY()&gt;G101,TODAY()-G101&amp;" days late",G101-TODAY()&amp;" days left"))))</f>
        <v/>
      </c>
      <c r="I101" s="31" t="str">
        <f aca="false">IF($C101="","",COUNTIF(M101,"Completed")+COUNTIF(R101,"Completed")+COUNTIF(W101,"Completed")+COUNTIF(AB101,"Completed")+COUNTIF(AG101,"Completed")+COUNTIF(AL101,"Completed")+COUNTIF(AQ101,"Completed"))</f>
        <v/>
      </c>
      <c r="J101" s="31" t="str">
        <f aca="false">IF($C101="","",7-(COUNTIF(M101,"NA")+COUNTIF(R101,"NA")+COUNTIF(W101,"NA")+COUNTIF(AB101,"NA")+COUNTIF(AG101,"NA")+COUNTIF(AL101,"NA")+COUNTIF(AQ101,"NA")))</f>
        <v/>
      </c>
      <c r="K101" s="34" t="str">
        <f aca="false">IFERROR(I101/J101,"")</f>
        <v/>
      </c>
      <c r="L101" s="29"/>
      <c r="M101" s="35"/>
      <c r="N101" s="36"/>
      <c r="O101" s="36"/>
      <c r="P101" s="30"/>
      <c r="Q101" s="29"/>
      <c r="R101" s="35"/>
      <c r="S101" s="36"/>
      <c r="T101" s="36"/>
      <c r="U101" s="30"/>
      <c r="V101" s="29"/>
      <c r="W101" s="35"/>
      <c r="X101" s="36"/>
      <c r="Y101" s="36"/>
      <c r="Z101" s="30"/>
      <c r="AA101" s="29"/>
      <c r="AB101" s="35"/>
      <c r="AC101" s="36"/>
      <c r="AD101" s="36"/>
      <c r="AE101" s="30"/>
      <c r="AF101" s="29"/>
      <c r="AG101" s="35"/>
      <c r="AH101" s="36"/>
      <c r="AI101" s="36"/>
      <c r="AJ101" s="30"/>
      <c r="AK101" s="29"/>
      <c r="AL101" s="35"/>
      <c r="AM101" s="36"/>
      <c r="AN101" s="36"/>
      <c r="AO101" s="30"/>
      <c r="AP101" s="29"/>
      <c r="AQ101" s="35"/>
      <c r="AR101" s="36"/>
      <c r="AS101" s="36"/>
      <c r="AT101" s="30"/>
      <c r="AU101" s="29"/>
      <c r="AV101" s="29"/>
      <c r="AW101" s="29"/>
      <c r="AX101" s="37"/>
      <c r="AY101" s="29"/>
      <c r="AZ101" s="38" t="str">
        <f aca="false">IF($C101="","",IF(OR(F101="Completed",F101="Cancelled"),"",IF(AND(OR(F101="On Hold",ISNUMBER(VALUE(LEFT(H101,2)))),AY101=""),"Reason not given","")))</f>
        <v/>
      </c>
      <c r="BA101" s="30"/>
    </row>
    <row r="102" customFormat="false" ht="19.5" hidden="false" customHeight="true" outlineLevel="0" collapsed="false">
      <c r="A102" s="28" t="str">
        <f aca="false">IF($C102="","",COUNTA($C$17:$C102))</f>
        <v/>
      </c>
      <c r="B102" s="29"/>
      <c r="C102" s="30"/>
      <c r="D102" s="29"/>
      <c r="E102" s="31" t="str">
        <f aca="false">IF($C102="","",IF(NOT(OR(M102="Completed",M102="NA",M102="Cancelled")),"S1 Schematic",IF(NOT(OR(R102="Completed",R102="NA",R102="Cancelled")),"S2 PCB Layout",IF(NOT(OR(W102="Completed",W102="NA",W102="Cancelled")),"S3 SI &amp; PI",IF(NOT(OR(AB102="Completed",AB102="NA",AB102="Cancelled")),"S4 Bare-PCB Fab",IF(NOT(OR(AG102="Completed",AG102="NA",AG102="Cancelled")),"S5 Assembly",IF(NOT(OR(AL102="Completed",AL102="NA",AL102="Cancelled")),"S6 Bring-up",IF(NOT(OR(AQ102="Completed",AQ102="NA",AQ102="Cancelled")),"S7 BOM Procurement","All Stages Closed"))))))))</f>
        <v/>
      </c>
      <c r="F102" s="32" t="str">
        <f aca="false">IF($C102="","",IF(COUNTIF(M102,"Cancelled")+COUNTIF(R102,"Cancelled")+COUNTIF(W102,"Cancelled")+COUNTIF(AB102,"Cancelled")+COUNTIF(AG102,"Cancelled")+COUNTIF(AL102,"Cancelled")+COUNTIF(AQ102,"Cancelled")&gt;0,"Cancelled",IF(E102="All Stages Closed","Completed",IF(E102="S1 Schematic",M102,IF(E102="S2 PCB Layout",R102,IF(E102="S3 SI &amp; PI",W102,IF(E102="S4 Bare-PCB Fab",AB102,IF(E102="S5 Assembly",AG102,IF(E102="S6 Bring-up",AL102,AQ102)))))))))</f>
        <v/>
      </c>
      <c r="G102" s="33" t="str">
        <f aca="false">IF($C102="","",IF(E102="All Stages Closed","",IF(E102="S1 Schematic",IF(N102="","Not added",N102),IF(E102="S2 PCB Layout",IF(S102="","Not added",S102),IF(E102="S3 SI &amp; PI",IF(X102="","Not added",X102),IF(E102="S4 Bare-PCB Fab",IF(AC102="","Not added",AC102),IF(E102="S5 Assembly",IF(AH102="","Not added",AH102),IF(E102="S6 Bring-up",IF(AM102="","Not added",AM102),IF(AR102="","Not added",AR102)))))))))</f>
        <v/>
      </c>
      <c r="H102" s="32" t="str">
        <f aca="true">IF($C102="","",IF(OR(F102="Completed",F102="Cancelled"),"",IF(NOT(ISNUMBER(G102)),"No date set",IF(TODAY()&gt;G102,TODAY()-G102&amp;" days late",G102-TODAY()&amp;" days left"))))</f>
        <v/>
      </c>
      <c r="I102" s="31" t="str">
        <f aca="false">IF($C102="","",COUNTIF(M102,"Completed")+COUNTIF(R102,"Completed")+COUNTIF(W102,"Completed")+COUNTIF(AB102,"Completed")+COUNTIF(AG102,"Completed")+COUNTIF(AL102,"Completed")+COUNTIF(AQ102,"Completed"))</f>
        <v/>
      </c>
      <c r="J102" s="31" t="str">
        <f aca="false">IF($C102="","",7-(COUNTIF(M102,"NA")+COUNTIF(R102,"NA")+COUNTIF(W102,"NA")+COUNTIF(AB102,"NA")+COUNTIF(AG102,"NA")+COUNTIF(AL102,"NA")+COUNTIF(AQ102,"NA")))</f>
        <v/>
      </c>
      <c r="K102" s="34" t="str">
        <f aca="false">IFERROR(I102/J102,"")</f>
        <v/>
      </c>
      <c r="L102" s="29"/>
      <c r="M102" s="35"/>
      <c r="N102" s="36"/>
      <c r="O102" s="36"/>
      <c r="P102" s="30"/>
      <c r="Q102" s="29"/>
      <c r="R102" s="35"/>
      <c r="S102" s="36"/>
      <c r="T102" s="36"/>
      <c r="U102" s="30"/>
      <c r="V102" s="29"/>
      <c r="W102" s="35"/>
      <c r="X102" s="36"/>
      <c r="Y102" s="36"/>
      <c r="Z102" s="30"/>
      <c r="AA102" s="29"/>
      <c r="AB102" s="35"/>
      <c r="AC102" s="36"/>
      <c r="AD102" s="36"/>
      <c r="AE102" s="30"/>
      <c r="AF102" s="29"/>
      <c r="AG102" s="35"/>
      <c r="AH102" s="36"/>
      <c r="AI102" s="36"/>
      <c r="AJ102" s="30"/>
      <c r="AK102" s="29"/>
      <c r="AL102" s="35"/>
      <c r="AM102" s="36"/>
      <c r="AN102" s="36"/>
      <c r="AO102" s="30"/>
      <c r="AP102" s="29"/>
      <c r="AQ102" s="35"/>
      <c r="AR102" s="36"/>
      <c r="AS102" s="36"/>
      <c r="AT102" s="30"/>
      <c r="AU102" s="29"/>
      <c r="AV102" s="29"/>
      <c r="AW102" s="29"/>
      <c r="AX102" s="37"/>
      <c r="AY102" s="29"/>
      <c r="AZ102" s="38" t="str">
        <f aca="false">IF($C102="","",IF(OR(F102="Completed",F102="Cancelled"),"",IF(AND(OR(F102="On Hold",ISNUMBER(VALUE(LEFT(H102,2)))),AY102=""),"Reason not given","")))</f>
        <v/>
      </c>
      <c r="BA102" s="30"/>
    </row>
    <row r="103" customFormat="false" ht="19.5" hidden="false" customHeight="true" outlineLevel="0" collapsed="false">
      <c r="A103" s="28" t="str">
        <f aca="false">IF($C103="","",COUNTA($C$17:$C103))</f>
        <v/>
      </c>
      <c r="B103" s="29"/>
      <c r="C103" s="30"/>
      <c r="D103" s="29"/>
      <c r="E103" s="31" t="str">
        <f aca="false">IF($C103="","",IF(NOT(OR(M103="Completed",M103="NA",M103="Cancelled")),"S1 Schematic",IF(NOT(OR(R103="Completed",R103="NA",R103="Cancelled")),"S2 PCB Layout",IF(NOT(OR(W103="Completed",W103="NA",W103="Cancelled")),"S3 SI &amp; PI",IF(NOT(OR(AB103="Completed",AB103="NA",AB103="Cancelled")),"S4 Bare-PCB Fab",IF(NOT(OR(AG103="Completed",AG103="NA",AG103="Cancelled")),"S5 Assembly",IF(NOT(OR(AL103="Completed",AL103="NA",AL103="Cancelled")),"S6 Bring-up",IF(NOT(OR(AQ103="Completed",AQ103="NA",AQ103="Cancelled")),"S7 BOM Procurement","All Stages Closed"))))))))</f>
        <v/>
      </c>
      <c r="F103" s="32" t="str">
        <f aca="false">IF($C103="","",IF(COUNTIF(M103,"Cancelled")+COUNTIF(R103,"Cancelled")+COUNTIF(W103,"Cancelled")+COUNTIF(AB103,"Cancelled")+COUNTIF(AG103,"Cancelled")+COUNTIF(AL103,"Cancelled")+COUNTIF(AQ103,"Cancelled")&gt;0,"Cancelled",IF(E103="All Stages Closed","Completed",IF(E103="S1 Schematic",M103,IF(E103="S2 PCB Layout",R103,IF(E103="S3 SI &amp; PI",W103,IF(E103="S4 Bare-PCB Fab",AB103,IF(E103="S5 Assembly",AG103,IF(E103="S6 Bring-up",AL103,AQ103)))))))))</f>
        <v/>
      </c>
      <c r="G103" s="33" t="str">
        <f aca="false">IF($C103="","",IF(E103="All Stages Closed","",IF(E103="S1 Schematic",IF(N103="","Not added",N103),IF(E103="S2 PCB Layout",IF(S103="","Not added",S103),IF(E103="S3 SI &amp; PI",IF(X103="","Not added",X103),IF(E103="S4 Bare-PCB Fab",IF(AC103="","Not added",AC103),IF(E103="S5 Assembly",IF(AH103="","Not added",AH103),IF(E103="S6 Bring-up",IF(AM103="","Not added",AM103),IF(AR103="","Not added",AR103)))))))))</f>
        <v/>
      </c>
      <c r="H103" s="32" t="str">
        <f aca="true">IF($C103="","",IF(OR(F103="Completed",F103="Cancelled"),"",IF(NOT(ISNUMBER(G103)),"No date set",IF(TODAY()&gt;G103,TODAY()-G103&amp;" days late",G103-TODAY()&amp;" days left"))))</f>
        <v/>
      </c>
      <c r="I103" s="31" t="str">
        <f aca="false">IF($C103="","",COUNTIF(M103,"Completed")+COUNTIF(R103,"Completed")+COUNTIF(W103,"Completed")+COUNTIF(AB103,"Completed")+COUNTIF(AG103,"Completed")+COUNTIF(AL103,"Completed")+COUNTIF(AQ103,"Completed"))</f>
        <v/>
      </c>
      <c r="J103" s="31" t="str">
        <f aca="false">IF($C103="","",7-(COUNTIF(M103,"NA")+COUNTIF(R103,"NA")+COUNTIF(W103,"NA")+COUNTIF(AB103,"NA")+COUNTIF(AG103,"NA")+COUNTIF(AL103,"NA")+COUNTIF(AQ103,"NA")))</f>
        <v/>
      </c>
      <c r="K103" s="34" t="str">
        <f aca="false">IFERROR(I103/J103,"")</f>
        <v/>
      </c>
      <c r="L103" s="29"/>
      <c r="M103" s="35"/>
      <c r="N103" s="36"/>
      <c r="O103" s="36"/>
      <c r="P103" s="30"/>
      <c r="Q103" s="29"/>
      <c r="R103" s="35"/>
      <c r="S103" s="36"/>
      <c r="T103" s="36"/>
      <c r="U103" s="30"/>
      <c r="V103" s="29"/>
      <c r="W103" s="35"/>
      <c r="X103" s="36"/>
      <c r="Y103" s="36"/>
      <c r="Z103" s="30"/>
      <c r="AA103" s="29"/>
      <c r="AB103" s="35"/>
      <c r="AC103" s="36"/>
      <c r="AD103" s="36"/>
      <c r="AE103" s="30"/>
      <c r="AF103" s="29"/>
      <c r="AG103" s="35"/>
      <c r="AH103" s="36"/>
      <c r="AI103" s="36"/>
      <c r="AJ103" s="30"/>
      <c r="AK103" s="29"/>
      <c r="AL103" s="35"/>
      <c r="AM103" s="36"/>
      <c r="AN103" s="36"/>
      <c r="AO103" s="30"/>
      <c r="AP103" s="29"/>
      <c r="AQ103" s="35"/>
      <c r="AR103" s="36"/>
      <c r="AS103" s="36"/>
      <c r="AT103" s="30"/>
      <c r="AU103" s="29"/>
      <c r="AV103" s="29"/>
      <c r="AW103" s="29"/>
      <c r="AX103" s="37"/>
      <c r="AY103" s="29"/>
      <c r="AZ103" s="38" t="str">
        <f aca="false">IF($C103="","",IF(OR(F103="Completed",F103="Cancelled"),"",IF(AND(OR(F103="On Hold",ISNUMBER(VALUE(LEFT(H103,2)))),AY103=""),"Reason not given","")))</f>
        <v/>
      </c>
      <c r="BA103" s="30"/>
    </row>
    <row r="104" customFormat="false" ht="19.5" hidden="false" customHeight="true" outlineLevel="0" collapsed="false">
      <c r="A104" s="28" t="str">
        <f aca="false">IF($C104="","",COUNTA($C$17:$C104))</f>
        <v/>
      </c>
      <c r="B104" s="29"/>
      <c r="C104" s="30"/>
      <c r="D104" s="29"/>
      <c r="E104" s="31" t="str">
        <f aca="false">IF($C104="","",IF(NOT(OR(M104="Completed",M104="NA",M104="Cancelled")),"S1 Schematic",IF(NOT(OR(R104="Completed",R104="NA",R104="Cancelled")),"S2 PCB Layout",IF(NOT(OR(W104="Completed",W104="NA",W104="Cancelled")),"S3 SI &amp; PI",IF(NOT(OR(AB104="Completed",AB104="NA",AB104="Cancelled")),"S4 Bare-PCB Fab",IF(NOT(OR(AG104="Completed",AG104="NA",AG104="Cancelled")),"S5 Assembly",IF(NOT(OR(AL104="Completed",AL104="NA",AL104="Cancelled")),"S6 Bring-up",IF(NOT(OR(AQ104="Completed",AQ104="NA",AQ104="Cancelled")),"S7 BOM Procurement","All Stages Closed"))))))))</f>
        <v/>
      </c>
      <c r="F104" s="32" t="str">
        <f aca="false">IF($C104="","",IF(COUNTIF(M104,"Cancelled")+COUNTIF(R104,"Cancelled")+COUNTIF(W104,"Cancelled")+COUNTIF(AB104,"Cancelled")+COUNTIF(AG104,"Cancelled")+COUNTIF(AL104,"Cancelled")+COUNTIF(AQ104,"Cancelled")&gt;0,"Cancelled",IF(E104="All Stages Closed","Completed",IF(E104="S1 Schematic",M104,IF(E104="S2 PCB Layout",R104,IF(E104="S3 SI &amp; PI",W104,IF(E104="S4 Bare-PCB Fab",AB104,IF(E104="S5 Assembly",AG104,IF(E104="S6 Bring-up",AL104,AQ104)))))))))</f>
        <v/>
      </c>
      <c r="G104" s="33" t="str">
        <f aca="false">IF($C104="","",IF(E104="All Stages Closed","",IF(E104="S1 Schematic",IF(N104="","Not added",N104),IF(E104="S2 PCB Layout",IF(S104="","Not added",S104),IF(E104="S3 SI &amp; PI",IF(X104="","Not added",X104),IF(E104="S4 Bare-PCB Fab",IF(AC104="","Not added",AC104),IF(E104="S5 Assembly",IF(AH104="","Not added",AH104),IF(E104="S6 Bring-up",IF(AM104="","Not added",AM104),IF(AR104="","Not added",AR104)))))))))</f>
        <v/>
      </c>
      <c r="H104" s="32" t="str">
        <f aca="true">IF($C104="","",IF(OR(F104="Completed",F104="Cancelled"),"",IF(NOT(ISNUMBER(G104)),"No date set",IF(TODAY()&gt;G104,TODAY()-G104&amp;" days late",G104-TODAY()&amp;" days left"))))</f>
        <v/>
      </c>
      <c r="I104" s="31" t="str">
        <f aca="false">IF($C104="","",COUNTIF(M104,"Completed")+COUNTIF(R104,"Completed")+COUNTIF(W104,"Completed")+COUNTIF(AB104,"Completed")+COUNTIF(AG104,"Completed")+COUNTIF(AL104,"Completed")+COUNTIF(AQ104,"Completed"))</f>
        <v/>
      </c>
      <c r="J104" s="31" t="str">
        <f aca="false">IF($C104="","",7-(COUNTIF(M104,"NA")+COUNTIF(R104,"NA")+COUNTIF(W104,"NA")+COUNTIF(AB104,"NA")+COUNTIF(AG104,"NA")+COUNTIF(AL104,"NA")+COUNTIF(AQ104,"NA")))</f>
        <v/>
      </c>
      <c r="K104" s="34" t="str">
        <f aca="false">IFERROR(I104/J104,"")</f>
        <v/>
      </c>
      <c r="L104" s="29"/>
      <c r="M104" s="35"/>
      <c r="N104" s="36"/>
      <c r="O104" s="36"/>
      <c r="P104" s="30"/>
      <c r="Q104" s="29"/>
      <c r="R104" s="35"/>
      <c r="S104" s="36"/>
      <c r="T104" s="36"/>
      <c r="U104" s="30"/>
      <c r="V104" s="29"/>
      <c r="W104" s="35"/>
      <c r="X104" s="36"/>
      <c r="Y104" s="36"/>
      <c r="Z104" s="30"/>
      <c r="AA104" s="29"/>
      <c r="AB104" s="35"/>
      <c r="AC104" s="36"/>
      <c r="AD104" s="36"/>
      <c r="AE104" s="30"/>
      <c r="AF104" s="29"/>
      <c r="AG104" s="35"/>
      <c r="AH104" s="36"/>
      <c r="AI104" s="36"/>
      <c r="AJ104" s="30"/>
      <c r="AK104" s="29"/>
      <c r="AL104" s="35"/>
      <c r="AM104" s="36"/>
      <c r="AN104" s="36"/>
      <c r="AO104" s="30"/>
      <c r="AP104" s="29"/>
      <c r="AQ104" s="35"/>
      <c r="AR104" s="36"/>
      <c r="AS104" s="36"/>
      <c r="AT104" s="30"/>
      <c r="AU104" s="29"/>
      <c r="AV104" s="29"/>
      <c r="AW104" s="29"/>
      <c r="AX104" s="37"/>
      <c r="AY104" s="29"/>
      <c r="AZ104" s="38" t="str">
        <f aca="false">IF($C104="","",IF(OR(F104="Completed",F104="Cancelled"),"",IF(AND(OR(F104="On Hold",ISNUMBER(VALUE(LEFT(H104,2)))),AY104=""),"Reason not given","")))</f>
        <v/>
      </c>
      <c r="BA104" s="30"/>
    </row>
    <row r="105" customFormat="false" ht="19.5" hidden="false" customHeight="true" outlineLevel="0" collapsed="false">
      <c r="A105" s="28" t="str">
        <f aca="false">IF($C105="","",COUNTA($C$17:$C105))</f>
        <v/>
      </c>
      <c r="B105" s="29"/>
      <c r="C105" s="30"/>
      <c r="D105" s="29"/>
      <c r="E105" s="31" t="str">
        <f aca="false">IF($C105="","",IF(NOT(OR(M105="Completed",M105="NA",M105="Cancelled")),"S1 Schematic",IF(NOT(OR(R105="Completed",R105="NA",R105="Cancelled")),"S2 PCB Layout",IF(NOT(OR(W105="Completed",W105="NA",W105="Cancelled")),"S3 SI &amp; PI",IF(NOT(OR(AB105="Completed",AB105="NA",AB105="Cancelled")),"S4 Bare-PCB Fab",IF(NOT(OR(AG105="Completed",AG105="NA",AG105="Cancelled")),"S5 Assembly",IF(NOT(OR(AL105="Completed",AL105="NA",AL105="Cancelled")),"S6 Bring-up",IF(NOT(OR(AQ105="Completed",AQ105="NA",AQ105="Cancelled")),"S7 BOM Procurement","All Stages Closed"))))))))</f>
        <v/>
      </c>
      <c r="F105" s="32" t="str">
        <f aca="false">IF($C105="","",IF(COUNTIF(M105,"Cancelled")+COUNTIF(R105,"Cancelled")+COUNTIF(W105,"Cancelled")+COUNTIF(AB105,"Cancelled")+COUNTIF(AG105,"Cancelled")+COUNTIF(AL105,"Cancelled")+COUNTIF(AQ105,"Cancelled")&gt;0,"Cancelled",IF(E105="All Stages Closed","Completed",IF(E105="S1 Schematic",M105,IF(E105="S2 PCB Layout",R105,IF(E105="S3 SI &amp; PI",W105,IF(E105="S4 Bare-PCB Fab",AB105,IF(E105="S5 Assembly",AG105,IF(E105="S6 Bring-up",AL105,AQ105)))))))))</f>
        <v/>
      </c>
      <c r="G105" s="33" t="str">
        <f aca="false">IF($C105="","",IF(E105="All Stages Closed","",IF(E105="S1 Schematic",IF(N105="","Not added",N105),IF(E105="S2 PCB Layout",IF(S105="","Not added",S105),IF(E105="S3 SI &amp; PI",IF(X105="","Not added",X105),IF(E105="S4 Bare-PCB Fab",IF(AC105="","Not added",AC105),IF(E105="S5 Assembly",IF(AH105="","Not added",AH105),IF(E105="S6 Bring-up",IF(AM105="","Not added",AM105),IF(AR105="","Not added",AR105)))))))))</f>
        <v/>
      </c>
      <c r="H105" s="32" t="str">
        <f aca="true">IF($C105="","",IF(OR(F105="Completed",F105="Cancelled"),"",IF(NOT(ISNUMBER(G105)),"No date set",IF(TODAY()&gt;G105,TODAY()-G105&amp;" days late",G105-TODAY()&amp;" days left"))))</f>
        <v/>
      </c>
      <c r="I105" s="31" t="str">
        <f aca="false">IF($C105="","",COUNTIF(M105,"Completed")+COUNTIF(R105,"Completed")+COUNTIF(W105,"Completed")+COUNTIF(AB105,"Completed")+COUNTIF(AG105,"Completed")+COUNTIF(AL105,"Completed")+COUNTIF(AQ105,"Completed"))</f>
        <v/>
      </c>
      <c r="J105" s="31" t="str">
        <f aca="false">IF($C105="","",7-(COUNTIF(M105,"NA")+COUNTIF(R105,"NA")+COUNTIF(W105,"NA")+COUNTIF(AB105,"NA")+COUNTIF(AG105,"NA")+COUNTIF(AL105,"NA")+COUNTIF(AQ105,"NA")))</f>
        <v/>
      </c>
      <c r="K105" s="34" t="str">
        <f aca="false">IFERROR(I105/J105,"")</f>
        <v/>
      </c>
      <c r="L105" s="29"/>
      <c r="M105" s="35"/>
      <c r="N105" s="36"/>
      <c r="O105" s="36"/>
      <c r="P105" s="30"/>
      <c r="Q105" s="29"/>
      <c r="R105" s="35"/>
      <c r="S105" s="36"/>
      <c r="T105" s="36"/>
      <c r="U105" s="30"/>
      <c r="V105" s="29"/>
      <c r="W105" s="35"/>
      <c r="X105" s="36"/>
      <c r="Y105" s="36"/>
      <c r="Z105" s="30"/>
      <c r="AA105" s="29"/>
      <c r="AB105" s="35"/>
      <c r="AC105" s="36"/>
      <c r="AD105" s="36"/>
      <c r="AE105" s="30"/>
      <c r="AF105" s="29"/>
      <c r="AG105" s="35"/>
      <c r="AH105" s="36"/>
      <c r="AI105" s="36"/>
      <c r="AJ105" s="30"/>
      <c r="AK105" s="29"/>
      <c r="AL105" s="35"/>
      <c r="AM105" s="36"/>
      <c r="AN105" s="36"/>
      <c r="AO105" s="30"/>
      <c r="AP105" s="29"/>
      <c r="AQ105" s="35"/>
      <c r="AR105" s="36"/>
      <c r="AS105" s="36"/>
      <c r="AT105" s="30"/>
      <c r="AU105" s="29"/>
      <c r="AV105" s="29"/>
      <c r="AW105" s="29"/>
      <c r="AX105" s="37"/>
      <c r="AY105" s="29"/>
      <c r="AZ105" s="38" t="str">
        <f aca="false">IF($C105="","",IF(OR(F105="Completed",F105="Cancelled"),"",IF(AND(OR(F105="On Hold",ISNUMBER(VALUE(LEFT(H105,2)))),AY105=""),"Reason not given","")))</f>
        <v/>
      </c>
      <c r="BA105" s="30"/>
    </row>
    <row r="106" customFormat="false" ht="19.5" hidden="false" customHeight="true" outlineLevel="0" collapsed="false">
      <c r="A106" s="28" t="str">
        <f aca="false">IF($C106="","",COUNTA($C$17:$C106))</f>
        <v/>
      </c>
      <c r="B106" s="29"/>
      <c r="C106" s="30"/>
      <c r="D106" s="29"/>
      <c r="E106" s="31" t="str">
        <f aca="false">IF($C106="","",IF(NOT(OR(M106="Completed",M106="NA",M106="Cancelled")),"S1 Schematic",IF(NOT(OR(R106="Completed",R106="NA",R106="Cancelled")),"S2 PCB Layout",IF(NOT(OR(W106="Completed",W106="NA",W106="Cancelled")),"S3 SI &amp; PI",IF(NOT(OR(AB106="Completed",AB106="NA",AB106="Cancelled")),"S4 Bare-PCB Fab",IF(NOT(OR(AG106="Completed",AG106="NA",AG106="Cancelled")),"S5 Assembly",IF(NOT(OR(AL106="Completed",AL106="NA",AL106="Cancelled")),"S6 Bring-up",IF(NOT(OR(AQ106="Completed",AQ106="NA",AQ106="Cancelled")),"S7 BOM Procurement","All Stages Closed"))))))))</f>
        <v/>
      </c>
      <c r="F106" s="32" t="str">
        <f aca="false">IF($C106="","",IF(COUNTIF(M106,"Cancelled")+COUNTIF(R106,"Cancelled")+COUNTIF(W106,"Cancelled")+COUNTIF(AB106,"Cancelled")+COUNTIF(AG106,"Cancelled")+COUNTIF(AL106,"Cancelled")+COUNTIF(AQ106,"Cancelled")&gt;0,"Cancelled",IF(E106="All Stages Closed","Completed",IF(E106="S1 Schematic",M106,IF(E106="S2 PCB Layout",R106,IF(E106="S3 SI &amp; PI",W106,IF(E106="S4 Bare-PCB Fab",AB106,IF(E106="S5 Assembly",AG106,IF(E106="S6 Bring-up",AL106,AQ106)))))))))</f>
        <v/>
      </c>
      <c r="G106" s="33" t="str">
        <f aca="false">IF($C106="","",IF(E106="All Stages Closed","",IF(E106="S1 Schematic",IF(N106="","Not added",N106),IF(E106="S2 PCB Layout",IF(S106="","Not added",S106),IF(E106="S3 SI &amp; PI",IF(X106="","Not added",X106),IF(E106="S4 Bare-PCB Fab",IF(AC106="","Not added",AC106),IF(E106="S5 Assembly",IF(AH106="","Not added",AH106),IF(E106="S6 Bring-up",IF(AM106="","Not added",AM106),IF(AR106="","Not added",AR106)))))))))</f>
        <v/>
      </c>
      <c r="H106" s="32" t="str">
        <f aca="true">IF($C106="","",IF(OR(F106="Completed",F106="Cancelled"),"",IF(NOT(ISNUMBER(G106)),"No date set",IF(TODAY()&gt;G106,TODAY()-G106&amp;" days late",G106-TODAY()&amp;" days left"))))</f>
        <v/>
      </c>
      <c r="I106" s="31" t="str">
        <f aca="false">IF($C106="","",COUNTIF(M106,"Completed")+COUNTIF(R106,"Completed")+COUNTIF(W106,"Completed")+COUNTIF(AB106,"Completed")+COUNTIF(AG106,"Completed")+COUNTIF(AL106,"Completed")+COUNTIF(AQ106,"Completed"))</f>
        <v/>
      </c>
      <c r="J106" s="31" t="str">
        <f aca="false">IF($C106="","",7-(COUNTIF(M106,"NA")+COUNTIF(R106,"NA")+COUNTIF(W106,"NA")+COUNTIF(AB106,"NA")+COUNTIF(AG106,"NA")+COUNTIF(AL106,"NA")+COUNTIF(AQ106,"NA")))</f>
        <v/>
      </c>
      <c r="K106" s="34" t="str">
        <f aca="false">IFERROR(I106/J106,"")</f>
        <v/>
      </c>
      <c r="L106" s="29"/>
      <c r="M106" s="35"/>
      <c r="N106" s="36"/>
      <c r="O106" s="36"/>
      <c r="P106" s="30"/>
      <c r="Q106" s="29"/>
      <c r="R106" s="35"/>
      <c r="S106" s="36"/>
      <c r="T106" s="36"/>
      <c r="U106" s="30"/>
      <c r="V106" s="29"/>
      <c r="W106" s="35"/>
      <c r="X106" s="36"/>
      <c r="Y106" s="36"/>
      <c r="Z106" s="30"/>
      <c r="AA106" s="29"/>
      <c r="AB106" s="35"/>
      <c r="AC106" s="36"/>
      <c r="AD106" s="36"/>
      <c r="AE106" s="30"/>
      <c r="AF106" s="29"/>
      <c r="AG106" s="35"/>
      <c r="AH106" s="36"/>
      <c r="AI106" s="36"/>
      <c r="AJ106" s="30"/>
      <c r="AK106" s="29"/>
      <c r="AL106" s="35"/>
      <c r="AM106" s="36"/>
      <c r="AN106" s="36"/>
      <c r="AO106" s="30"/>
      <c r="AP106" s="29"/>
      <c r="AQ106" s="35"/>
      <c r="AR106" s="36"/>
      <c r="AS106" s="36"/>
      <c r="AT106" s="30"/>
      <c r="AU106" s="29"/>
      <c r="AV106" s="29"/>
      <c r="AW106" s="29"/>
      <c r="AX106" s="37"/>
      <c r="AY106" s="29"/>
      <c r="AZ106" s="38" t="str">
        <f aca="false">IF($C106="","",IF(OR(F106="Completed",F106="Cancelled"),"",IF(AND(OR(F106="On Hold",ISNUMBER(VALUE(LEFT(H106,2)))),AY106=""),"Reason not given","")))</f>
        <v/>
      </c>
      <c r="BA106" s="30"/>
    </row>
    <row r="107" customFormat="false" ht="19.5" hidden="false" customHeight="true" outlineLevel="0" collapsed="false">
      <c r="A107" s="28" t="str">
        <f aca="false">IF($C107="","",COUNTA($C$17:$C107))</f>
        <v/>
      </c>
      <c r="B107" s="29"/>
      <c r="C107" s="30"/>
      <c r="D107" s="29"/>
      <c r="E107" s="31" t="str">
        <f aca="false">IF($C107="","",IF(NOT(OR(M107="Completed",M107="NA",M107="Cancelled")),"S1 Schematic",IF(NOT(OR(R107="Completed",R107="NA",R107="Cancelled")),"S2 PCB Layout",IF(NOT(OR(W107="Completed",W107="NA",W107="Cancelled")),"S3 SI &amp; PI",IF(NOT(OR(AB107="Completed",AB107="NA",AB107="Cancelled")),"S4 Bare-PCB Fab",IF(NOT(OR(AG107="Completed",AG107="NA",AG107="Cancelled")),"S5 Assembly",IF(NOT(OR(AL107="Completed",AL107="NA",AL107="Cancelled")),"S6 Bring-up",IF(NOT(OR(AQ107="Completed",AQ107="NA",AQ107="Cancelled")),"S7 BOM Procurement","All Stages Closed"))))))))</f>
        <v/>
      </c>
      <c r="F107" s="32" t="str">
        <f aca="false">IF($C107="","",IF(COUNTIF(M107,"Cancelled")+COUNTIF(R107,"Cancelled")+COUNTIF(W107,"Cancelled")+COUNTIF(AB107,"Cancelled")+COUNTIF(AG107,"Cancelled")+COUNTIF(AL107,"Cancelled")+COUNTIF(AQ107,"Cancelled")&gt;0,"Cancelled",IF(E107="All Stages Closed","Completed",IF(E107="S1 Schematic",M107,IF(E107="S2 PCB Layout",R107,IF(E107="S3 SI &amp; PI",W107,IF(E107="S4 Bare-PCB Fab",AB107,IF(E107="S5 Assembly",AG107,IF(E107="S6 Bring-up",AL107,AQ107)))))))))</f>
        <v/>
      </c>
      <c r="G107" s="33" t="str">
        <f aca="false">IF($C107="","",IF(E107="All Stages Closed","",IF(E107="S1 Schematic",IF(N107="","Not added",N107),IF(E107="S2 PCB Layout",IF(S107="","Not added",S107),IF(E107="S3 SI &amp; PI",IF(X107="","Not added",X107),IF(E107="S4 Bare-PCB Fab",IF(AC107="","Not added",AC107),IF(E107="S5 Assembly",IF(AH107="","Not added",AH107),IF(E107="S6 Bring-up",IF(AM107="","Not added",AM107),IF(AR107="","Not added",AR107)))))))))</f>
        <v/>
      </c>
      <c r="H107" s="32" t="str">
        <f aca="true">IF($C107="","",IF(OR(F107="Completed",F107="Cancelled"),"",IF(NOT(ISNUMBER(G107)),"No date set",IF(TODAY()&gt;G107,TODAY()-G107&amp;" days late",G107-TODAY()&amp;" days left"))))</f>
        <v/>
      </c>
      <c r="I107" s="31" t="str">
        <f aca="false">IF($C107="","",COUNTIF(M107,"Completed")+COUNTIF(R107,"Completed")+COUNTIF(W107,"Completed")+COUNTIF(AB107,"Completed")+COUNTIF(AG107,"Completed")+COUNTIF(AL107,"Completed")+COUNTIF(AQ107,"Completed"))</f>
        <v/>
      </c>
      <c r="J107" s="31" t="str">
        <f aca="false">IF($C107="","",7-(COUNTIF(M107,"NA")+COUNTIF(R107,"NA")+COUNTIF(W107,"NA")+COUNTIF(AB107,"NA")+COUNTIF(AG107,"NA")+COUNTIF(AL107,"NA")+COUNTIF(AQ107,"NA")))</f>
        <v/>
      </c>
      <c r="K107" s="34" t="str">
        <f aca="false">IFERROR(I107/J107,"")</f>
        <v/>
      </c>
      <c r="L107" s="29"/>
      <c r="M107" s="35"/>
      <c r="N107" s="36"/>
      <c r="O107" s="36"/>
      <c r="P107" s="30"/>
      <c r="Q107" s="29"/>
      <c r="R107" s="35"/>
      <c r="S107" s="36"/>
      <c r="T107" s="36"/>
      <c r="U107" s="30"/>
      <c r="V107" s="29"/>
      <c r="W107" s="35"/>
      <c r="X107" s="36"/>
      <c r="Y107" s="36"/>
      <c r="Z107" s="30"/>
      <c r="AA107" s="29"/>
      <c r="AB107" s="35"/>
      <c r="AC107" s="36"/>
      <c r="AD107" s="36"/>
      <c r="AE107" s="30"/>
      <c r="AF107" s="29"/>
      <c r="AG107" s="35"/>
      <c r="AH107" s="36"/>
      <c r="AI107" s="36"/>
      <c r="AJ107" s="30"/>
      <c r="AK107" s="29"/>
      <c r="AL107" s="35"/>
      <c r="AM107" s="36"/>
      <c r="AN107" s="36"/>
      <c r="AO107" s="30"/>
      <c r="AP107" s="29"/>
      <c r="AQ107" s="35"/>
      <c r="AR107" s="36"/>
      <c r="AS107" s="36"/>
      <c r="AT107" s="30"/>
      <c r="AU107" s="29"/>
      <c r="AV107" s="29"/>
      <c r="AW107" s="29"/>
      <c r="AX107" s="37"/>
      <c r="AY107" s="29"/>
      <c r="AZ107" s="38" t="str">
        <f aca="false">IF($C107="","",IF(OR(F107="Completed",F107="Cancelled"),"",IF(AND(OR(F107="On Hold",ISNUMBER(VALUE(LEFT(H107,2)))),AY107=""),"Reason not given","")))</f>
        <v/>
      </c>
      <c r="BA107" s="30"/>
    </row>
    <row r="108" customFormat="false" ht="19.5" hidden="false" customHeight="true" outlineLevel="0" collapsed="false">
      <c r="A108" s="28" t="str">
        <f aca="false">IF($C108="","",COUNTA($C$17:$C108))</f>
        <v/>
      </c>
      <c r="B108" s="29"/>
      <c r="C108" s="30"/>
      <c r="D108" s="29"/>
      <c r="E108" s="31" t="str">
        <f aca="false">IF($C108="","",IF(NOT(OR(M108="Completed",M108="NA",M108="Cancelled")),"S1 Schematic",IF(NOT(OR(R108="Completed",R108="NA",R108="Cancelled")),"S2 PCB Layout",IF(NOT(OR(W108="Completed",W108="NA",W108="Cancelled")),"S3 SI &amp; PI",IF(NOT(OR(AB108="Completed",AB108="NA",AB108="Cancelled")),"S4 Bare-PCB Fab",IF(NOT(OR(AG108="Completed",AG108="NA",AG108="Cancelled")),"S5 Assembly",IF(NOT(OR(AL108="Completed",AL108="NA",AL108="Cancelled")),"S6 Bring-up",IF(NOT(OR(AQ108="Completed",AQ108="NA",AQ108="Cancelled")),"S7 BOM Procurement","All Stages Closed"))))))))</f>
        <v/>
      </c>
      <c r="F108" s="32" t="str">
        <f aca="false">IF($C108="","",IF(COUNTIF(M108,"Cancelled")+COUNTIF(R108,"Cancelled")+COUNTIF(W108,"Cancelled")+COUNTIF(AB108,"Cancelled")+COUNTIF(AG108,"Cancelled")+COUNTIF(AL108,"Cancelled")+COUNTIF(AQ108,"Cancelled")&gt;0,"Cancelled",IF(E108="All Stages Closed","Completed",IF(E108="S1 Schematic",M108,IF(E108="S2 PCB Layout",R108,IF(E108="S3 SI &amp; PI",W108,IF(E108="S4 Bare-PCB Fab",AB108,IF(E108="S5 Assembly",AG108,IF(E108="S6 Bring-up",AL108,AQ108)))))))))</f>
        <v/>
      </c>
      <c r="G108" s="33" t="str">
        <f aca="false">IF($C108="","",IF(E108="All Stages Closed","",IF(E108="S1 Schematic",IF(N108="","Not added",N108),IF(E108="S2 PCB Layout",IF(S108="","Not added",S108),IF(E108="S3 SI &amp; PI",IF(X108="","Not added",X108),IF(E108="S4 Bare-PCB Fab",IF(AC108="","Not added",AC108),IF(E108="S5 Assembly",IF(AH108="","Not added",AH108),IF(E108="S6 Bring-up",IF(AM108="","Not added",AM108),IF(AR108="","Not added",AR108)))))))))</f>
        <v/>
      </c>
      <c r="H108" s="32" t="str">
        <f aca="true">IF($C108="","",IF(OR(F108="Completed",F108="Cancelled"),"",IF(NOT(ISNUMBER(G108)),"No date set",IF(TODAY()&gt;G108,TODAY()-G108&amp;" days late",G108-TODAY()&amp;" days left"))))</f>
        <v/>
      </c>
      <c r="I108" s="31" t="str">
        <f aca="false">IF($C108="","",COUNTIF(M108,"Completed")+COUNTIF(R108,"Completed")+COUNTIF(W108,"Completed")+COUNTIF(AB108,"Completed")+COUNTIF(AG108,"Completed")+COUNTIF(AL108,"Completed")+COUNTIF(AQ108,"Completed"))</f>
        <v/>
      </c>
      <c r="J108" s="31" t="str">
        <f aca="false">IF($C108="","",7-(COUNTIF(M108,"NA")+COUNTIF(R108,"NA")+COUNTIF(W108,"NA")+COUNTIF(AB108,"NA")+COUNTIF(AG108,"NA")+COUNTIF(AL108,"NA")+COUNTIF(AQ108,"NA")))</f>
        <v/>
      </c>
      <c r="K108" s="34" t="str">
        <f aca="false">IFERROR(I108/J108,"")</f>
        <v/>
      </c>
      <c r="L108" s="29"/>
      <c r="M108" s="35"/>
      <c r="N108" s="36"/>
      <c r="O108" s="36"/>
      <c r="P108" s="30"/>
      <c r="Q108" s="29"/>
      <c r="R108" s="35"/>
      <c r="S108" s="36"/>
      <c r="T108" s="36"/>
      <c r="U108" s="30"/>
      <c r="V108" s="29"/>
      <c r="W108" s="35"/>
      <c r="X108" s="36"/>
      <c r="Y108" s="36"/>
      <c r="Z108" s="30"/>
      <c r="AA108" s="29"/>
      <c r="AB108" s="35"/>
      <c r="AC108" s="36"/>
      <c r="AD108" s="36"/>
      <c r="AE108" s="30"/>
      <c r="AF108" s="29"/>
      <c r="AG108" s="35"/>
      <c r="AH108" s="36"/>
      <c r="AI108" s="36"/>
      <c r="AJ108" s="30"/>
      <c r="AK108" s="29"/>
      <c r="AL108" s="35"/>
      <c r="AM108" s="36"/>
      <c r="AN108" s="36"/>
      <c r="AO108" s="30"/>
      <c r="AP108" s="29"/>
      <c r="AQ108" s="35"/>
      <c r="AR108" s="36"/>
      <c r="AS108" s="36"/>
      <c r="AT108" s="30"/>
      <c r="AU108" s="29"/>
      <c r="AV108" s="29"/>
      <c r="AW108" s="29"/>
      <c r="AX108" s="37"/>
      <c r="AY108" s="29"/>
      <c r="AZ108" s="38" t="str">
        <f aca="false">IF($C108="","",IF(OR(F108="Completed",F108="Cancelled"),"",IF(AND(OR(F108="On Hold",ISNUMBER(VALUE(LEFT(H108,2)))),AY108=""),"Reason not given","")))</f>
        <v/>
      </c>
      <c r="BA108" s="30"/>
    </row>
    <row r="109" customFormat="false" ht="19.5" hidden="false" customHeight="true" outlineLevel="0" collapsed="false">
      <c r="A109" s="28" t="str">
        <f aca="false">IF($C109="","",COUNTA($C$17:$C109))</f>
        <v/>
      </c>
      <c r="B109" s="29"/>
      <c r="C109" s="30"/>
      <c r="D109" s="29"/>
      <c r="E109" s="31" t="str">
        <f aca="false">IF($C109="","",IF(NOT(OR(M109="Completed",M109="NA",M109="Cancelled")),"S1 Schematic",IF(NOT(OR(R109="Completed",R109="NA",R109="Cancelled")),"S2 PCB Layout",IF(NOT(OR(W109="Completed",W109="NA",W109="Cancelled")),"S3 SI &amp; PI",IF(NOT(OR(AB109="Completed",AB109="NA",AB109="Cancelled")),"S4 Bare-PCB Fab",IF(NOT(OR(AG109="Completed",AG109="NA",AG109="Cancelled")),"S5 Assembly",IF(NOT(OR(AL109="Completed",AL109="NA",AL109="Cancelled")),"S6 Bring-up",IF(NOT(OR(AQ109="Completed",AQ109="NA",AQ109="Cancelled")),"S7 BOM Procurement","All Stages Closed"))))))))</f>
        <v/>
      </c>
      <c r="F109" s="32" t="str">
        <f aca="false">IF($C109="","",IF(COUNTIF(M109,"Cancelled")+COUNTIF(R109,"Cancelled")+COUNTIF(W109,"Cancelled")+COUNTIF(AB109,"Cancelled")+COUNTIF(AG109,"Cancelled")+COUNTIF(AL109,"Cancelled")+COUNTIF(AQ109,"Cancelled")&gt;0,"Cancelled",IF(E109="All Stages Closed","Completed",IF(E109="S1 Schematic",M109,IF(E109="S2 PCB Layout",R109,IF(E109="S3 SI &amp; PI",W109,IF(E109="S4 Bare-PCB Fab",AB109,IF(E109="S5 Assembly",AG109,IF(E109="S6 Bring-up",AL109,AQ109)))))))))</f>
        <v/>
      </c>
      <c r="G109" s="33" t="str">
        <f aca="false">IF($C109="","",IF(E109="All Stages Closed","",IF(E109="S1 Schematic",IF(N109="","Not added",N109),IF(E109="S2 PCB Layout",IF(S109="","Not added",S109),IF(E109="S3 SI &amp; PI",IF(X109="","Not added",X109),IF(E109="S4 Bare-PCB Fab",IF(AC109="","Not added",AC109),IF(E109="S5 Assembly",IF(AH109="","Not added",AH109),IF(E109="S6 Bring-up",IF(AM109="","Not added",AM109),IF(AR109="","Not added",AR109)))))))))</f>
        <v/>
      </c>
      <c r="H109" s="32" t="str">
        <f aca="true">IF($C109="","",IF(OR(F109="Completed",F109="Cancelled"),"",IF(NOT(ISNUMBER(G109)),"No date set",IF(TODAY()&gt;G109,TODAY()-G109&amp;" days late",G109-TODAY()&amp;" days left"))))</f>
        <v/>
      </c>
      <c r="I109" s="31" t="str">
        <f aca="false">IF($C109="","",COUNTIF(M109,"Completed")+COUNTIF(R109,"Completed")+COUNTIF(W109,"Completed")+COUNTIF(AB109,"Completed")+COUNTIF(AG109,"Completed")+COUNTIF(AL109,"Completed")+COUNTIF(AQ109,"Completed"))</f>
        <v/>
      </c>
      <c r="J109" s="31" t="str">
        <f aca="false">IF($C109="","",7-(COUNTIF(M109,"NA")+COUNTIF(R109,"NA")+COUNTIF(W109,"NA")+COUNTIF(AB109,"NA")+COUNTIF(AG109,"NA")+COUNTIF(AL109,"NA")+COUNTIF(AQ109,"NA")))</f>
        <v/>
      </c>
      <c r="K109" s="34" t="str">
        <f aca="false">IFERROR(I109/J109,"")</f>
        <v/>
      </c>
      <c r="L109" s="29"/>
      <c r="M109" s="35"/>
      <c r="N109" s="36"/>
      <c r="O109" s="36"/>
      <c r="P109" s="30"/>
      <c r="Q109" s="29"/>
      <c r="R109" s="35"/>
      <c r="S109" s="36"/>
      <c r="T109" s="36"/>
      <c r="U109" s="30"/>
      <c r="V109" s="29"/>
      <c r="W109" s="35"/>
      <c r="X109" s="36"/>
      <c r="Y109" s="36"/>
      <c r="Z109" s="30"/>
      <c r="AA109" s="29"/>
      <c r="AB109" s="35"/>
      <c r="AC109" s="36"/>
      <c r="AD109" s="36"/>
      <c r="AE109" s="30"/>
      <c r="AF109" s="29"/>
      <c r="AG109" s="35"/>
      <c r="AH109" s="36"/>
      <c r="AI109" s="36"/>
      <c r="AJ109" s="30"/>
      <c r="AK109" s="29"/>
      <c r="AL109" s="35"/>
      <c r="AM109" s="36"/>
      <c r="AN109" s="36"/>
      <c r="AO109" s="30"/>
      <c r="AP109" s="29"/>
      <c r="AQ109" s="35"/>
      <c r="AR109" s="36"/>
      <c r="AS109" s="36"/>
      <c r="AT109" s="30"/>
      <c r="AU109" s="29"/>
      <c r="AV109" s="29"/>
      <c r="AW109" s="29"/>
      <c r="AX109" s="37"/>
      <c r="AY109" s="29"/>
      <c r="AZ109" s="38" t="str">
        <f aca="false">IF($C109="","",IF(OR(F109="Completed",F109="Cancelled"),"",IF(AND(OR(F109="On Hold",ISNUMBER(VALUE(LEFT(H109,2)))),AY109=""),"Reason not given","")))</f>
        <v/>
      </c>
      <c r="BA109" s="30"/>
    </row>
    <row r="110" customFormat="false" ht="19.5" hidden="false" customHeight="true" outlineLevel="0" collapsed="false">
      <c r="A110" s="28" t="str">
        <f aca="false">IF($C110="","",COUNTA($C$17:$C110))</f>
        <v/>
      </c>
      <c r="B110" s="29"/>
      <c r="C110" s="30"/>
      <c r="D110" s="29"/>
      <c r="E110" s="31" t="str">
        <f aca="false">IF($C110="","",IF(NOT(OR(M110="Completed",M110="NA",M110="Cancelled")),"S1 Schematic",IF(NOT(OR(R110="Completed",R110="NA",R110="Cancelled")),"S2 PCB Layout",IF(NOT(OR(W110="Completed",W110="NA",W110="Cancelled")),"S3 SI &amp; PI",IF(NOT(OR(AB110="Completed",AB110="NA",AB110="Cancelled")),"S4 Bare-PCB Fab",IF(NOT(OR(AG110="Completed",AG110="NA",AG110="Cancelled")),"S5 Assembly",IF(NOT(OR(AL110="Completed",AL110="NA",AL110="Cancelled")),"S6 Bring-up",IF(NOT(OR(AQ110="Completed",AQ110="NA",AQ110="Cancelled")),"S7 BOM Procurement","All Stages Closed"))))))))</f>
        <v/>
      </c>
      <c r="F110" s="32" t="str">
        <f aca="false">IF($C110="","",IF(COUNTIF(M110,"Cancelled")+COUNTIF(R110,"Cancelled")+COUNTIF(W110,"Cancelled")+COUNTIF(AB110,"Cancelled")+COUNTIF(AG110,"Cancelled")+COUNTIF(AL110,"Cancelled")+COUNTIF(AQ110,"Cancelled")&gt;0,"Cancelled",IF(E110="All Stages Closed","Completed",IF(E110="S1 Schematic",M110,IF(E110="S2 PCB Layout",R110,IF(E110="S3 SI &amp; PI",W110,IF(E110="S4 Bare-PCB Fab",AB110,IF(E110="S5 Assembly",AG110,IF(E110="S6 Bring-up",AL110,AQ110)))))))))</f>
        <v/>
      </c>
      <c r="G110" s="33" t="str">
        <f aca="false">IF($C110="","",IF(E110="All Stages Closed","",IF(E110="S1 Schematic",IF(N110="","Not added",N110),IF(E110="S2 PCB Layout",IF(S110="","Not added",S110),IF(E110="S3 SI &amp; PI",IF(X110="","Not added",X110),IF(E110="S4 Bare-PCB Fab",IF(AC110="","Not added",AC110),IF(E110="S5 Assembly",IF(AH110="","Not added",AH110),IF(E110="S6 Bring-up",IF(AM110="","Not added",AM110),IF(AR110="","Not added",AR110)))))))))</f>
        <v/>
      </c>
      <c r="H110" s="32" t="str">
        <f aca="true">IF($C110="","",IF(OR(F110="Completed",F110="Cancelled"),"",IF(NOT(ISNUMBER(G110)),"No date set",IF(TODAY()&gt;G110,TODAY()-G110&amp;" days late",G110-TODAY()&amp;" days left"))))</f>
        <v/>
      </c>
      <c r="I110" s="31" t="str">
        <f aca="false">IF($C110="","",COUNTIF(M110,"Completed")+COUNTIF(R110,"Completed")+COUNTIF(W110,"Completed")+COUNTIF(AB110,"Completed")+COUNTIF(AG110,"Completed")+COUNTIF(AL110,"Completed")+COUNTIF(AQ110,"Completed"))</f>
        <v/>
      </c>
      <c r="J110" s="31" t="str">
        <f aca="false">IF($C110="","",7-(COUNTIF(M110,"NA")+COUNTIF(R110,"NA")+COUNTIF(W110,"NA")+COUNTIF(AB110,"NA")+COUNTIF(AG110,"NA")+COUNTIF(AL110,"NA")+COUNTIF(AQ110,"NA")))</f>
        <v/>
      </c>
      <c r="K110" s="34" t="str">
        <f aca="false">IFERROR(I110/J110,"")</f>
        <v/>
      </c>
      <c r="L110" s="29"/>
      <c r="M110" s="35"/>
      <c r="N110" s="36"/>
      <c r="O110" s="36"/>
      <c r="P110" s="30"/>
      <c r="Q110" s="29"/>
      <c r="R110" s="35"/>
      <c r="S110" s="36"/>
      <c r="T110" s="36"/>
      <c r="U110" s="30"/>
      <c r="V110" s="29"/>
      <c r="W110" s="35"/>
      <c r="X110" s="36"/>
      <c r="Y110" s="36"/>
      <c r="Z110" s="30"/>
      <c r="AA110" s="29"/>
      <c r="AB110" s="35"/>
      <c r="AC110" s="36"/>
      <c r="AD110" s="36"/>
      <c r="AE110" s="30"/>
      <c r="AF110" s="29"/>
      <c r="AG110" s="35"/>
      <c r="AH110" s="36"/>
      <c r="AI110" s="36"/>
      <c r="AJ110" s="30"/>
      <c r="AK110" s="29"/>
      <c r="AL110" s="35"/>
      <c r="AM110" s="36"/>
      <c r="AN110" s="36"/>
      <c r="AO110" s="30"/>
      <c r="AP110" s="29"/>
      <c r="AQ110" s="35"/>
      <c r="AR110" s="36"/>
      <c r="AS110" s="36"/>
      <c r="AT110" s="30"/>
      <c r="AU110" s="29"/>
      <c r="AV110" s="29"/>
      <c r="AW110" s="29"/>
      <c r="AX110" s="37"/>
      <c r="AY110" s="29"/>
      <c r="AZ110" s="38" t="str">
        <f aca="false">IF($C110="","",IF(OR(F110="Completed",F110="Cancelled"),"",IF(AND(OR(F110="On Hold",ISNUMBER(VALUE(LEFT(H110,2)))),AY110=""),"Reason not given","")))</f>
        <v/>
      </c>
      <c r="BA110" s="30"/>
    </row>
    <row r="111" customFormat="false" ht="19.5" hidden="false" customHeight="true" outlineLevel="0" collapsed="false">
      <c r="A111" s="28" t="str">
        <f aca="false">IF($C111="","",COUNTA($C$17:$C111))</f>
        <v/>
      </c>
      <c r="B111" s="29"/>
      <c r="C111" s="30"/>
      <c r="D111" s="29"/>
      <c r="E111" s="31" t="str">
        <f aca="false">IF($C111="","",IF(NOT(OR(M111="Completed",M111="NA",M111="Cancelled")),"S1 Schematic",IF(NOT(OR(R111="Completed",R111="NA",R111="Cancelled")),"S2 PCB Layout",IF(NOT(OR(W111="Completed",W111="NA",W111="Cancelled")),"S3 SI &amp; PI",IF(NOT(OR(AB111="Completed",AB111="NA",AB111="Cancelled")),"S4 Bare-PCB Fab",IF(NOT(OR(AG111="Completed",AG111="NA",AG111="Cancelled")),"S5 Assembly",IF(NOT(OR(AL111="Completed",AL111="NA",AL111="Cancelled")),"S6 Bring-up",IF(NOT(OR(AQ111="Completed",AQ111="NA",AQ111="Cancelled")),"S7 BOM Procurement","All Stages Closed"))))))))</f>
        <v/>
      </c>
      <c r="F111" s="32" t="str">
        <f aca="false">IF($C111="","",IF(COUNTIF(M111,"Cancelled")+COUNTIF(R111,"Cancelled")+COUNTIF(W111,"Cancelled")+COUNTIF(AB111,"Cancelled")+COUNTIF(AG111,"Cancelled")+COUNTIF(AL111,"Cancelled")+COUNTIF(AQ111,"Cancelled")&gt;0,"Cancelled",IF(E111="All Stages Closed","Completed",IF(E111="S1 Schematic",M111,IF(E111="S2 PCB Layout",R111,IF(E111="S3 SI &amp; PI",W111,IF(E111="S4 Bare-PCB Fab",AB111,IF(E111="S5 Assembly",AG111,IF(E111="S6 Bring-up",AL111,AQ111)))))))))</f>
        <v/>
      </c>
      <c r="G111" s="33" t="str">
        <f aca="false">IF($C111="","",IF(E111="All Stages Closed","",IF(E111="S1 Schematic",IF(N111="","Not added",N111),IF(E111="S2 PCB Layout",IF(S111="","Not added",S111),IF(E111="S3 SI &amp; PI",IF(X111="","Not added",X111),IF(E111="S4 Bare-PCB Fab",IF(AC111="","Not added",AC111),IF(E111="S5 Assembly",IF(AH111="","Not added",AH111),IF(E111="S6 Bring-up",IF(AM111="","Not added",AM111),IF(AR111="","Not added",AR111)))))))))</f>
        <v/>
      </c>
      <c r="H111" s="32" t="str">
        <f aca="true">IF($C111="","",IF(OR(F111="Completed",F111="Cancelled"),"",IF(NOT(ISNUMBER(G111)),"No date set",IF(TODAY()&gt;G111,TODAY()-G111&amp;" days late",G111-TODAY()&amp;" days left"))))</f>
        <v/>
      </c>
      <c r="I111" s="31" t="str">
        <f aca="false">IF($C111="","",COUNTIF(M111,"Completed")+COUNTIF(R111,"Completed")+COUNTIF(W111,"Completed")+COUNTIF(AB111,"Completed")+COUNTIF(AG111,"Completed")+COUNTIF(AL111,"Completed")+COUNTIF(AQ111,"Completed"))</f>
        <v/>
      </c>
      <c r="J111" s="31" t="str">
        <f aca="false">IF($C111="","",7-(COUNTIF(M111,"NA")+COUNTIF(R111,"NA")+COUNTIF(W111,"NA")+COUNTIF(AB111,"NA")+COUNTIF(AG111,"NA")+COUNTIF(AL111,"NA")+COUNTIF(AQ111,"NA")))</f>
        <v/>
      </c>
      <c r="K111" s="34" t="str">
        <f aca="false">IFERROR(I111/J111,"")</f>
        <v/>
      </c>
      <c r="L111" s="29"/>
      <c r="M111" s="35"/>
      <c r="N111" s="36"/>
      <c r="O111" s="36"/>
      <c r="P111" s="30"/>
      <c r="Q111" s="29"/>
      <c r="R111" s="35"/>
      <c r="S111" s="36"/>
      <c r="T111" s="36"/>
      <c r="U111" s="30"/>
      <c r="V111" s="29"/>
      <c r="W111" s="35"/>
      <c r="X111" s="36"/>
      <c r="Y111" s="36"/>
      <c r="Z111" s="30"/>
      <c r="AA111" s="29"/>
      <c r="AB111" s="35"/>
      <c r="AC111" s="36"/>
      <c r="AD111" s="36"/>
      <c r="AE111" s="30"/>
      <c r="AF111" s="29"/>
      <c r="AG111" s="35"/>
      <c r="AH111" s="36"/>
      <c r="AI111" s="36"/>
      <c r="AJ111" s="30"/>
      <c r="AK111" s="29"/>
      <c r="AL111" s="35"/>
      <c r="AM111" s="36"/>
      <c r="AN111" s="36"/>
      <c r="AO111" s="30"/>
      <c r="AP111" s="29"/>
      <c r="AQ111" s="35"/>
      <c r="AR111" s="36"/>
      <c r="AS111" s="36"/>
      <c r="AT111" s="30"/>
      <c r="AU111" s="29"/>
      <c r="AV111" s="29"/>
      <c r="AW111" s="29"/>
      <c r="AX111" s="37"/>
      <c r="AY111" s="29"/>
      <c r="AZ111" s="38" t="str">
        <f aca="false">IF($C111="","",IF(OR(F111="Completed",F111="Cancelled"),"",IF(AND(OR(F111="On Hold",ISNUMBER(VALUE(LEFT(H111,2)))),AY111=""),"Reason not given","")))</f>
        <v/>
      </c>
      <c r="BA111" s="30"/>
    </row>
    <row r="112" customFormat="false" ht="19.5" hidden="false" customHeight="true" outlineLevel="0" collapsed="false">
      <c r="A112" s="28" t="str">
        <f aca="false">IF($C112="","",COUNTA($C$17:$C112))</f>
        <v/>
      </c>
      <c r="B112" s="29"/>
      <c r="C112" s="30"/>
      <c r="D112" s="29"/>
      <c r="E112" s="31" t="str">
        <f aca="false">IF($C112="","",IF(NOT(OR(M112="Completed",M112="NA",M112="Cancelled")),"S1 Schematic",IF(NOT(OR(R112="Completed",R112="NA",R112="Cancelled")),"S2 PCB Layout",IF(NOT(OR(W112="Completed",W112="NA",W112="Cancelled")),"S3 SI &amp; PI",IF(NOT(OR(AB112="Completed",AB112="NA",AB112="Cancelled")),"S4 Bare-PCB Fab",IF(NOT(OR(AG112="Completed",AG112="NA",AG112="Cancelled")),"S5 Assembly",IF(NOT(OR(AL112="Completed",AL112="NA",AL112="Cancelled")),"S6 Bring-up",IF(NOT(OR(AQ112="Completed",AQ112="NA",AQ112="Cancelled")),"S7 BOM Procurement","All Stages Closed"))))))))</f>
        <v/>
      </c>
      <c r="F112" s="32" t="str">
        <f aca="false">IF($C112="","",IF(COUNTIF(M112,"Cancelled")+COUNTIF(R112,"Cancelled")+COUNTIF(W112,"Cancelled")+COUNTIF(AB112,"Cancelled")+COUNTIF(AG112,"Cancelled")+COUNTIF(AL112,"Cancelled")+COUNTIF(AQ112,"Cancelled")&gt;0,"Cancelled",IF(E112="All Stages Closed","Completed",IF(E112="S1 Schematic",M112,IF(E112="S2 PCB Layout",R112,IF(E112="S3 SI &amp; PI",W112,IF(E112="S4 Bare-PCB Fab",AB112,IF(E112="S5 Assembly",AG112,IF(E112="S6 Bring-up",AL112,AQ112)))))))))</f>
        <v/>
      </c>
      <c r="G112" s="33" t="str">
        <f aca="false">IF($C112="","",IF(E112="All Stages Closed","",IF(E112="S1 Schematic",IF(N112="","Not added",N112),IF(E112="S2 PCB Layout",IF(S112="","Not added",S112),IF(E112="S3 SI &amp; PI",IF(X112="","Not added",X112),IF(E112="S4 Bare-PCB Fab",IF(AC112="","Not added",AC112),IF(E112="S5 Assembly",IF(AH112="","Not added",AH112),IF(E112="S6 Bring-up",IF(AM112="","Not added",AM112),IF(AR112="","Not added",AR112)))))))))</f>
        <v/>
      </c>
      <c r="H112" s="32" t="str">
        <f aca="true">IF($C112="","",IF(OR(F112="Completed",F112="Cancelled"),"",IF(NOT(ISNUMBER(G112)),"No date set",IF(TODAY()&gt;G112,TODAY()-G112&amp;" days late",G112-TODAY()&amp;" days left"))))</f>
        <v/>
      </c>
      <c r="I112" s="31" t="str">
        <f aca="false">IF($C112="","",COUNTIF(M112,"Completed")+COUNTIF(R112,"Completed")+COUNTIF(W112,"Completed")+COUNTIF(AB112,"Completed")+COUNTIF(AG112,"Completed")+COUNTIF(AL112,"Completed")+COUNTIF(AQ112,"Completed"))</f>
        <v/>
      </c>
      <c r="J112" s="31" t="str">
        <f aca="false">IF($C112="","",7-(COUNTIF(M112,"NA")+COUNTIF(R112,"NA")+COUNTIF(W112,"NA")+COUNTIF(AB112,"NA")+COUNTIF(AG112,"NA")+COUNTIF(AL112,"NA")+COUNTIF(AQ112,"NA")))</f>
        <v/>
      </c>
      <c r="K112" s="34" t="str">
        <f aca="false">IFERROR(I112/J112,"")</f>
        <v/>
      </c>
      <c r="L112" s="29"/>
      <c r="M112" s="35"/>
      <c r="N112" s="36"/>
      <c r="O112" s="36"/>
      <c r="P112" s="30"/>
      <c r="Q112" s="29"/>
      <c r="R112" s="35"/>
      <c r="S112" s="36"/>
      <c r="T112" s="36"/>
      <c r="U112" s="30"/>
      <c r="V112" s="29"/>
      <c r="W112" s="35"/>
      <c r="X112" s="36"/>
      <c r="Y112" s="36"/>
      <c r="Z112" s="30"/>
      <c r="AA112" s="29"/>
      <c r="AB112" s="35"/>
      <c r="AC112" s="36"/>
      <c r="AD112" s="36"/>
      <c r="AE112" s="30"/>
      <c r="AF112" s="29"/>
      <c r="AG112" s="35"/>
      <c r="AH112" s="36"/>
      <c r="AI112" s="36"/>
      <c r="AJ112" s="30"/>
      <c r="AK112" s="29"/>
      <c r="AL112" s="35"/>
      <c r="AM112" s="36"/>
      <c r="AN112" s="36"/>
      <c r="AO112" s="30"/>
      <c r="AP112" s="29"/>
      <c r="AQ112" s="35"/>
      <c r="AR112" s="36"/>
      <c r="AS112" s="36"/>
      <c r="AT112" s="30"/>
      <c r="AU112" s="29"/>
      <c r="AV112" s="29"/>
      <c r="AW112" s="29"/>
      <c r="AX112" s="37"/>
      <c r="AY112" s="29"/>
      <c r="AZ112" s="38" t="str">
        <f aca="false">IF($C112="","",IF(OR(F112="Completed",F112="Cancelled"),"",IF(AND(OR(F112="On Hold",ISNUMBER(VALUE(LEFT(H112,2)))),AY112=""),"Reason not given","")))</f>
        <v/>
      </c>
      <c r="BA112" s="30"/>
    </row>
    <row r="113" customFormat="false" ht="19.5" hidden="false" customHeight="true" outlineLevel="0" collapsed="false">
      <c r="A113" s="28" t="str">
        <f aca="false">IF($C113="","",COUNTA($C$17:$C113))</f>
        <v/>
      </c>
      <c r="B113" s="29"/>
      <c r="C113" s="30"/>
      <c r="D113" s="29"/>
      <c r="E113" s="31" t="str">
        <f aca="false">IF($C113="","",IF(NOT(OR(M113="Completed",M113="NA",M113="Cancelled")),"S1 Schematic",IF(NOT(OR(R113="Completed",R113="NA",R113="Cancelled")),"S2 PCB Layout",IF(NOT(OR(W113="Completed",W113="NA",W113="Cancelled")),"S3 SI &amp; PI",IF(NOT(OR(AB113="Completed",AB113="NA",AB113="Cancelled")),"S4 Bare-PCB Fab",IF(NOT(OR(AG113="Completed",AG113="NA",AG113="Cancelled")),"S5 Assembly",IF(NOT(OR(AL113="Completed",AL113="NA",AL113="Cancelled")),"S6 Bring-up",IF(NOT(OR(AQ113="Completed",AQ113="NA",AQ113="Cancelled")),"S7 BOM Procurement","All Stages Closed"))))))))</f>
        <v/>
      </c>
      <c r="F113" s="32" t="str">
        <f aca="false">IF($C113="","",IF(COUNTIF(M113,"Cancelled")+COUNTIF(R113,"Cancelled")+COUNTIF(W113,"Cancelled")+COUNTIF(AB113,"Cancelled")+COUNTIF(AG113,"Cancelled")+COUNTIF(AL113,"Cancelled")+COUNTIF(AQ113,"Cancelled")&gt;0,"Cancelled",IF(E113="All Stages Closed","Completed",IF(E113="S1 Schematic",M113,IF(E113="S2 PCB Layout",R113,IF(E113="S3 SI &amp; PI",W113,IF(E113="S4 Bare-PCB Fab",AB113,IF(E113="S5 Assembly",AG113,IF(E113="S6 Bring-up",AL113,AQ113)))))))))</f>
        <v/>
      </c>
      <c r="G113" s="33" t="str">
        <f aca="false">IF($C113="","",IF(E113="All Stages Closed","",IF(E113="S1 Schematic",IF(N113="","Not added",N113),IF(E113="S2 PCB Layout",IF(S113="","Not added",S113),IF(E113="S3 SI &amp; PI",IF(X113="","Not added",X113),IF(E113="S4 Bare-PCB Fab",IF(AC113="","Not added",AC113),IF(E113="S5 Assembly",IF(AH113="","Not added",AH113),IF(E113="S6 Bring-up",IF(AM113="","Not added",AM113),IF(AR113="","Not added",AR113)))))))))</f>
        <v/>
      </c>
      <c r="H113" s="32" t="str">
        <f aca="true">IF($C113="","",IF(OR(F113="Completed",F113="Cancelled"),"",IF(NOT(ISNUMBER(G113)),"No date set",IF(TODAY()&gt;G113,TODAY()-G113&amp;" days late",G113-TODAY()&amp;" days left"))))</f>
        <v/>
      </c>
      <c r="I113" s="31" t="str">
        <f aca="false">IF($C113="","",COUNTIF(M113,"Completed")+COUNTIF(R113,"Completed")+COUNTIF(W113,"Completed")+COUNTIF(AB113,"Completed")+COUNTIF(AG113,"Completed")+COUNTIF(AL113,"Completed")+COUNTIF(AQ113,"Completed"))</f>
        <v/>
      </c>
      <c r="J113" s="31" t="str">
        <f aca="false">IF($C113="","",7-(COUNTIF(M113,"NA")+COUNTIF(R113,"NA")+COUNTIF(W113,"NA")+COUNTIF(AB113,"NA")+COUNTIF(AG113,"NA")+COUNTIF(AL113,"NA")+COUNTIF(AQ113,"NA")))</f>
        <v/>
      </c>
      <c r="K113" s="34" t="str">
        <f aca="false">IFERROR(I113/J113,"")</f>
        <v/>
      </c>
      <c r="L113" s="29"/>
      <c r="M113" s="35"/>
      <c r="N113" s="36"/>
      <c r="O113" s="36"/>
      <c r="P113" s="30"/>
      <c r="Q113" s="29"/>
      <c r="R113" s="35"/>
      <c r="S113" s="36"/>
      <c r="T113" s="36"/>
      <c r="U113" s="30"/>
      <c r="V113" s="29"/>
      <c r="W113" s="35"/>
      <c r="X113" s="36"/>
      <c r="Y113" s="36"/>
      <c r="Z113" s="30"/>
      <c r="AA113" s="29"/>
      <c r="AB113" s="35"/>
      <c r="AC113" s="36"/>
      <c r="AD113" s="36"/>
      <c r="AE113" s="30"/>
      <c r="AF113" s="29"/>
      <c r="AG113" s="35"/>
      <c r="AH113" s="36"/>
      <c r="AI113" s="36"/>
      <c r="AJ113" s="30"/>
      <c r="AK113" s="29"/>
      <c r="AL113" s="35"/>
      <c r="AM113" s="36"/>
      <c r="AN113" s="36"/>
      <c r="AO113" s="30"/>
      <c r="AP113" s="29"/>
      <c r="AQ113" s="35"/>
      <c r="AR113" s="36"/>
      <c r="AS113" s="36"/>
      <c r="AT113" s="30"/>
      <c r="AU113" s="29"/>
      <c r="AV113" s="29"/>
      <c r="AW113" s="29"/>
      <c r="AX113" s="37"/>
      <c r="AY113" s="29"/>
      <c r="AZ113" s="38" t="str">
        <f aca="false">IF($C113="","",IF(OR(F113="Completed",F113="Cancelled"),"",IF(AND(OR(F113="On Hold",ISNUMBER(VALUE(LEFT(H113,2)))),AY113=""),"Reason not given","")))</f>
        <v/>
      </c>
      <c r="BA113" s="30"/>
    </row>
    <row r="114" customFormat="false" ht="19.5" hidden="false" customHeight="true" outlineLevel="0" collapsed="false">
      <c r="A114" s="28" t="str">
        <f aca="false">IF($C114="","",COUNTA($C$17:$C114))</f>
        <v/>
      </c>
      <c r="B114" s="29"/>
      <c r="C114" s="30"/>
      <c r="D114" s="29"/>
      <c r="E114" s="31" t="str">
        <f aca="false">IF($C114="","",IF(NOT(OR(M114="Completed",M114="NA",M114="Cancelled")),"S1 Schematic",IF(NOT(OR(R114="Completed",R114="NA",R114="Cancelled")),"S2 PCB Layout",IF(NOT(OR(W114="Completed",W114="NA",W114="Cancelled")),"S3 SI &amp; PI",IF(NOT(OR(AB114="Completed",AB114="NA",AB114="Cancelled")),"S4 Bare-PCB Fab",IF(NOT(OR(AG114="Completed",AG114="NA",AG114="Cancelled")),"S5 Assembly",IF(NOT(OR(AL114="Completed",AL114="NA",AL114="Cancelled")),"S6 Bring-up",IF(NOT(OR(AQ114="Completed",AQ114="NA",AQ114="Cancelled")),"S7 BOM Procurement","All Stages Closed"))))))))</f>
        <v/>
      </c>
      <c r="F114" s="32" t="str">
        <f aca="false">IF($C114="","",IF(COUNTIF(M114,"Cancelled")+COUNTIF(R114,"Cancelled")+COUNTIF(W114,"Cancelled")+COUNTIF(AB114,"Cancelled")+COUNTIF(AG114,"Cancelled")+COUNTIF(AL114,"Cancelled")+COUNTIF(AQ114,"Cancelled")&gt;0,"Cancelled",IF(E114="All Stages Closed","Completed",IF(E114="S1 Schematic",M114,IF(E114="S2 PCB Layout",R114,IF(E114="S3 SI &amp; PI",W114,IF(E114="S4 Bare-PCB Fab",AB114,IF(E114="S5 Assembly",AG114,IF(E114="S6 Bring-up",AL114,AQ114)))))))))</f>
        <v/>
      </c>
      <c r="G114" s="33" t="str">
        <f aca="false">IF($C114="","",IF(E114="All Stages Closed","",IF(E114="S1 Schematic",IF(N114="","Not added",N114),IF(E114="S2 PCB Layout",IF(S114="","Not added",S114),IF(E114="S3 SI &amp; PI",IF(X114="","Not added",X114),IF(E114="S4 Bare-PCB Fab",IF(AC114="","Not added",AC114),IF(E114="S5 Assembly",IF(AH114="","Not added",AH114),IF(E114="S6 Bring-up",IF(AM114="","Not added",AM114),IF(AR114="","Not added",AR114)))))))))</f>
        <v/>
      </c>
      <c r="H114" s="32" t="str">
        <f aca="true">IF($C114="","",IF(OR(F114="Completed",F114="Cancelled"),"",IF(NOT(ISNUMBER(G114)),"No date set",IF(TODAY()&gt;G114,TODAY()-G114&amp;" days late",G114-TODAY()&amp;" days left"))))</f>
        <v/>
      </c>
      <c r="I114" s="31" t="str">
        <f aca="false">IF($C114="","",COUNTIF(M114,"Completed")+COUNTIF(R114,"Completed")+COUNTIF(W114,"Completed")+COUNTIF(AB114,"Completed")+COUNTIF(AG114,"Completed")+COUNTIF(AL114,"Completed")+COUNTIF(AQ114,"Completed"))</f>
        <v/>
      </c>
      <c r="J114" s="31" t="str">
        <f aca="false">IF($C114="","",7-(COUNTIF(M114,"NA")+COUNTIF(R114,"NA")+COUNTIF(W114,"NA")+COUNTIF(AB114,"NA")+COUNTIF(AG114,"NA")+COUNTIF(AL114,"NA")+COUNTIF(AQ114,"NA")))</f>
        <v/>
      </c>
      <c r="K114" s="34" t="str">
        <f aca="false">IFERROR(I114/J114,"")</f>
        <v/>
      </c>
      <c r="L114" s="29"/>
      <c r="M114" s="35"/>
      <c r="N114" s="36"/>
      <c r="O114" s="36"/>
      <c r="P114" s="30"/>
      <c r="Q114" s="29"/>
      <c r="R114" s="35"/>
      <c r="S114" s="36"/>
      <c r="T114" s="36"/>
      <c r="U114" s="30"/>
      <c r="V114" s="29"/>
      <c r="W114" s="35"/>
      <c r="X114" s="36"/>
      <c r="Y114" s="36"/>
      <c r="Z114" s="30"/>
      <c r="AA114" s="29"/>
      <c r="AB114" s="35"/>
      <c r="AC114" s="36"/>
      <c r="AD114" s="36"/>
      <c r="AE114" s="30"/>
      <c r="AF114" s="29"/>
      <c r="AG114" s="35"/>
      <c r="AH114" s="36"/>
      <c r="AI114" s="36"/>
      <c r="AJ114" s="30"/>
      <c r="AK114" s="29"/>
      <c r="AL114" s="35"/>
      <c r="AM114" s="36"/>
      <c r="AN114" s="36"/>
      <c r="AO114" s="30"/>
      <c r="AP114" s="29"/>
      <c r="AQ114" s="35"/>
      <c r="AR114" s="36"/>
      <c r="AS114" s="36"/>
      <c r="AT114" s="30"/>
      <c r="AU114" s="29"/>
      <c r="AV114" s="29"/>
      <c r="AW114" s="29"/>
      <c r="AX114" s="37"/>
      <c r="AY114" s="29"/>
      <c r="AZ114" s="38" t="str">
        <f aca="false">IF($C114="","",IF(OR(F114="Completed",F114="Cancelled"),"",IF(AND(OR(F114="On Hold",ISNUMBER(VALUE(LEFT(H114,2)))),AY114=""),"Reason not given","")))</f>
        <v/>
      </c>
      <c r="BA114" s="30"/>
    </row>
    <row r="115" customFormat="false" ht="19.5" hidden="false" customHeight="true" outlineLevel="0" collapsed="false">
      <c r="A115" s="28" t="str">
        <f aca="false">IF($C115="","",COUNTA($C$17:$C115))</f>
        <v/>
      </c>
      <c r="B115" s="29"/>
      <c r="C115" s="30"/>
      <c r="D115" s="29"/>
      <c r="E115" s="31" t="str">
        <f aca="false">IF($C115="","",IF(NOT(OR(M115="Completed",M115="NA",M115="Cancelled")),"S1 Schematic",IF(NOT(OR(R115="Completed",R115="NA",R115="Cancelled")),"S2 PCB Layout",IF(NOT(OR(W115="Completed",W115="NA",W115="Cancelled")),"S3 SI &amp; PI",IF(NOT(OR(AB115="Completed",AB115="NA",AB115="Cancelled")),"S4 Bare-PCB Fab",IF(NOT(OR(AG115="Completed",AG115="NA",AG115="Cancelled")),"S5 Assembly",IF(NOT(OR(AL115="Completed",AL115="NA",AL115="Cancelled")),"S6 Bring-up",IF(NOT(OR(AQ115="Completed",AQ115="NA",AQ115="Cancelled")),"S7 BOM Procurement","All Stages Closed"))))))))</f>
        <v/>
      </c>
      <c r="F115" s="32" t="str">
        <f aca="false">IF($C115="","",IF(COUNTIF(M115,"Cancelled")+COUNTIF(R115,"Cancelled")+COUNTIF(W115,"Cancelled")+COUNTIF(AB115,"Cancelled")+COUNTIF(AG115,"Cancelled")+COUNTIF(AL115,"Cancelled")+COUNTIF(AQ115,"Cancelled")&gt;0,"Cancelled",IF(E115="All Stages Closed","Completed",IF(E115="S1 Schematic",M115,IF(E115="S2 PCB Layout",R115,IF(E115="S3 SI &amp; PI",W115,IF(E115="S4 Bare-PCB Fab",AB115,IF(E115="S5 Assembly",AG115,IF(E115="S6 Bring-up",AL115,AQ115)))))))))</f>
        <v/>
      </c>
      <c r="G115" s="33" t="str">
        <f aca="false">IF($C115="","",IF(E115="All Stages Closed","",IF(E115="S1 Schematic",IF(N115="","Not added",N115),IF(E115="S2 PCB Layout",IF(S115="","Not added",S115),IF(E115="S3 SI &amp; PI",IF(X115="","Not added",X115),IF(E115="S4 Bare-PCB Fab",IF(AC115="","Not added",AC115),IF(E115="S5 Assembly",IF(AH115="","Not added",AH115),IF(E115="S6 Bring-up",IF(AM115="","Not added",AM115),IF(AR115="","Not added",AR115)))))))))</f>
        <v/>
      </c>
      <c r="H115" s="32" t="str">
        <f aca="true">IF($C115="","",IF(OR(F115="Completed",F115="Cancelled"),"",IF(NOT(ISNUMBER(G115)),"No date set",IF(TODAY()&gt;G115,TODAY()-G115&amp;" days late",G115-TODAY()&amp;" days left"))))</f>
        <v/>
      </c>
      <c r="I115" s="31" t="str">
        <f aca="false">IF($C115="","",COUNTIF(M115,"Completed")+COUNTIF(R115,"Completed")+COUNTIF(W115,"Completed")+COUNTIF(AB115,"Completed")+COUNTIF(AG115,"Completed")+COUNTIF(AL115,"Completed")+COUNTIF(AQ115,"Completed"))</f>
        <v/>
      </c>
      <c r="J115" s="31" t="str">
        <f aca="false">IF($C115="","",7-(COUNTIF(M115,"NA")+COUNTIF(R115,"NA")+COUNTIF(W115,"NA")+COUNTIF(AB115,"NA")+COUNTIF(AG115,"NA")+COUNTIF(AL115,"NA")+COUNTIF(AQ115,"NA")))</f>
        <v/>
      </c>
      <c r="K115" s="34" t="str">
        <f aca="false">IFERROR(I115/J115,"")</f>
        <v/>
      </c>
      <c r="L115" s="29"/>
      <c r="M115" s="35"/>
      <c r="N115" s="36"/>
      <c r="O115" s="36"/>
      <c r="P115" s="30"/>
      <c r="Q115" s="29"/>
      <c r="R115" s="35"/>
      <c r="S115" s="36"/>
      <c r="T115" s="36"/>
      <c r="U115" s="30"/>
      <c r="V115" s="29"/>
      <c r="W115" s="35"/>
      <c r="X115" s="36"/>
      <c r="Y115" s="36"/>
      <c r="Z115" s="30"/>
      <c r="AA115" s="29"/>
      <c r="AB115" s="35"/>
      <c r="AC115" s="36"/>
      <c r="AD115" s="36"/>
      <c r="AE115" s="30"/>
      <c r="AF115" s="29"/>
      <c r="AG115" s="35"/>
      <c r="AH115" s="36"/>
      <c r="AI115" s="36"/>
      <c r="AJ115" s="30"/>
      <c r="AK115" s="29"/>
      <c r="AL115" s="35"/>
      <c r="AM115" s="36"/>
      <c r="AN115" s="36"/>
      <c r="AO115" s="30"/>
      <c r="AP115" s="29"/>
      <c r="AQ115" s="35"/>
      <c r="AR115" s="36"/>
      <c r="AS115" s="36"/>
      <c r="AT115" s="30"/>
      <c r="AU115" s="29"/>
      <c r="AV115" s="29"/>
      <c r="AW115" s="29"/>
      <c r="AX115" s="37"/>
      <c r="AY115" s="29"/>
      <c r="AZ115" s="38" t="str">
        <f aca="false">IF($C115="","",IF(OR(F115="Completed",F115="Cancelled"),"",IF(AND(OR(F115="On Hold",ISNUMBER(VALUE(LEFT(H115,2)))),AY115=""),"Reason not given","")))</f>
        <v/>
      </c>
      <c r="BA115" s="30"/>
    </row>
    <row r="116" customFormat="false" ht="19.5" hidden="false" customHeight="true" outlineLevel="0" collapsed="false">
      <c r="A116" s="28" t="str">
        <f aca="false">IF($C116="","",COUNTA($C$17:$C116))</f>
        <v/>
      </c>
      <c r="B116" s="29"/>
      <c r="C116" s="30"/>
      <c r="D116" s="29"/>
      <c r="E116" s="31" t="str">
        <f aca="false">IF($C116="","",IF(NOT(OR(M116="Completed",M116="NA",M116="Cancelled")),"S1 Schematic",IF(NOT(OR(R116="Completed",R116="NA",R116="Cancelled")),"S2 PCB Layout",IF(NOT(OR(W116="Completed",W116="NA",W116="Cancelled")),"S3 SI &amp; PI",IF(NOT(OR(AB116="Completed",AB116="NA",AB116="Cancelled")),"S4 Bare-PCB Fab",IF(NOT(OR(AG116="Completed",AG116="NA",AG116="Cancelled")),"S5 Assembly",IF(NOT(OR(AL116="Completed",AL116="NA",AL116="Cancelled")),"S6 Bring-up",IF(NOT(OR(AQ116="Completed",AQ116="NA",AQ116="Cancelled")),"S7 BOM Procurement","All Stages Closed"))))))))</f>
        <v/>
      </c>
      <c r="F116" s="32" t="str">
        <f aca="false">IF($C116="","",IF(COUNTIF(M116,"Cancelled")+COUNTIF(R116,"Cancelled")+COUNTIF(W116,"Cancelled")+COUNTIF(AB116,"Cancelled")+COUNTIF(AG116,"Cancelled")+COUNTIF(AL116,"Cancelled")+COUNTIF(AQ116,"Cancelled")&gt;0,"Cancelled",IF(E116="All Stages Closed","Completed",IF(E116="S1 Schematic",M116,IF(E116="S2 PCB Layout",R116,IF(E116="S3 SI &amp; PI",W116,IF(E116="S4 Bare-PCB Fab",AB116,IF(E116="S5 Assembly",AG116,IF(E116="S6 Bring-up",AL116,AQ116)))))))))</f>
        <v/>
      </c>
      <c r="G116" s="33" t="str">
        <f aca="false">IF($C116="","",IF(E116="All Stages Closed","",IF(E116="S1 Schematic",IF(N116="","Not added",N116),IF(E116="S2 PCB Layout",IF(S116="","Not added",S116),IF(E116="S3 SI &amp; PI",IF(X116="","Not added",X116),IF(E116="S4 Bare-PCB Fab",IF(AC116="","Not added",AC116),IF(E116="S5 Assembly",IF(AH116="","Not added",AH116),IF(E116="S6 Bring-up",IF(AM116="","Not added",AM116),IF(AR116="","Not added",AR116)))))))))</f>
        <v/>
      </c>
      <c r="H116" s="32" t="str">
        <f aca="true">IF($C116="","",IF(OR(F116="Completed",F116="Cancelled"),"",IF(NOT(ISNUMBER(G116)),"No date set",IF(TODAY()&gt;G116,TODAY()-G116&amp;" days late",G116-TODAY()&amp;" days left"))))</f>
        <v/>
      </c>
      <c r="I116" s="31" t="str">
        <f aca="false">IF($C116="","",COUNTIF(M116,"Completed")+COUNTIF(R116,"Completed")+COUNTIF(W116,"Completed")+COUNTIF(AB116,"Completed")+COUNTIF(AG116,"Completed")+COUNTIF(AL116,"Completed")+COUNTIF(AQ116,"Completed"))</f>
        <v/>
      </c>
      <c r="J116" s="31" t="str">
        <f aca="false">IF($C116="","",7-(COUNTIF(M116,"NA")+COUNTIF(R116,"NA")+COUNTIF(W116,"NA")+COUNTIF(AB116,"NA")+COUNTIF(AG116,"NA")+COUNTIF(AL116,"NA")+COUNTIF(AQ116,"NA")))</f>
        <v/>
      </c>
      <c r="K116" s="34" t="str">
        <f aca="false">IFERROR(I116/J116,"")</f>
        <v/>
      </c>
      <c r="L116" s="29"/>
      <c r="M116" s="35"/>
      <c r="N116" s="36"/>
      <c r="O116" s="36"/>
      <c r="P116" s="30"/>
      <c r="Q116" s="29"/>
      <c r="R116" s="35"/>
      <c r="S116" s="36"/>
      <c r="T116" s="36"/>
      <c r="U116" s="30"/>
      <c r="V116" s="29"/>
      <c r="W116" s="35"/>
      <c r="X116" s="36"/>
      <c r="Y116" s="36"/>
      <c r="Z116" s="30"/>
      <c r="AA116" s="29"/>
      <c r="AB116" s="35"/>
      <c r="AC116" s="36"/>
      <c r="AD116" s="36"/>
      <c r="AE116" s="30"/>
      <c r="AF116" s="29"/>
      <c r="AG116" s="35"/>
      <c r="AH116" s="36"/>
      <c r="AI116" s="36"/>
      <c r="AJ116" s="30"/>
      <c r="AK116" s="29"/>
      <c r="AL116" s="35"/>
      <c r="AM116" s="36"/>
      <c r="AN116" s="36"/>
      <c r="AO116" s="30"/>
      <c r="AP116" s="29"/>
      <c r="AQ116" s="35"/>
      <c r="AR116" s="36"/>
      <c r="AS116" s="36"/>
      <c r="AT116" s="30"/>
      <c r="AU116" s="29"/>
      <c r="AV116" s="29"/>
      <c r="AW116" s="29"/>
      <c r="AX116" s="37"/>
      <c r="AY116" s="29"/>
      <c r="AZ116" s="38" t="str">
        <f aca="false">IF($C116="","",IF(OR(F116="Completed",F116="Cancelled"),"",IF(AND(OR(F116="On Hold",ISNUMBER(VALUE(LEFT(H116,2)))),AY116=""),"Reason not given","")))</f>
        <v/>
      </c>
      <c r="BA116" s="30"/>
    </row>
    <row r="117" customFormat="false" ht="19.5" hidden="false" customHeight="true" outlineLevel="0" collapsed="false">
      <c r="A117" s="28" t="str">
        <f aca="false">IF($C117="","",COUNTA($C$17:$C117))</f>
        <v/>
      </c>
      <c r="B117" s="29"/>
      <c r="C117" s="30"/>
      <c r="D117" s="29"/>
      <c r="E117" s="31" t="str">
        <f aca="false">IF($C117="","",IF(NOT(OR(M117="Completed",M117="NA",M117="Cancelled")),"S1 Schematic",IF(NOT(OR(R117="Completed",R117="NA",R117="Cancelled")),"S2 PCB Layout",IF(NOT(OR(W117="Completed",W117="NA",W117="Cancelled")),"S3 SI &amp; PI",IF(NOT(OR(AB117="Completed",AB117="NA",AB117="Cancelled")),"S4 Bare-PCB Fab",IF(NOT(OR(AG117="Completed",AG117="NA",AG117="Cancelled")),"S5 Assembly",IF(NOT(OR(AL117="Completed",AL117="NA",AL117="Cancelled")),"S6 Bring-up",IF(NOT(OR(AQ117="Completed",AQ117="NA",AQ117="Cancelled")),"S7 BOM Procurement","All Stages Closed"))))))))</f>
        <v/>
      </c>
      <c r="F117" s="32" t="str">
        <f aca="false">IF($C117="","",IF(COUNTIF(M117,"Cancelled")+COUNTIF(R117,"Cancelled")+COUNTIF(W117,"Cancelled")+COUNTIF(AB117,"Cancelled")+COUNTIF(AG117,"Cancelled")+COUNTIF(AL117,"Cancelled")+COUNTIF(AQ117,"Cancelled")&gt;0,"Cancelled",IF(E117="All Stages Closed","Completed",IF(E117="S1 Schematic",M117,IF(E117="S2 PCB Layout",R117,IF(E117="S3 SI &amp; PI",W117,IF(E117="S4 Bare-PCB Fab",AB117,IF(E117="S5 Assembly",AG117,IF(E117="S6 Bring-up",AL117,AQ117)))))))))</f>
        <v/>
      </c>
      <c r="G117" s="33" t="str">
        <f aca="false">IF($C117="","",IF(E117="All Stages Closed","",IF(E117="S1 Schematic",IF(N117="","Not added",N117),IF(E117="S2 PCB Layout",IF(S117="","Not added",S117),IF(E117="S3 SI &amp; PI",IF(X117="","Not added",X117),IF(E117="S4 Bare-PCB Fab",IF(AC117="","Not added",AC117),IF(E117="S5 Assembly",IF(AH117="","Not added",AH117),IF(E117="S6 Bring-up",IF(AM117="","Not added",AM117),IF(AR117="","Not added",AR117)))))))))</f>
        <v/>
      </c>
      <c r="H117" s="32" t="str">
        <f aca="true">IF($C117="","",IF(OR(F117="Completed",F117="Cancelled"),"",IF(NOT(ISNUMBER(G117)),"No date set",IF(TODAY()&gt;G117,TODAY()-G117&amp;" days late",G117-TODAY()&amp;" days left"))))</f>
        <v/>
      </c>
      <c r="I117" s="31" t="str">
        <f aca="false">IF($C117="","",COUNTIF(M117,"Completed")+COUNTIF(R117,"Completed")+COUNTIF(W117,"Completed")+COUNTIF(AB117,"Completed")+COUNTIF(AG117,"Completed")+COUNTIF(AL117,"Completed")+COUNTIF(AQ117,"Completed"))</f>
        <v/>
      </c>
      <c r="J117" s="31" t="str">
        <f aca="false">IF($C117="","",7-(COUNTIF(M117,"NA")+COUNTIF(R117,"NA")+COUNTIF(W117,"NA")+COUNTIF(AB117,"NA")+COUNTIF(AG117,"NA")+COUNTIF(AL117,"NA")+COUNTIF(AQ117,"NA")))</f>
        <v/>
      </c>
      <c r="K117" s="34" t="str">
        <f aca="false">IFERROR(I117/J117,"")</f>
        <v/>
      </c>
      <c r="L117" s="29"/>
      <c r="M117" s="35"/>
      <c r="N117" s="36"/>
      <c r="O117" s="36"/>
      <c r="P117" s="30"/>
      <c r="Q117" s="29"/>
      <c r="R117" s="35"/>
      <c r="S117" s="36"/>
      <c r="T117" s="36"/>
      <c r="U117" s="30"/>
      <c r="V117" s="29"/>
      <c r="W117" s="35"/>
      <c r="X117" s="36"/>
      <c r="Y117" s="36"/>
      <c r="Z117" s="30"/>
      <c r="AA117" s="29"/>
      <c r="AB117" s="35"/>
      <c r="AC117" s="36"/>
      <c r="AD117" s="36"/>
      <c r="AE117" s="30"/>
      <c r="AF117" s="29"/>
      <c r="AG117" s="35"/>
      <c r="AH117" s="36"/>
      <c r="AI117" s="36"/>
      <c r="AJ117" s="30"/>
      <c r="AK117" s="29"/>
      <c r="AL117" s="35"/>
      <c r="AM117" s="36"/>
      <c r="AN117" s="36"/>
      <c r="AO117" s="30"/>
      <c r="AP117" s="29"/>
      <c r="AQ117" s="35"/>
      <c r="AR117" s="36"/>
      <c r="AS117" s="36"/>
      <c r="AT117" s="30"/>
      <c r="AU117" s="29"/>
      <c r="AV117" s="29"/>
      <c r="AW117" s="29"/>
      <c r="AX117" s="37"/>
      <c r="AY117" s="29"/>
      <c r="AZ117" s="38" t="str">
        <f aca="false">IF($C117="","",IF(OR(F117="Completed",F117="Cancelled"),"",IF(AND(OR(F117="On Hold",ISNUMBER(VALUE(LEFT(H117,2)))),AY117=""),"Reason not given","")))</f>
        <v/>
      </c>
      <c r="BA117" s="30"/>
    </row>
    <row r="118" customFormat="false" ht="19.5" hidden="false" customHeight="true" outlineLevel="0" collapsed="false">
      <c r="A118" s="28" t="str">
        <f aca="false">IF($C118="","",COUNTA($C$17:$C118))</f>
        <v/>
      </c>
      <c r="B118" s="29"/>
      <c r="C118" s="30"/>
      <c r="D118" s="29"/>
      <c r="E118" s="31" t="str">
        <f aca="false">IF($C118="","",IF(NOT(OR(M118="Completed",M118="NA",M118="Cancelled")),"S1 Schematic",IF(NOT(OR(R118="Completed",R118="NA",R118="Cancelled")),"S2 PCB Layout",IF(NOT(OR(W118="Completed",W118="NA",W118="Cancelled")),"S3 SI &amp; PI",IF(NOT(OR(AB118="Completed",AB118="NA",AB118="Cancelled")),"S4 Bare-PCB Fab",IF(NOT(OR(AG118="Completed",AG118="NA",AG118="Cancelled")),"S5 Assembly",IF(NOT(OR(AL118="Completed",AL118="NA",AL118="Cancelled")),"S6 Bring-up",IF(NOT(OR(AQ118="Completed",AQ118="NA",AQ118="Cancelled")),"S7 BOM Procurement","All Stages Closed"))))))))</f>
        <v/>
      </c>
      <c r="F118" s="32" t="str">
        <f aca="false">IF($C118="","",IF(COUNTIF(M118,"Cancelled")+COUNTIF(R118,"Cancelled")+COUNTIF(W118,"Cancelled")+COUNTIF(AB118,"Cancelled")+COUNTIF(AG118,"Cancelled")+COUNTIF(AL118,"Cancelled")+COUNTIF(AQ118,"Cancelled")&gt;0,"Cancelled",IF(E118="All Stages Closed","Completed",IF(E118="S1 Schematic",M118,IF(E118="S2 PCB Layout",R118,IF(E118="S3 SI &amp; PI",W118,IF(E118="S4 Bare-PCB Fab",AB118,IF(E118="S5 Assembly",AG118,IF(E118="S6 Bring-up",AL118,AQ118)))))))))</f>
        <v/>
      </c>
      <c r="G118" s="33" t="str">
        <f aca="false">IF($C118="","",IF(E118="All Stages Closed","",IF(E118="S1 Schematic",IF(N118="","Not added",N118),IF(E118="S2 PCB Layout",IF(S118="","Not added",S118),IF(E118="S3 SI &amp; PI",IF(X118="","Not added",X118),IF(E118="S4 Bare-PCB Fab",IF(AC118="","Not added",AC118),IF(E118="S5 Assembly",IF(AH118="","Not added",AH118),IF(E118="S6 Bring-up",IF(AM118="","Not added",AM118),IF(AR118="","Not added",AR118)))))))))</f>
        <v/>
      </c>
      <c r="H118" s="32" t="str">
        <f aca="true">IF($C118="","",IF(OR(F118="Completed",F118="Cancelled"),"",IF(NOT(ISNUMBER(G118)),"No date set",IF(TODAY()&gt;G118,TODAY()-G118&amp;" days late",G118-TODAY()&amp;" days left"))))</f>
        <v/>
      </c>
      <c r="I118" s="31" t="str">
        <f aca="false">IF($C118="","",COUNTIF(M118,"Completed")+COUNTIF(R118,"Completed")+COUNTIF(W118,"Completed")+COUNTIF(AB118,"Completed")+COUNTIF(AG118,"Completed")+COUNTIF(AL118,"Completed")+COUNTIF(AQ118,"Completed"))</f>
        <v/>
      </c>
      <c r="J118" s="31" t="str">
        <f aca="false">IF($C118="","",7-(COUNTIF(M118,"NA")+COUNTIF(R118,"NA")+COUNTIF(W118,"NA")+COUNTIF(AB118,"NA")+COUNTIF(AG118,"NA")+COUNTIF(AL118,"NA")+COUNTIF(AQ118,"NA")))</f>
        <v/>
      </c>
      <c r="K118" s="34" t="str">
        <f aca="false">IFERROR(I118/J118,"")</f>
        <v/>
      </c>
      <c r="L118" s="29"/>
      <c r="M118" s="35"/>
      <c r="N118" s="36"/>
      <c r="O118" s="36"/>
      <c r="P118" s="30"/>
      <c r="Q118" s="29"/>
      <c r="R118" s="35"/>
      <c r="S118" s="36"/>
      <c r="T118" s="36"/>
      <c r="U118" s="30"/>
      <c r="V118" s="29"/>
      <c r="W118" s="35"/>
      <c r="X118" s="36"/>
      <c r="Y118" s="36"/>
      <c r="Z118" s="30"/>
      <c r="AA118" s="29"/>
      <c r="AB118" s="35"/>
      <c r="AC118" s="36"/>
      <c r="AD118" s="36"/>
      <c r="AE118" s="30"/>
      <c r="AF118" s="29"/>
      <c r="AG118" s="35"/>
      <c r="AH118" s="36"/>
      <c r="AI118" s="36"/>
      <c r="AJ118" s="30"/>
      <c r="AK118" s="29"/>
      <c r="AL118" s="35"/>
      <c r="AM118" s="36"/>
      <c r="AN118" s="36"/>
      <c r="AO118" s="30"/>
      <c r="AP118" s="29"/>
      <c r="AQ118" s="35"/>
      <c r="AR118" s="36"/>
      <c r="AS118" s="36"/>
      <c r="AT118" s="30"/>
      <c r="AU118" s="29"/>
      <c r="AV118" s="29"/>
      <c r="AW118" s="29"/>
      <c r="AX118" s="37"/>
      <c r="AY118" s="29"/>
      <c r="AZ118" s="38" t="str">
        <f aca="false">IF($C118="","",IF(OR(F118="Completed",F118="Cancelled"),"",IF(AND(OR(F118="On Hold",ISNUMBER(VALUE(LEFT(H118,2)))),AY118=""),"Reason not given","")))</f>
        <v/>
      </c>
      <c r="BA118" s="30"/>
    </row>
    <row r="119" customFormat="false" ht="19.5" hidden="false" customHeight="true" outlineLevel="0" collapsed="false">
      <c r="A119" s="28" t="str">
        <f aca="false">IF($C119="","",COUNTA($C$17:$C119))</f>
        <v/>
      </c>
      <c r="B119" s="29"/>
      <c r="C119" s="30"/>
      <c r="D119" s="29"/>
      <c r="E119" s="31" t="str">
        <f aca="false">IF($C119="","",IF(NOT(OR(M119="Completed",M119="NA",M119="Cancelled")),"S1 Schematic",IF(NOT(OR(R119="Completed",R119="NA",R119="Cancelled")),"S2 PCB Layout",IF(NOT(OR(W119="Completed",W119="NA",W119="Cancelled")),"S3 SI &amp; PI",IF(NOT(OR(AB119="Completed",AB119="NA",AB119="Cancelled")),"S4 Bare-PCB Fab",IF(NOT(OR(AG119="Completed",AG119="NA",AG119="Cancelled")),"S5 Assembly",IF(NOT(OR(AL119="Completed",AL119="NA",AL119="Cancelled")),"S6 Bring-up",IF(NOT(OR(AQ119="Completed",AQ119="NA",AQ119="Cancelled")),"S7 BOM Procurement","All Stages Closed"))))))))</f>
        <v/>
      </c>
      <c r="F119" s="32" t="str">
        <f aca="false">IF($C119="","",IF(COUNTIF(M119,"Cancelled")+COUNTIF(R119,"Cancelled")+COUNTIF(W119,"Cancelled")+COUNTIF(AB119,"Cancelled")+COUNTIF(AG119,"Cancelled")+COUNTIF(AL119,"Cancelled")+COUNTIF(AQ119,"Cancelled")&gt;0,"Cancelled",IF(E119="All Stages Closed","Completed",IF(E119="S1 Schematic",M119,IF(E119="S2 PCB Layout",R119,IF(E119="S3 SI &amp; PI",W119,IF(E119="S4 Bare-PCB Fab",AB119,IF(E119="S5 Assembly",AG119,IF(E119="S6 Bring-up",AL119,AQ119)))))))))</f>
        <v/>
      </c>
      <c r="G119" s="33" t="str">
        <f aca="false">IF($C119="","",IF(E119="All Stages Closed","",IF(E119="S1 Schematic",IF(N119="","Not added",N119),IF(E119="S2 PCB Layout",IF(S119="","Not added",S119),IF(E119="S3 SI &amp; PI",IF(X119="","Not added",X119),IF(E119="S4 Bare-PCB Fab",IF(AC119="","Not added",AC119),IF(E119="S5 Assembly",IF(AH119="","Not added",AH119),IF(E119="S6 Bring-up",IF(AM119="","Not added",AM119),IF(AR119="","Not added",AR119)))))))))</f>
        <v/>
      </c>
      <c r="H119" s="32" t="str">
        <f aca="true">IF($C119="","",IF(OR(F119="Completed",F119="Cancelled"),"",IF(NOT(ISNUMBER(G119)),"No date set",IF(TODAY()&gt;G119,TODAY()-G119&amp;" days late",G119-TODAY()&amp;" days left"))))</f>
        <v/>
      </c>
      <c r="I119" s="31" t="str">
        <f aca="false">IF($C119="","",COUNTIF(M119,"Completed")+COUNTIF(R119,"Completed")+COUNTIF(W119,"Completed")+COUNTIF(AB119,"Completed")+COUNTIF(AG119,"Completed")+COUNTIF(AL119,"Completed")+COUNTIF(AQ119,"Completed"))</f>
        <v/>
      </c>
      <c r="J119" s="31" t="str">
        <f aca="false">IF($C119="","",7-(COUNTIF(M119,"NA")+COUNTIF(R119,"NA")+COUNTIF(W119,"NA")+COUNTIF(AB119,"NA")+COUNTIF(AG119,"NA")+COUNTIF(AL119,"NA")+COUNTIF(AQ119,"NA")))</f>
        <v/>
      </c>
      <c r="K119" s="34" t="str">
        <f aca="false">IFERROR(I119/J119,"")</f>
        <v/>
      </c>
      <c r="L119" s="29"/>
      <c r="M119" s="35"/>
      <c r="N119" s="36"/>
      <c r="O119" s="36"/>
      <c r="P119" s="30"/>
      <c r="Q119" s="29"/>
      <c r="R119" s="35"/>
      <c r="S119" s="36"/>
      <c r="T119" s="36"/>
      <c r="U119" s="30"/>
      <c r="V119" s="29"/>
      <c r="W119" s="35"/>
      <c r="X119" s="36"/>
      <c r="Y119" s="36"/>
      <c r="Z119" s="30"/>
      <c r="AA119" s="29"/>
      <c r="AB119" s="35"/>
      <c r="AC119" s="36"/>
      <c r="AD119" s="36"/>
      <c r="AE119" s="30"/>
      <c r="AF119" s="29"/>
      <c r="AG119" s="35"/>
      <c r="AH119" s="36"/>
      <c r="AI119" s="36"/>
      <c r="AJ119" s="30"/>
      <c r="AK119" s="29"/>
      <c r="AL119" s="35"/>
      <c r="AM119" s="36"/>
      <c r="AN119" s="36"/>
      <c r="AO119" s="30"/>
      <c r="AP119" s="29"/>
      <c r="AQ119" s="35"/>
      <c r="AR119" s="36"/>
      <c r="AS119" s="36"/>
      <c r="AT119" s="30"/>
      <c r="AU119" s="29"/>
      <c r="AV119" s="29"/>
      <c r="AW119" s="29"/>
      <c r="AX119" s="37"/>
      <c r="AY119" s="29"/>
      <c r="AZ119" s="38" t="str">
        <f aca="false">IF($C119="","",IF(OR(F119="Completed",F119="Cancelled"),"",IF(AND(OR(F119="On Hold",ISNUMBER(VALUE(LEFT(H119,2)))),AY119=""),"Reason not given","")))</f>
        <v/>
      </c>
      <c r="BA119" s="30"/>
    </row>
    <row r="120" customFormat="false" ht="19.5" hidden="false" customHeight="true" outlineLevel="0" collapsed="false">
      <c r="A120" s="28" t="str">
        <f aca="false">IF($C120="","",COUNTA($C$17:$C120))</f>
        <v/>
      </c>
      <c r="B120" s="29"/>
      <c r="C120" s="30"/>
      <c r="D120" s="29"/>
      <c r="E120" s="31" t="str">
        <f aca="false">IF($C120="","",IF(NOT(OR(M120="Completed",M120="NA",M120="Cancelled")),"S1 Schematic",IF(NOT(OR(R120="Completed",R120="NA",R120="Cancelled")),"S2 PCB Layout",IF(NOT(OR(W120="Completed",W120="NA",W120="Cancelled")),"S3 SI &amp; PI",IF(NOT(OR(AB120="Completed",AB120="NA",AB120="Cancelled")),"S4 Bare-PCB Fab",IF(NOT(OR(AG120="Completed",AG120="NA",AG120="Cancelled")),"S5 Assembly",IF(NOT(OR(AL120="Completed",AL120="NA",AL120="Cancelled")),"S6 Bring-up",IF(NOT(OR(AQ120="Completed",AQ120="NA",AQ120="Cancelled")),"S7 BOM Procurement","All Stages Closed"))))))))</f>
        <v/>
      </c>
      <c r="F120" s="32" t="str">
        <f aca="false">IF($C120="","",IF(COUNTIF(M120,"Cancelled")+COUNTIF(R120,"Cancelled")+COUNTIF(W120,"Cancelled")+COUNTIF(AB120,"Cancelled")+COUNTIF(AG120,"Cancelled")+COUNTIF(AL120,"Cancelled")+COUNTIF(AQ120,"Cancelled")&gt;0,"Cancelled",IF(E120="All Stages Closed","Completed",IF(E120="S1 Schematic",M120,IF(E120="S2 PCB Layout",R120,IF(E120="S3 SI &amp; PI",W120,IF(E120="S4 Bare-PCB Fab",AB120,IF(E120="S5 Assembly",AG120,IF(E120="S6 Bring-up",AL120,AQ120)))))))))</f>
        <v/>
      </c>
      <c r="G120" s="33" t="str">
        <f aca="false">IF($C120="","",IF(E120="All Stages Closed","",IF(E120="S1 Schematic",IF(N120="","Not added",N120),IF(E120="S2 PCB Layout",IF(S120="","Not added",S120),IF(E120="S3 SI &amp; PI",IF(X120="","Not added",X120),IF(E120="S4 Bare-PCB Fab",IF(AC120="","Not added",AC120),IF(E120="S5 Assembly",IF(AH120="","Not added",AH120),IF(E120="S6 Bring-up",IF(AM120="","Not added",AM120),IF(AR120="","Not added",AR120)))))))))</f>
        <v/>
      </c>
      <c r="H120" s="32" t="str">
        <f aca="true">IF($C120="","",IF(OR(F120="Completed",F120="Cancelled"),"",IF(NOT(ISNUMBER(G120)),"No date set",IF(TODAY()&gt;G120,TODAY()-G120&amp;" days late",G120-TODAY()&amp;" days left"))))</f>
        <v/>
      </c>
      <c r="I120" s="31" t="str">
        <f aca="false">IF($C120="","",COUNTIF(M120,"Completed")+COUNTIF(R120,"Completed")+COUNTIF(W120,"Completed")+COUNTIF(AB120,"Completed")+COUNTIF(AG120,"Completed")+COUNTIF(AL120,"Completed")+COUNTIF(AQ120,"Completed"))</f>
        <v/>
      </c>
      <c r="J120" s="31" t="str">
        <f aca="false">IF($C120="","",7-(COUNTIF(M120,"NA")+COUNTIF(R120,"NA")+COUNTIF(W120,"NA")+COUNTIF(AB120,"NA")+COUNTIF(AG120,"NA")+COUNTIF(AL120,"NA")+COUNTIF(AQ120,"NA")))</f>
        <v/>
      </c>
      <c r="K120" s="34" t="str">
        <f aca="false">IFERROR(I120/J120,"")</f>
        <v/>
      </c>
      <c r="L120" s="29"/>
      <c r="M120" s="35"/>
      <c r="N120" s="36"/>
      <c r="O120" s="36"/>
      <c r="P120" s="30"/>
      <c r="Q120" s="29"/>
      <c r="R120" s="35"/>
      <c r="S120" s="36"/>
      <c r="T120" s="36"/>
      <c r="U120" s="30"/>
      <c r="V120" s="29"/>
      <c r="W120" s="35"/>
      <c r="X120" s="36"/>
      <c r="Y120" s="36"/>
      <c r="Z120" s="30"/>
      <c r="AA120" s="29"/>
      <c r="AB120" s="35"/>
      <c r="AC120" s="36"/>
      <c r="AD120" s="36"/>
      <c r="AE120" s="30"/>
      <c r="AF120" s="29"/>
      <c r="AG120" s="35"/>
      <c r="AH120" s="36"/>
      <c r="AI120" s="36"/>
      <c r="AJ120" s="30"/>
      <c r="AK120" s="29"/>
      <c r="AL120" s="35"/>
      <c r="AM120" s="36"/>
      <c r="AN120" s="36"/>
      <c r="AO120" s="30"/>
      <c r="AP120" s="29"/>
      <c r="AQ120" s="35"/>
      <c r="AR120" s="36"/>
      <c r="AS120" s="36"/>
      <c r="AT120" s="30"/>
      <c r="AU120" s="29"/>
      <c r="AV120" s="29"/>
      <c r="AW120" s="29"/>
      <c r="AX120" s="37"/>
      <c r="AY120" s="29"/>
      <c r="AZ120" s="38" t="str">
        <f aca="false">IF($C120="","",IF(OR(F120="Completed",F120="Cancelled"),"",IF(AND(OR(F120="On Hold",ISNUMBER(VALUE(LEFT(H120,2)))),AY120=""),"Reason not given","")))</f>
        <v/>
      </c>
      <c r="BA120" s="30"/>
    </row>
    <row r="121" customFormat="false" ht="19.5" hidden="false" customHeight="true" outlineLevel="0" collapsed="false">
      <c r="A121" s="28" t="str">
        <f aca="false">IF($C121="","",COUNTA($C$17:$C121))</f>
        <v/>
      </c>
      <c r="B121" s="29"/>
      <c r="C121" s="30"/>
      <c r="D121" s="29"/>
      <c r="E121" s="31" t="str">
        <f aca="false">IF($C121="","",IF(NOT(OR(M121="Completed",M121="NA",M121="Cancelled")),"S1 Schematic",IF(NOT(OR(R121="Completed",R121="NA",R121="Cancelled")),"S2 PCB Layout",IF(NOT(OR(W121="Completed",W121="NA",W121="Cancelled")),"S3 SI &amp; PI",IF(NOT(OR(AB121="Completed",AB121="NA",AB121="Cancelled")),"S4 Bare-PCB Fab",IF(NOT(OR(AG121="Completed",AG121="NA",AG121="Cancelled")),"S5 Assembly",IF(NOT(OR(AL121="Completed",AL121="NA",AL121="Cancelled")),"S6 Bring-up",IF(NOT(OR(AQ121="Completed",AQ121="NA",AQ121="Cancelled")),"S7 BOM Procurement","All Stages Closed"))))))))</f>
        <v/>
      </c>
      <c r="F121" s="32" t="str">
        <f aca="false">IF($C121="","",IF(COUNTIF(M121,"Cancelled")+COUNTIF(R121,"Cancelled")+COUNTIF(W121,"Cancelled")+COUNTIF(AB121,"Cancelled")+COUNTIF(AG121,"Cancelled")+COUNTIF(AL121,"Cancelled")+COUNTIF(AQ121,"Cancelled")&gt;0,"Cancelled",IF(E121="All Stages Closed","Completed",IF(E121="S1 Schematic",M121,IF(E121="S2 PCB Layout",R121,IF(E121="S3 SI &amp; PI",W121,IF(E121="S4 Bare-PCB Fab",AB121,IF(E121="S5 Assembly",AG121,IF(E121="S6 Bring-up",AL121,AQ121)))))))))</f>
        <v/>
      </c>
      <c r="G121" s="33" t="str">
        <f aca="false">IF($C121="","",IF(E121="All Stages Closed","",IF(E121="S1 Schematic",IF(N121="","Not added",N121),IF(E121="S2 PCB Layout",IF(S121="","Not added",S121),IF(E121="S3 SI &amp; PI",IF(X121="","Not added",X121),IF(E121="S4 Bare-PCB Fab",IF(AC121="","Not added",AC121),IF(E121="S5 Assembly",IF(AH121="","Not added",AH121),IF(E121="S6 Bring-up",IF(AM121="","Not added",AM121),IF(AR121="","Not added",AR121)))))))))</f>
        <v/>
      </c>
      <c r="H121" s="32" t="str">
        <f aca="true">IF($C121="","",IF(OR(F121="Completed",F121="Cancelled"),"",IF(NOT(ISNUMBER(G121)),"No date set",IF(TODAY()&gt;G121,TODAY()-G121&amp;" days late",G121-TODAY()&amp;" days left"))))</f>
        <v/>
      </c>
      <c r="I121" s="31" t="str">
        <f aca="false">IF($C121="","",COUNTIF(M121,"Completed")+COUNTIF(R121,"Completed")+COUNTIF(W121,"Completed")+COUNTIF(AB121,"Completed")+COUNTIF(AG121,"Completed")+COUNTIF(AL121,"Completed")+COUNTIF(AQ121,"Completed"))</f>
        <v/>
      </c>
      <c r="J121" s="31" t="str">
        <f aca="false">IF($C121="","",7-(COUNTIF(M121,"NA")+COUNTIF(R121,"NA")+COUNTIF(W121,"NA")+COUNTIF(AB121,"NA")+COUNTIF(AG121,"NA")+COUNTIF(AL121,"NA")+COUNTIF(AQ121,"NA")))</f>
        <v/>
      </c>
      <c r="K121" s="34" t="str">
        <f aca="false">IFERROR(I121/J121,"")</f>
        <v/>
      </c>
      <c r="L121" s="29"/>
      <c r="M121" s="35"/>
      <c r="N121" s="36"/>
      <c r="O121" s="36"/>
      <c r="P121" s="30"/>
      <c r="Q121" s="29"/>
      <c r="R121" s="35"/>
      <c r="S121" s="36"/>
      <c r="T121" s="36"/>
      <c r="U121" s="30"/>
      <c r="V121" s="29"/>
      <c r="W121" s="35"/>
      <c r="X121" s="36"/>
      <c r="Y121" s="36"/>
      <c r="Z121" s="30"/>
      <c r="AA121" s="29"/>
      <c r="AB121" s="35"/>
      <c r="AC121" s="36"/>
      <c r="AD121" s="36"/>
      <c r="AE121" s="30"/>
      <c r="AF121" s="29"/>
      <c r="AG121" s="35"/>
      <c r="AH121" s="36"/>
      <c r="AI121" s="36"/>
      <c r="AJ121" s="30"/>
      <c r="AK121" s="29"/>
      <c r="AL121" s="35"/>
      <c r="AM121" s="36"/>
      <c r="AN121" s="36"/>
      <c r="AO121" s="30"/>
      <c r="AP121" s="29"/>
      <c r="AQ121" s="35"/>
      <c r="AR121" s="36"/>
      <c r="AS121" s="36"/>
      <c r="AT121" s="30"/>
      <c r="AU121" s="29"/>
      <c r="AV121" s="29"/>
      <c r="AW121" s="29"/>
      <c r="AX121" s="37"/>
      <c r="AY121" s="29"/>
      <c r="AZ121" s="38" t="str">
        <f aca="false">IF($C121="","",IF(OR(F121="Completed",F121="Cancelled"),"",IF(AND(OR(F121="On Hold",ISNUMBER(VALUE(LEFT(H121,2)))),AY121=""),"Reason not given","")))</f>
        <v/>
      </c>
      <c r="BA121" s="30"/>
    </row>
    <row r="122" customFormat="false" ht="19.5" hidden="false" customHeight="true" outlineLevel="0" collapsed="false">
      <c r="A122" s="28" t="str">
        <f aca="false">IF($C122="","",COUNTA($C$17:$C122))</f>
        <v/>
      </c>
      <c r="B122" s="29"/>
      <c r="C122" s="30"/>
      <c r="D122" s="29"/>
      <c r="E122" s="31" t="str">
        <f aca="false">IF($C122="","",IF(NOT(OR(M122="Completed",M122="NA",M122="Cancelled")),"S1 Schematic",IF(NOT(OR(R122="Completed",R122="NA",R122="Cancelled")),"S2 PCB Layout",IF(NOT(OR(W122="Completed",W122="NA",W122="Cancelled")),"S3 SI &amp; PI",IF(NOT(OR(AB122="Completed",AB122="NA",AB122="Cancelled")),"S4 Bare-PCB Fab",IF(NOT(OR(AG122="Completed",AG122="NA",AG122="Cancelled")),"S5 Assembly",IF(NOT(OR(AL122="Completed",AL122="NA",AL122="Cancelled")),"S6 Bring-up",IF(NOT(OR(AQ122="Completed",AQ122="NA",AQ122="Cancelled")),"S7 BOM Procurement","All Stages Closed"))))))))</f>
        <v/>
      </c>
      <c r="F122" s="32" t="str">
        <f aca="false">IF($C122="","",IF(COUNTIF(M122,"Cancelled")+COUNTIF(R122,"Cancelled")+COUNTIF(W122,"Cancelled")+COUNTIF(AB122,"Cancelled")+COUNTIF(AG122,"Cancelled")+COUNTIF(AL122,"Cancelled")+COUNTIF(AQ122,"Cancelled")&gt;0,"Cancelled",IF(E122="All Stages Closed","Completed",IF(E122="S1 Schematic",M122,IF(E122="S2 PCB Layout",R122,IF(E122="S3 SI &amp; PI",W122,IF(E122="S4 Bare-PCB Fab",AB122,IF(E122="S5 Assembly",AG122,IF(E122="S6 Bring-up",AL122,AQ122)))))))))</f>
        <v/>
      </c>
      <c r="G122" s="33" t="str">
        <f aca="false">IF($C122="","",IF(E122="All Stages Closed","",IF(E122="S1 Schematic",IF(N122="","Not added",N122),IF(E122="S2 PCB Layout",IF(S122="","Not added",S122),IF(E122="S3 SI &amp; PI",IF(X122="","Not added",X122),IF(E122="S4 Bare-PCB Fab",IF(AC122="","Not added",AC122),IF(E122="S5 Assembly",IF(AH122="","Not added",AH122),IF(E122="S6 Bring-up",IF(AM122="","Not added",AM122),IF(AR122="","Not added",AR122)))))))))</f>
        <v/>
      </c>
      <c r="H122" s="32" t="str">
        <f aca="true">IF($C122="","",IF(OR(F122="Completed",F122="Cancelled"),"",IF(NOT(ISNUMBER(G122)),"No date set",IF(TODAY()&gt;G122,TODAY()-G122&amp;" days late",G122-TODAY()&amp;" days left"))))</f>
        <v/>
      </c>
      <c r="I122" s="31" t="str">
        <f aca="false">IF($C122="","",COUNTIF(M122,"Completed")+COUNTIF(R122,"Completed")+COUNTIF(W122,"Completed")+COUNTIF(AB122,"Completed")+COUNTIF(AG122,"Completed")+COUNTIF(AL122,"Completed")+COUNTIF(AQ122,"Completed"))</f>
        <v/>
      </c>
      <c r="J122" s="31" t="str">
        <f aca="false">IF($C122="","",7-(COUNTIF(M122,"NA")+COUNTIF(R122,"NA")+COUNTIF(W122,"NA")+COUNTIF(AB122,"NA")+COUNTIF(AG122,"NA")+COUNTIF(AL122,"NA")+COUNTIF(AQ122,"NA")))</f>
        <v/>
      </c>
      <c r="K122" s="34" t="str">
        <f aca="false">IFERROR(I122/J122,"")</f>
        <v/>
      </c>
      <c r="L122" s="29"/>
      <c r="M122" s="35"/>
      <c r="N122" s="36"/>
      <c r="O122" s="36"/>
      <c r="P122" s="30"/>
      <c r="Q122" s="29"/>
      <c r="R122" s="35"/>
      <c r="S122" s="36"/>
      <c r="T122" s="36"/>
      <c r="U122" s="30"/>
      <c r="V122" s="29"/>
      <c r="W122" s="35"/>
      <c r="X122" s="36"/>
      <c r="Y122" s="36"/>
      <c r="Z122" s="30"/>
      <c r="AA122" s="29"/>
      <c r="AB122" s="35"/>
      <c r="AC122" s="36"/>
      <c r="AD122" s="36"/>
      <c r="AE122" s="30"/>
      <c r="AF122" s="29"/>
      <c r="AG122" s="35"/>
      <c r="AH122" s="36"/>
      <c r="AI122" s="36"/>
      <c r="AJ122" s="30"/>
      <c r="AK122" s="29"/>
      <c r="AL122" s="35"/>
      <c r="AM122" s="36"/>
      <c r="AN122" s="36"/>
      <c r="AO122" s="30"/>
      <c r="AP122" s="29"/>
      <c r="AQ122" s="35"/>
      <c r="AR122" s="36"/>
      <c r="AS122" s="36"/>
      <c r="AT122" s="30"/>
      <c r="AU122" s="29"/>
      <c r="AV122" s="29"/>
      <c r="AW122" s="29"/>
      <c r="AX122" s="37"/>
      <c r="AY122" s="29"/>
      <c r="AZ122" s="38" t="str">
        <f aca="false">IF($C122="","",IF(OR(F122="Completed",F122="Cancelled"),"",IF(AND(OR(F122="On Hold",ISNUMBER(VALUE(LEFT(H122,2)))),AY122=""),"Reason not given","")))</f>
        <v/>
      </c>
      <c r="BA122" s="30"/>
    </row>
    <row r="123" customFormat="false" ht="19.5" hidden="false" customHeight="true" outlineLevel="0" collapsed="false">
      <c r="A123" s="28" t="str">
        <f aca="false">IF($C123="","",COUNTA($C$17:$C123))</f>
        <v/>
      </c>
      <c r="B123" s="29"/>
      <c r="C123" s="30"/>
      <c r="D123" s="29"/>
      <c r="E123" s="31" t="str">
        <f aca="false">IF($C123="","",IF(NOT(OR(M123="Completed",M123="NA",M123="Cancelled")),"S1 Schematic",IF(NOT(OR(R123="Completed",R123="NA",R123="Cancelled")),"S2 PCB Layout",IF(NOT(OR(W123="Completed",W123="NA",W123="Cancelled")),"S3 SI &amp; PI",IF(NOT(OR(AB123="Completed",AB123="NA",AB123="Cancelled")),"S4 Bare-PCB Fab",IF(NOT(OR(AG123="Completed",AG123="NA",AG123="Cancelled")),"S5 Assembly",IF(NOT(OR(AL123="Completed",AL123="NA",AL123="Cancelled")),"S6 Bring-up",IF(NOT(OR(AQ123="Completed",AQ123="NA",AQ123="Cancelled")),"S7 BOM Procurement","All Stages Closed"))))))))</f>
        <v/>
      </c>
      <c r="F123" s="32" t="str">
        <f aca="false">IF($C123="","",IF(COUNTIF(M123,"Cancelled")+COUNTIF(R123,"Cancelled")+COUNTIF(W123,"Cancelled")+COUNTIF(AB123,"Cancelled")+COUNTIF(AG123,"Cancelled")+COUNTIF(AL123,"Cancelled")+COUNTIF(AQ123,"Cancelled")&gt;0,"Cancelled",IF(E123="All Stages Closed","Completed",IF(E123="S1 Schematic",M123,IF(E123="S2 PCB Layout",R123,IF(E123="S3 SI &amp; PI",W123,IF(E123="S4 Bare-PCB Fab",AB123,IF(E123="S5 Assembly",AG123,IF(E123="S6 Bring-up",AL123,AQ123)))))))))</f>
        <v/>
      </c>
      <c r="G123" s="33" t="str">
        <f aca="false">IF($C123="","",IF(E123="All Stages Closed","",IF(E123="S1 Schematic",IF(N123="","Not added",N123),IF(E123="S2 PCB Layout",IF(S123="","Not added",S123),IF(E123="S3 SI &amp; PI",IF(X123="","Not added",X123),IF(E123="S4 Bare-PCB Fab",IF(AC123="","Not added",AC123),IF(E123="S5 Assembly",IF(AH123="","Not added",AH123),IF(E123="S6 Bring-up",IF(AM123="","Not added",AM123),IF(AR123="","Not added",AR123)))))))))</f>
        <v/>
      </c>
      <c r="H123" s="32" t="str">
        <f aca="true">IF($C123="","",IF(OR(F123="Completed",F123="Cancelled"),"",IF(NOT(ISNUMBER(G123)),"No date set",IF(TODAY()&gt;G123,TODAY()-G123&amp;" days late",G123-TODAY()&amp;" days left"))))</f>
        <v/>
      </c>
      <c r="I123" s="31" t="str">
        <f aca="false">IF($C123="","",COUNTIF(M123,"Completed")+COUNTIF(R123,"Completed")+COUNTIF(W123,"Completed")+COUNTIF(AB123,"Completed")+COUNTIF(AG123,"Completed")+COUNTIF(AL123,"Completed")+COUNTIF(AQ123,"Completed"))</f>
        <v/>
      </c>
      <c r="J123" s="31" t="str">
        <f aca="false">IF($C123="","",7-(COUNTIF(M123,"NA")+COUNTIF(R123,"NA")+COUNTIF(W123,"NA")+COUNTIF(AB123,"NA")+COUNTIF(AG123,"NA")+COUNTIF(AL123,"NA")+COUNTIF(AQ123,"NA")))</f>
        <v/>
      </c>
      <c r="K123" s="34" t="str">
        <f aca="false">IFERROR(I123/J123,"")</f>
        <v/>
      </c>
      <c r="L123" s="29"/>
      <c r="M123" s="35"/>
      <c r="N123" s="36"/>
      <c r="O123" s="36"/>
      <c r="P123" s="30"/>
      <c r="Q123" s="29"/>
      <c r="R123" s="35"/>
      <c r="S123" s="36"/>
      <c r="T123" s="36"/>
      <c r="U123" s="30"/>
      <c r="V123" s="29"/>
      <c r="W123" s="35"/>
      <c r="X123" s="36"/>
      <c r="Y123" s="36"/>
      <c r="Z123" s="30"/>
      <c r="AA123" s="29"/>
      <c r="AB123" s="35"/>
      <c r="AC123" s="36"/>
      <c r="AD123" s="36"/>
      <c r="AE123" s="30"/>
      <c r="AF123" s="29"/>
      <c r="AG123" s="35"/>
      <c r="AH123" s="36"/>
      <c r="AI123" s="36"/>
      <c r="AJ123" s="30"/>
      <c r="AK123" s="29"/>
      <c r="AL123" s="35"/>
      <c r="AM123" s="36"/>
      <c r="AN123" s="36"/>
      <c r="AO123" s="30"/>
      <c r="AP123" s="29"/>
      <c r="AQ123" s="35"/>
      <c r="AR123" s="36"/>
      <c r="AS123" s="36"/>
      <c r="AT123" s="30"/>
      <c r="AU123" s="29"/>
      <c r="AV123" s="29"/>
      <c r="AW123" s="29"/>
      <c r="AX123" s="37"/>
      <c r="AY123" s="29"/>
      <c r="AZ123" s="38" t="str">
        <f aca="false">IF($C123="","",IF(OR(F123="Completed",F123="Cancelled"),"",IF(AND(OR(F123="On Hold",ISNUMBER(VALUE(LEFT(H123,2)))),AY123=""),"Reason not given","")))</f>
        <v/>
      </c>
      <c r="BA123" s="30"/>
    </row>
    <row r="124" customFormat="false" ht="19.5" hidden="false" customHeight="true" outlineLevel="0" collapsed="false">
      <c r="A124" s="28" t="str">
        <f aca="false">IF($C124="","",COUNTA($C$17:$C124))</f>
        <v/>
      </c>
      <c r="B124" s="29"/>
      <c r="C124" s="30"/>
      <c r="D124" s="29"/>
      <c r="E124" s="31" t="str">
        <f aca="false">IF($C124="","",IF(NOT(OR(M124="Completed",M124="NA",M124="Cancelled")),"S1 Schematic",IF(NOT(OR(R124="Completed",R124="NA",R124="Cancelled")),"S2 PCB Layout",IF(NOT(OR(W124="Completed",W124="NA",W124="Cancelled")),"S3 SI &amp; PI",IF(NOT(OR(AB124="Completed",AB124="NA",AB124="Cancelled")),"S4 Bare-PCB Fab",IF(NOT(OR(AG124="Completed",AG124="NA",AG124="Cancelled")),"S5 Assembly",IF(NOT(OR(AL124="Completed",AL124="NA",AL124="Cancelled")),"S6 Bring-up",IF(NOT(OR(AQ124="Completed",AQ124="NA",AQ124="Cancelled")),"S7 BOM Procurement","All Stages Closed"))))))))</f>
        <v/>
      </c>
      <c r="F124" s="32" t="str">
        <f aca="false">IF($C124="","",IF(COUNTIF(M124,"Cancelled")+COUNTIF(R124,"Cancelled")+COUNTIF(W124,"Cancelled")+COUNTIF(AB124,"Cancelled")+COUNTIF(AG124,"Cancelled")+COUNTIF(AL124,"Cancelled")+COUNTIF(AQ124,"Cancelled")&gt;0,"Cancelled",IF(E124="All Stages Closed","Completed",IF(E124="S1 Schematic",M124,IF(E124="S2 PCB Layout",R124,IF(E124="S3 SI &amp; PI",W124,IF(E124="S4 Bare-PCB Fab",AB124,IF(E124="S5 Assembly",AG124,IF(E124="S6 Bring-up",AL124,AQ124)))))))))</f>
        <v/>
      </c>
      <c r="G124" s="33" t="str">
        <f aca="false">IF($C124="","",IF(E124="All Stages Closed","",IF(E124="S1 Schematic",IF(N124="","Not added",N124),IF(E124="S2 PCB Layout",IF(S124="","Not added",S124),IF(E124="S3 SI &amp; PI",IF(X124="","Not added",X124),IF(E124="S4 Bare-PCB Fab",IF(AC124="","Not added",AC124),IF(E124="S5 Assembly",IF(AH124="","Not added",AH124),IF(E124="S6 Bring-up",IF(AM124="","Not added",AM124),IF(AR124="","Not added",AR124)))))))))</f>
        <v/>
      </c>
      <c r="H124" s="32" t="str">
        <f aca="true">IF($C124="","",IF(OR(F124="Completed",F124="Cancelled"),"",IF(NOT(ISNUMBER(G124)),"No date set",IF(TODAY()&gt;G124,TODAY()-G124&amp;" days late",G124-TODAY()&amp;" days left"))))</f>
        <v/>
      </c>
      <c r="I124" s="31" t="str">
        <f aca="false">IF($C124="","",COUNTIF(M124,"Completed")+COUNTIF(R124,"Completed")+COUNTIF(W124,"Completed")+COUNTIF(AB124,"Completed")+COUNTIF(AG124,"Completed")+COUNTIF(AL124,"Completed")+COUNTIF(AQ124,"Completed"))</f>
        <v/>
      </c>
      <c r="J124" s="31" t="str">
        <f aca="false">IF($C124="","",7-(COUNTIF(M124,"NA")+COUNTIF(R124,"NA")+COUNTIF(W124,"NA")+COUNTIF(AB124,"NA")+COUNTIF(AG124,"NA")+COUNTIF(AL124,"NA")+COUNTIF(AQ124,"NA")))</f>
        <v/>
      </c>
      <c r="K124" s="34" t="str">
        <f aca="false">IFERROR(I124/J124,"")</f>
        <v/>
      </c>
      <c r="L124" s="29"/>
      <c r="M124" s="35"/>
      <c r="N124" s="36"/>
      <c r="O124" s="36"/>
      <c r="P124" s="30"/>
      <c r="Q124" s="29"/>
      <c r="R124" s="35"/>
      <c r="S124" s="36"/>
      <c r="T124" s="36"/>
      <c r="U124" s="30"/>
      <c r="V124" s="29"/>
      <c r="W124" s="35"/>
      <c r="X124" s="36"/>
      <c r="Y124" s="36"/>
      <c r="Z124" s="30"/>
      <c r="AA124" s="29"/>
      <c r="AB124" s="35"/>
      <c r="AC124" s="36"/>
      <c r="AD124" s="36"/>
      <c r="AE124" s="30"/>
      <c r="AF124" s="29"/>
      <c r="AG124" s="35"/>
      <c r="AH124" s="36"/>
      <c r="AI124" s="36"/>
      <c r="AJ124" s="30"/>
      <c r="AK124" s="29"/>
      <c r="AL124" s="35"/>
      <c r="AM124" s="36"/>
      <c r="AN124" s="36"/>
      <c r="AO124" s="30"/>
      <c r="AP124" s="29"/>
      <c r="AQ124" s="35"/>
      <c r="AR124" s="36"/>
      <c r="AS124" s="36"/>
      <c r="AT124" s="30"/>
      <c r="AU124" s="29"/>
      <c r="AV124" s="29"/>
      <c r="AW124" s="29"/>
      <c r="AX124" s="37"/>
      <c r="AY124" s="29"/>
      <c r="AZ124" s="38" t="str">
        <f aca="false">IF($C124="","",IF(OR(F124="Completed",F124="Cancelled"),"",IF(AND(OR(F124="On Hold",ISNUMBER(VALUE(LEFT(H124,2)))),AY124=""),"Reason not given","")))</f>
        <v/>
      </c>
      <c r="BA124" s="30"/>
    </row>
    <row r="125" customFormat="false" ht="19.5" hidden="false" customHeight="true" outlineLevel="0" collapsed="false">
      <c r="A125" s="28" t="str">
        <f aca="false">IF($C125="","",COUNTA($C$17:$C125))</f>
        <v/>
      </c>
      <c r="B125" s="29"/>
      <c r="C125" s="30"/>
      <c r="D125" s="29"/>
      <c r="E125" s="31" t="str">
        <f aca="false">IF($C125="","",IF(NOT(OR(M125="Completed",M125="NA",M125="Cancelled")),"S1 Schematic",IF(NOT(OR(R125="Completed",R125="NA",R125="Cancelled")),"S2 PCB Layout",IF(NOT(OR(W125="Completed",W125="NA",W125="Cancelled")),"S3 SI &amp; PI",IF(NOT(OR(AB125="Completed",AB125="NA",AB125="Cancelled")),"S4 Bare-PCB Fab",IF(NOT(OR(AG125="Completed",AG125="NA",AG125="Cancelled")),"S5 Assembly",IF(NOT(OR(AL125="Completed",AL125="NA",AL125="Cancelled")),"S6 Bring-up",IF(NOT(OR(AQ125="Completed",AQ125="NA",AQ125="Cancelled")),"S7 BOM Procurement","All Stages Closed"))))))))</f>
        <v/>
      </c>
      <c r="F125" s="32" t="str">
        <f aca="false">IF($C125="","",IF(COUNTIF(M125,"Cancelled")+COUNTIF(R125,"Cancelled")+COUNTIF(W125,"Cancelled")+COUNTIF(AB125,"Cancelled")+COUNTIF(AG125,"Cancelled")+COUNTIF(AL125,"Cancelled")+COUNTIF(AQ125,"Cancelled")&gt;0,"Cancelled",IF(E125="All Stages Closed","Completed",IF(E125="S1 Schematic",M125,IF(E125="S2 PCB Layout",R125,IF(E125="S3 SI &amp; PI",W125,IF(E125="S4 Bare-PCB Fab",AB125,IF(E125="S5 Assembly",AG125,IF(E125="S6 Bring-up",AL125,AQ125)))))))))</f>
        <v/>
      </c>
      <c r="G125" s="33" t="str">
        <f aca="false">IF($C125="","",IF(E125="All Stages Closed","",IF(E125="S1 Schematic",IF(N125="","Not added",N125),IF(E125="S2 PCB Layout",IF(S125="","Not added",S125),IF(E125="S3 SI &amp; PI",IF(X125="","Not added",X125),IF(E125="S4 Bare-PCB Fab",IF(AC125="","Not added",AC125),IF(E125="S5 Assembly",IF(AH125="","Not added",AH125),IF(E125="S6 Bring-up",IF(AM125="","Not added",AM125),IF(AR125="","Not added",AR125)))))))))</f>
        <v/>
      </c>
      <c r="H125" s="32" t="str">
        <f aca="true">IF($C125="","",IF(OR(F125="Completed",F125="Cancelled"),"",IF(NOT(ISNUMBER(G125)),"No date set",IF(TODAY()&gt;G125,TODAY()-G125&amp;" days late",G125-TODAY()&amp;" days left"))))</f>
        <v/>
      </c>
      <c r="I125" s="31" t="str">
        <f aca="false">IF($C125="","",COUNTIF(M125,"Completed")+COUNTIF(R125,"Completed")+COUNTIF(W125,"Completed")+COUNTIF(AB125,"Completed")+COUNTIF(AG125,"Completed")+COUNTIF(AL125,"Completed")+COUNTIF(AQ125,"Completed"))</f>
        <v/>
      </c>
      <c r="J125" s="31" t="str">
        <f aca="false">IF($C125="","",7-(COUNTIF(M125,"NA")+COUNTIF(R125,"NA")+COUNTIF(W125,"NA")+COUNTIF(AB125,"NA")+COUNTIF(AG125,"NA")+COUNTIF(AL125,"NA")+COUNTIF(AQ125,"NA")))</f>
        <v/>
      </c>
      <c r="K125" s="34" t="str">
        <f aca="false">IFERROR(I125/J125,"")</f>
        <v/>
      </c>
      <c r="L125" s="29"/>
      <c r="M125" s="35"/>
      <c r="N125" s="36"/>
      <c r="O125" s="36"/>
      <c r="P125" s="30"/>
      <c r="Q125" s="29"/>
      <c r="R125" s="35"/>
      <c r="S125" s="36"/>
      <c r="T125" s="36"/>
      <c r="U125" s="30"/>
      <c r="V125" s="29"/>
      <c r="W125" s="35"/>
      <c r="X125" s="36"/>
      <c r="Y125" s="36"/>
      <c r="Z125" s="30"/>
      <c r="AA125" s="29"/>
      <c r="AB125" s="35"/>
      <c r="AC125" s="36"/>
      <c r="AD125" s="36"/>
      <c r="AE125" s="30"/>
      <c r="AF125" s="29"/>
      <c r="AG125" s="35"/>
      <c r="AH125" s="36"/>
      <c r="AI125" s="36"/>
      <c r="AJ125" s="30"/>
      <c r="AK125" s="29"/>
      <c r="AL125" s="35"/>
      <c r="AM125" s="36"/>
      <c r="AN125" s="36"/>
      <c r="AO125" s="30"/>
      <c r="AP125" s="29"/>
      <c r="AQ125" s="35"/>
      <c r="AR125" s="36"/>
      <c r="AS125" s="36"/>
      <c r="AT125" s="30"/>
      <c r="AU125" s="29"/>
      <c r="AV125" s="29"/>
      <c r="AW125" s="29"/>
      <c r="AX125" s="37"/>
      <c r="AY125" s="29"/>
      <c r="AZ125" s="38" t="str">
        <f aca="false">IF($C125="","",IF(OR(F125="Completed",F125="Cancelled"),"",IF(AND(OR(F125="On Hold",ISNUMBER(VALUE(LEFT(H125,2)))),AY125=""),"Reason not given","")))</f>
        <v/>
      </c>
      <c r="BA125" s="30"/>
    </row>
    <row r="126" customFormat="false" ht="19.5" hidden="false" customHeight="true" outlineLevel="0" collapsed="false">
      <c r="A126" s="28" t="str">
        <f aca="false">IF($C126="","",COUNTA($C$17:$C126))</f>
        <v/>
      </c>
      <c r="B126" s="29"/>
      <c r="C126" s="30"/>
      <c r="D126" s="29"/>
      <c r="E126" s="31" t="str">
        <f aca="false">IF($C126="","",IF(NOT(OR(M126="Completed",M126="NA",M126="Cancelled")),"S1 Schematic",IF(NOT(OR(R126="Completed",R126="NA",R126="Cancelled")),"S2 PCB Layout",IF(NOT(OR(W126="Completed",W126="NA",W126="Cancelled")),"S3 SI &amp; PI",IF(NOT(OR(AB126="Completed",AB126="NA",AB126="Cancelled")),"S4 Bare-PCB Fab",IF(NOT(OR(AG126="Completed",AG126="NA",AG126="Cancelled")),"S5 Assembly",IF(NOT(OR(AL126="Completed",AL126="NA",AL126="Cancelled")),"S6 Bring-up",IF(NOT(OR(AQ126="Completed",AQ126="NA",AQ126="Cancelled")),"S7 BOM Procurement","All Stages Closed"))))))))</f>
        <v/>
      </c>
      <c r="F126" s="32" t="str">
        <f aca="false">IF($C126="","",IF(COUNTIF(M126,"Cancelled")+COUNTIF(R126,"Cancelled")+COUNTIF(W126,"Cancelled")+COUNTIF(AB126,"Cancelled")+COUNTIF(AG126,"Cancelled")+COUNTIF(AL126,"Cancelled")+COUNTIF(AQ126,"Cancelled")&gt;0,"Cancelled",IF(E126="All Stages Closed","Completed",IF(E126="S1 Schematic",M126,IF(E126="S2 PCB Layout",R126,IF(E126="S3 SI &amp; PI",W126,IF(E126="S4 Bare-PCB Fab",AB126,IF(E126="S5 Assembly",AG126,IF(E126="S6 Bring-up",AL126,AQ126)))))))))</f>
        <v/>
      </c>
      <c r="G126" s="33" t="str">
        <f aca="false">IF($C126="","",IF(E126="All Stages Closed","",IF(E126="S1 Schematic",IF(N126="","Not added",N126),IF(E126="S2 PCB Layout",IF(S126="","Not added",S126),IF(E126="S3 SI &amp; PI",IF(X126="","Not added",X126),IF(E126="S4 Bare-PCB Fab",IF(AC126="","Not added",AC126),IF(E126="S5 Assembly",IF(AH126="","Not added",AH126),IF(E126="S6 Bring-up",IF(AM126="","Not added",AM126),IF(AR126="","Not added",AR126)))))))))</f>
        <v/>
      </c>
      <c r="H126" s="32" t="str">
        <f aca="true">IF($C126="","",IF(OR(F126="Completed",F126="Cancelled"),"",IF(NOT(ISNUMBER(G126)),"No date set",IF(TODAY()&gt;G126,TODAY()-G126&amp;" days late",G126-TODAY()&amp;" days left"))))</f>
        <v/>
      </c>
      <c r="I126" s="31" t="str">
        <f aca="false">IF($C126="","",COUNTIF(M126,"Completed")+COUNTIF(R126,"Completed")+COUNTIF(W126,"Completed")+COUNTIF(AB126,"Completed")+COUNTIF(AG126,"Completed")+COUNTIF(AL126,"Completed")+COUNTIF(AQ126,"Completed"))</f>
        <v/>
      </c>
      <c r="J126" s="31" t="str">
        <f aca="false">IF($C126="","",7-(COUNTIF(M126,"NA")+COUNTIF(R126,"NA")+COUNTIF(W126,"NA")+COUNTIF(AB126,"NA")+COUNTIF(AG126,"NA")+COUNTIF(AL126,"NA")+COUNTIF(AQ126,"NA")))</f>
        <v/>
      </c>
      <c r="K126" s="34" t="str">
        <f aca="false">IFERROR(I126/J126,"")</f>
        <v/>
      </c>
      <c r="L126" s="29"/>
      <c r="M126" s="35"/>
      <c r="N126" s="36"/>
      <c r="O126" s="36"/>
      <c r="P126" s="30"/>
      <c r="Q126" s="29"/>
      <c r="R126" s="35"/>
      <c r="S126" s="36"/>
      <c r="T126" s="36"/>
      <c r="U126" s="30"/>
      <c r="V126" s="29"/>
      <c r="W126" s="35"/>
      <c r="X126" s="36"/>
      <c r="Y126" s="36"/>
      <c r="Z126" s="30"/>
      <c r="AA126" s="29"/>
      <c r="AB126" s="35"/>
      <c r="AC126" s="36"/>
      <c r="AD126" s="36"/>
      <c r="AE126" s="30"/>
      <c r="AF126" s="29"/>
      <c r="AG126" s="35"/>
      <c r="AH126" s="36"/>
      <c r="AI126" s="36"/>
      <c r="AJ126" s="30"/>
      <c r="AK126" s="29"/>
      <c r="AL126" s="35"/>
      <c r="AM126" s="36"/>
      <c r="AN126" s="36"/>
      <c r="AO126" s="30"/>
      <c r="AP126" s="29"/>
      <c r="AQ126" s="35"/>
      <c r="AR126" s="36"/>
      <c r="AS126" s="36"/>
      <c r="AT126" s="30"/>
      <c r="AU126" s="29"/>
      <c r="AV126" s="29"/>
      <c r="AW126" s="29"/>
      <c r="AX126" s="37"/>
      <c r="AY126" s="29"/>
      <c r="AZ126" s="38" t="str">
        <f aca="false">IF($C126="","",IF(OR(F126="Completed",F126="Cancelled"),"",IF(AND(OR(F126="On Hold",ISNUMBER(VALUE(LEFT(H126,2)))),AY126=""),"Reason not given","")))</f>
        <v/>
      </c>
      <c r="BA126" s="30"/>
    </row>
    <row r="127" customFormat="false" ht="19.5" hidden="false" customHeight="true" outlineLevel="0" collapsed="false">
      <c r="A127" s="28" t="str">
        <f aca="false">IF($C127="","",COUNTA($C$17:$C127))</f>
        <v/>
      </c>
      <c r="B127" s="29"/>
      <c r="C127" s="30"/>
      <c r="D127" s="29"/>
      <c r="E127" s="31" t="str">
        <f aca="false">IF($C127="","",IF(NOT(OR(M127="Completed",M127="NA",M127="Cancelled")),"S1 Schematic",IF(NOT(OR(R127="Completed",R127="NA",R127="Cancelled")),"S2 PCB Layout",IF(NOT(OR(W127="Completed",W127="NA",W127="Cancelled")),"S3 SI &amp; PI",IF(NOT(OR(AB127="Completed",AB127="NA",AB127="Cancelled")),"S4 Bare-PCB Fab",IF(NOT(OR(AG127="Completed",AG127="NA",AG127="Cancelled")),"S5 Assembly",IF(NOT(OR(AL127="Completed",AL127="NA",AL127="Cancelled")),"S6 Bring-up",IF(NOT(OR(AQ127="Completed",AQ127="NA",AQ127="Cancelled")),"S7 BOM Procurement","All Stages Closed"))))))))</f>
        <v/>
      </c>
      <c r="F127" s="32" t="str">
        <f aca="false">IF($C127="","",IF(COUNTIF(M127,"Cancelled")+COUNTIF(R127,"Cancelled")+COUNTIF(W127,"Cancelled")+COUNTIF(AB127,"Cancelled")+COUNTIF(AG127,"Cancelled")+COUNTIF(AL127,"Cancelled")+COUNTIF(AQ127,"Cancelled")&gt;0,"Cancelled",IF(E127="All Stages Closed","Completed",IF(E127="S1 Schematic",M127,IF(E127="S2 PCB Layout",R127,IF(E127="S3 SI &amp; PI",W127,IF(E127="S4 Bare-PCB Fab",AB127,IF(E127="S5 Assembly",AG127,IF(E127="S6 Bring-up",AL127,AQ127)))))))))</f>
        <v/>
      </c>
      <c r="G127" s="33" t="str">
        <f aca="false">IF($C127="","",IF(E127="All Stages Closed","",IF(E127="S1 Schematic",IF(N127="","Not added",N127),IF(E127="S2 PCB Layout",IF(S127="","Not added",S127),IF(E127="S3 SI &amp; PI",IF(X127="","Not added",X127),IF(E127="S4 Bare-PCB Fab",IF(AC127="","Not added",AC127),IF(E127="S5 Assembly",IF(AH127="","Not added",AH127),IF(E127="S6 Bring-up",IF(AM127="","Not added",AM127),IF(AR127="","Not added",AR127)))))))))</f>
        <v/>
      </c>
      <c r="H127" s="32" t="str">
        <f aca="true">IF($C127="","",IF(OR(F127="Completed",F127="Cancelled"),"",IF(NOT(ISNUMBER(G127)),"No date set",IF(TODAY()&gt;G127,TODAY()-G127&amp;" days late",G127-TODAY()&amp;" days left"))))</f>
        <v/>
      </c>
      <c r="I127" s="31" t="str">
        <f aca="false">IF($C127="","",COUNTIF(M127,"Completed")+COUNTIF(R127,"Completed")+COUNTIF(W127,"Completed")+COUNTIF(AB127,"Completed")+COUNTIF(AG127,"Completed")+COUNTIF(AL127,"Completed")+COUNTIF(AQ127,"Completed"))</f>
        <v/>
      </c>
      <c r="J127" s="31" t="str">
        <f aca="false">IF($C127="","",7-(COUNTIF(M127,"NA")+COUNTIF(R127,"NA")+COUNTIF(W127,"NA")+COUNTIF(AB127,"NA")+COUNTIF(AG127,"NA")+COUNTIF(AL127,"NA")+COUNTIF(AQ127,"NA")))</f>
        <v/>
      </c>
      <c r="K127" s="34" t="str">
        <f aca="false">IFERROR(I127/J127,"")</f>
        <v/>
      </c>
      <c r="L127" s="29"/>
      <c r="M127" s="35"/>
      <c r="N127" s="36"/>
      <c r="O127" s="36"/>
      <c r="P127" s="30"/>
      <c r="Q127" s="29"/>
      <c r="R127" s="35"/>
      <c r="S127" s="36"/>
      <c r="T127" s="36"/>
      <c r="U127" s="30"/>
      <c r="V127" s="29"/>
      <c r="W127" s="35"/>
      <c r="X127" s="36"/>
      <c r="Y127" s="36"/>
      <c r="Z127" s="30"/>
      <c r="AA127" s="29"/>
      <c r="AB127" s="35"/>
      <c r="AC127" s="36"/>
      <c r="AD127" s="36"/>
      <c r="AE127" s="30"/>
      <c r="AF127" s="29"/>
      <c r="AG127" s="35"/>
      <c r="AH127" s="36"/>
      <c r="AI127" s="36"/>
      <c r="AJ127" s="30"/>
      <c r="AK127" s="29"/>
      <c r="AL127" s="35"/>
      <c r="AM127" s="36"/>
      <c r="AN127" s="36"/>
      <c r="AO127" s="30"/>
      <c r="AP127" s="29"/>
      <c r="AQ127" s="35"/>
      <c r="AR127" s="36"/>
      <c r="AS127" s="36"/>
      <c r="AT127" s="30"/>
      <c r="AU127" s="29"/>
      <c r="AV127" s="29"/>
      <c r="AW127" s="29"/>
      <c r="AX127" s="37"/>
      <c r="AY127" s="29"/>
      <c r="AZ127" s="38" t="str">
        <f aca="false">IF($C127="","",IF(OR(F127="Completed",F127="Cancelled"),"",IF(AND(OR(F127="On Hold",ISNUMBER(VALUE(LEFT(H127,2)))),AY127=""),"Reason not given","")))</f>
        <v/>
      </c>
      <c r="BA127" s="30"/>
    </row>
    <row r="128" customFormat="false" ht="19.5" hidden="false" customHeight="true" outlineLevel="0" collapsed="false">
      <c r="A128" s="28" t="str">
        <f aca="false">IF($C128="","",COUNTA($C$17:$C128))</f>
        <v/>
      </c>
      <c r="B128" s="29"/>
      <c r="C128" s="30"/>
      <c r="D128" s="29"/>
      <c r="E128" s="31" t="str">
        <f aca="false">IF($C128="","",IF(NOT(OR(M128="Completed",M128="NA",M128="Cancelled")),"S1 Schematic",IF(NOT(OR(R128="Completed",R128="NA",R128="Cancelled")),"S2 PCB Layout",IF(NOT(OR(W128="Completed",W128="NA",W128="Cancelled")),"S3 SI &amp; PI",IF(NOT(OR(AB128="Completed",AB128="NA",AB128="Cancelled")),"S4 Bare-PCB Fab",IF(NOT(OR(AG128="Completed",AG128="NA",AG128="Cancelled")),"S5 Assembly",IF(NOT(OR(AL128="Completed",AL128="NA",AL128="Cancelled")),"S6 Bring-up",IF(NOT(OR(AQ128="Completed",AQ128="NA",AQ128="Cancelled")),"S7 BOM Procurement","All Stages Closed"))))))))</f>
        <v/>
      </c>
      <c r="F128" s="32" t="str">
        <f aca="false">IF($C128="","",IF(COUNTIF(M128,"Cancelled")+COUNTIF(R128,"Cancelled")+COUNTIF(W128,"Cancelled")+COUNTIF(AB128,"Cancelled")+COUNTIF(AG128,"Cancelled")+COUNTIF(AL128,"Cancelled")+COUNTIF(AQ128,"Cancelled")&gt;0,"Cancelled",IF(E128="All Stages Closed","Completed",IF(E128="S1 Schematic",M128,IF(E128="S2 PCB Layout",R128,IF(E128="S3 SI &amp; PI",W128,IF(E128="S4 Bare-PCB Fab",AB128,IF(E128="S5 Assembly",AG128,IF(E128="S6 Bring-up",AL128,AQ128)))))))))</f>
        <v/>
      </c>
      <c r="G128" s="33" t="str">
        <f aca="false">IF($C128="","",IF(E128="All Stages Closed","",IF(E128="S1 Schematic",IF(N128="","Not added",N128),IF(E128="S2 PCB Layout",IF(S128="","Not added",S128),IF(E128="S3 SI &amp; PI",IF(X128="","Not added",X128),IF(E128="S4 Bare-PCB Fab",IF(AC128="","Not added",AC128),IF(E128="S5 Assembly",IF(AH128="","Not added",AH128),IF(E128="S6 Bring-up",IF(AM128="","Not added",AM128),IF(AR128="","Not added",AR128)))))))))</f>
        <v/>
      </c>
      <c r="H128" s="32" t="str">
        <f aca="true">IF($C128="","",IF(OR(F128="Completed",F128="Cancelled"),"",IF(NOT(ISNUMBER(G128)),"No date set",IF(TODAY()&gt;G128,TODAY()-G128&amp;" days late",G128-TODAY()&amp;" days left"))))</f>
        <v/>
      </c>
      <c r="I128" s="31" t="str">
        <f aca="false">IF($C128="","",COUNTIF(M128,"Completed")+COUNTIF(R128,"Completed")+COUNTIF(W128,"Completed")+COUNTIF(AB128,"Completed")+COUNTIF(AG128,"Completed")+COUNTIF(AL128,"Completed")+COUNTIF(AQ128,"Completed"))</f>
        <v/>
      </c>
      <c r="J128" s="31" t="str">
        <f aca="false">IF($C128="","",7-(COUNTIF(M128,"NA")+COUNTIF(R128,"NA")+COUNTIF(W128,"NA")+COUNTIF(AB128,"NA")+COUNTIF(AG128,"NA")+COUNTIF(AL128,"NA")+COUNTIF(AQ128,"NA")))</f>
        <v/>
      </c>
      <c r="K128" s="34" t="str">
        <f aca="false">IFERROR(I128/J128,"")</f>
        <v/>
      </c>
      <c r="L128" s="29"/>
      <c r="M128" s="35"/>
      <c r="N128" s="36"/>
      <c r="O128" s="36"/>
      <c r="P128" s="30"/>
      <c r="Q128" s="29"/>
      <c r="R128" s="35"/>
      <c r="S128" s="36"/>
      <c r="T128" s="36"/>
      <c r="U128" s="30"/>
      <c r="V128" s="29"/>
      <c r="W128" s="35"/>
      <c r="X128" s="36"/>
      <c r="Y128" s="36"/>
      <c r="Z128" s="30"/>
      <c r="AA128" s="29"/>
      <c r="AB128" s="35"/>
      <c r="AC128" s="36"/>
      <c r="AD128" s="36"/>
      <c r="AE128" s="30"/>
      <c r="AF128" s="29"/>
      <c r="AG128" s="35"/>
      <c r="AH128" s="36"/>
      <c r="AI128" s="36"/>
      <c r="AJ128" s="30"/>
      <c r="AK128" s="29"/>
      <c r="AL128" s="35"/>
      <c r="AM128" s="36"/>
      <c r="AN128" s="36"/>
      <c r="AO128" s="30"/>
      <c r="AP128" s="29"/>
      <c r="AQ128" s="35"/>
      <c r="AR128" s="36"/>
      <c r="AS128" s="36"/>
      <c r="AT128" s="30"/>
      <c r="AU128" s="29"/>
      <c r="AV128" s="29"/>
      <c r="AW128" s="29"/>
      <c r="AX128" s="37"/>
      <c r="AY128" s="29"/>
      <c r="AZ128" s="38" t="str">
        <f aca="false">IF($C128="","",IF(OR(F128="Completed",F128="Cancelled"),"",IF(AND(OR(F128="On Hold",ISNUMBER(VALUE(LEFT(H128,2)))),AY128=""),"Reason not given","")))</f>
        <v/>
      </c>
      <c r="BA128" s="30"/>
    </row>
    <row r="129" customFormat="false" ht="19.5" hidden="false" customHeight="true" outlineLevel="0" collapsed="false">
      <c r="A129" s="28" t="str">
        <f aca="false">IF($C129="","",COUNTA($C$17:$C129))</f>
        <v/>
      </c>
      <c r="B129" s="29"/>
      <c r="C129" s="30"/>
      <c r="D129" s="29"/>
      <c r="E129" s="31" t="str">
        <f aca="false">IF($C129="","",IF(NOT(OR(M129="Completed",M129="NA",M129="Cancelled")),"S1 Schematic",IF(NOT(OR(R129="Completed",R129="NA",R129="Cancelled")),"S2 PCB Layout",IF(NOT(OR(W129="Completed",W129="NA",W129="Cancelled")),"S3 SI &amp; PI",IF(NOT(OR(AB129="Completed",AB129="NA",AB129="Cancelled")),"S4 Bare-PCB Fab",IF(NOT(OR(AG129="Completed",AG129="NA",AG129="Cancelled")),"S5 Assembly",IF(NOT(OR(AL129="Completed",AL129="NA",AL129="Cancelled")),"S6 Bring-up",IF(NOT(OR(AQ129="Completed",AQ129="NA",AQ129="Cancelled")),"S7 BOM Procurement","All Stages Closed"))))))))</f>
        <v/>
      </c>
      <c r="F129" s="32" t="str">
        <f aca="false">IF($C129="","",IF(COUNTIF(M129,"Cancelled")+COUNTIF(R129,"Cancelled")+COUNTIF(W129,"Cancelled")+COUNTIF(AB129,"Cancelled")+COUNTIF(AG129,"Cancelled")+COUNTIF(AL129,"Cancelled")+COUNTIF(AQ129,"Cancelled")&gt;0,"Cancelled",IF(E129="All Stages Closed","Completed",IF(E129="S1 Schematic",M129,IF(E129="S2 PCB Layout",R129,IF(E129="S3 SI &amp; PI",W129,IF(E129="S4 Bare-PCB Fab",AB129,IF(E129="S5 Assembly",AG129,IF(E129="S6 Bring-up",AL129,AQ129)))))))))</f>
        <v/>
      </c>
      <c r="G129" s="33" t="str">
        <f aca="false">IF($C129="","",IF(E129="All Stages Closed","",IF(E129="S1 Schematic",IF(N129="","Not added",N129),IF(E129="S2 PCB Layout",IF(S129="","Not added",S129),IF(E129="S3 SI &amp; PI",IF(X129="","Not added",X129),IF(E129="S4 Bare-PCB Fab",IF(AC129="","Not added",AC129),IF(E129="S5 Assembly",IF(AH129="","Not added",AH129),IF(E129="S6 Bring-up",IF(AM129="","Not added",AM129),IF(AR129="","Not added",AR129)))))))))</f>
        <v/>
      </c>
      <c r="H129" s="32" t="str">
        <f aca="true">IF($C129="","",IF(OR(F129="Completed",F129="Cancelled"),"",IF(NOT(ISNUMBER(G129)),"No date set",IF(TODAY()&gt;G129,TODAY()-G129&amp;" days late",G129-TODAY()&amp;" days left"))))</f>
        <v/>
      </c>
      <c r="I129" s="31" t="str">
        <f aca="false">IF($C129="","",COUNTIF(M129,"Completed")+COUNTIF(R129,"Completed")+COUNTIF(W129,"Completed")+COUNTIF(AB129,"Completed")+COUNTIF(AG129,"Completed")+COUNTIF(AL129,"Completed")+COUNTIF(AQ129,"Completed"))</f>
        <v/>
      </c>
      <c r="J129" s="31" t="str">
        <f aca="false">IF($C129="","",7-(COUNTIF(M129,"NA")+COUNTIF(R129,"NA")+COUNTIF(W129,"NA")+COUNTIF(AB129,"NA")+COUNTIF(AG129,"NA")+COUNTIF(AL129,"NA")+COUNTIF(AQ129,"NA")))</f>
        <v/>
      </c>
      <c r="K129" s="34" t="str">
        <f aca="false">IFERROR(I129/J129,"")</f>
        <v/>
      </c>
      <c r="L129" s="29"/>
      <c r="M129" s="35"/>
      <c r="N129" s="36"/>
      <c r="O129" s="36"/>
      <c r="P129" s="30"/>
      <c r="Q129" s="29"/>
      <c r="R129" s="35"/>
      <c r="S129" s="36"/>
      <c r="T129" s="36"/>
      <c r="U129" s="30"/>
      <c r="V129" s="29"/>
      <c r="W129" s="35"/>
      <c r="X129" s="36"/>
      <c r="Y129" s="36"/>
      <c r="Z129" s="30"/>
      <c r="AA129" s="29"/>
      <c r="AB129" s="35"/>
      <c r="AC129" s="36"/>
      <c r="AD129" s="36"/>
      <c r="AE129" s="30"/>
      <c r="AF129" s="29"/>
      <c r="AG129" s="35"/>
      <c r="AH129" s="36"/>
      <c r="AI129" s="36"/>
      <c r="AJ129" s="30"/>
      <c r="AK129" s="29"/>
      <c r="AL129" s="35"/>
      <c r="AM129" s="36"/>
      <c r="AN129" s="36"/>
      <c r="AO129" s="30"/>
      <c r="AP129" s="29"/>
      <c r="AQ129" s="35"/>
      <c r="AR129" s="36"/>
      <c r="AS129" s="36"/>
      <c r="AT129" s="30"/>
      <c r="AU129" s="29"/>
      <c r="AV129" s="29"/>
      <c r="AW129" s="29"/>
      <c r="AX129" s="37"/>
      <c r="AY129" s="29"/>
      <c r="AZ129" s="38" t="str">
        <f aca="false">IF($C129="","",IF(OR(F129="Completed",F129="Cancelled"),"",IF(AND(OR(F129="On Hold",ISNUMBER(VALUE(LEFT(H129,2)))),AY129=""),"Reason not given","")))</f>
        <v/>
      </c>
      <c r="BA129" s="30"/>
    </row>
    <row r="130" customFormat="false" ht="19.5" hidden="false" customHeight="true" outlineLevel="0" collapsed="false">
      <c r="A130" s="28" t="str">
        <f aca="false">IF($C130="","",COUNTA($C$17:$C130))</f>
        <v/>
      </c>
      <c r="B130" s="29"/>
      <c r="C130" s="30"/>
      <c r="D130" s="29"/>
      <c r="E130" s="31" t="str">
        <f aca="false">IF($C130="","",IF(NOT(OR(M130="Completed",M130="NA",M130="Cancelled")),"S1 Schematic",IF(NOT(OR(R130="Completed",R130="NA",R130="Cancelled")),"S2 PCB Layout",IF(NOT(OR(W130="Completed",W130="NA",W130="Cancelled")),"S3 SI &amp; PI",IF(NOT(OR(AB130="Completed",AB130="NA",AB130="Cancelled")),"S4 Bare-PCB Fab",IF(NOT(OR(AG130="Completed",AG130="NA",AG130="Cancelled")),"S5 Assembly",IF(NOT(OR(AL130="Completed",AL130="NA",AL130="Cancelled")),"S6 Bring-up",IF(NOT(OR(AQ130="Completed",AQ130="NA",AQ130="Cancelled")),"S7 BOM Procurement","All Stages Closed"))))))))</f>
        <v/>
      </c>
      <c r="F130" s="32" t="str">
        <f aca="false">IF($C130="","",IF(COUNTIF(M130,"Cancelled")+COUNTIF(R130,"Cancelled")+COUNTIF(W130,"Cancelled")+COUNTIF(AB130,"Cancelled")+COUNTIF(AG130,"Cancelled")+COUNTIF(AL130,"Cancelled")+COUNTIF(AQ130,"Cancelled")&gt;0,"Cancelled",IF(E130="All Stages Closed","Completed",IF(E130="S1 Schematic",M130,IF(E130="S2 PCB Layout",R130,IF(E130="S3 SI &amp; PI",W130,IF(E130="S4 Bare-PCB Fab",AB130,IF(E130="S5 Assembly",AG130,IF(E130="S6 Bring-up",AL130,AQ130)))))))))</f>
        <v/>
      </c>
      <c r="G130" s="33" t="str">
        <f aca="false">IF($C130="","",IF(E130="All Stages Closed","",IF(E130="S1 Schematic",IF(N130="","Not added",N130),IF(E130="S2 PCB Layout",IF(S130="","Not added",S130),IF(E130="S3 SI &amp; PI",IF(X130="","Not added",X130),IF(E130="S4 Bare-PCB Fab",IF(AC130="","Not added",AC130),IF(E130="S5 Assembly",IF(AH130="","Not added",AH130),IF(E130="S6 Bring-up",IF(AM130="","Not added",AM130),IF(AR130="","Not added",AR130)))))))))</f>
        <v/>
      </c>
      <c r="H130" s="32" t="str">
        <f aca="true">IF($C130="","",IF(OR(F130="Completed",F130="Cancelled"),"",IF(NOT(ISNUMBER(G130)),"No date set",IF(TODAY()&gt;G130,TODAY()-G130&amp;" days late",G130-TODAY()&amp;" days left"))))</f>
        <v/>
      </c>
      <c r="I130" s="31" t="str">
        <f aca="false">IF($C130="","",COUNTIF(M130,"Completed")+COUNTIF(R130,"Completed")+COUNTIF(W130,"Completed")+COUNTIF(AB130,"Completed")+COUNTIF(AG130,"Completed")+COUNTIF(AL130,"Completed")+COUNTIF(AQ130,"Completed"))</f>
        <v/>
      </c>
      <c r="J130" s="31" t="str">
        <f aca="false">IF($C130="","",7-(COUNTIF(M130,"NA")+COUNTIF(R130,"NA")+COUNTIF(W130,"NA")+COUNTIF(AB130,"NA")+COUNTIF(AG130,"NA")+COUNTIF(AL130,"NA")+COUNTIF(AQ130,"NA")))</f>
        <v/>
      </c>
      <c r="K130" s="34" t="str">
        <f aca="false">IFERROR(I130/J130,"")</f>
        <v/>
      </c>
      <c r="L130" s="29"/>
      <c r="M130" s="35"/>
      <c r="N130" s="36"/>
      <c r="O130" s="36"/>
      <c r="P130" s="30"/>
      <c r="Q130" s="29"/>
      <c r="R130" s="35"/>
      <c r="S130" s="36"/>
      <c r="T130" s="36"/>
      <c r="U130" s="30"/>
      <c r="V130" s="29"/>
      <c r="W130" s="35"/>
      <c r="X130" s="36"/>
      <c r="Y130" s="36"/>
      <c r="Z130" s="30"/>
      <c r="AA130" s="29"/>
      <c r="AB130" s="35"/>
      <c r="AC130" s="36"/>
      <c r="AD130" s="36"/>
      <c r="AE130" s="30"/>
      <c r="AF130" s="29"/>
      <c r="AG130" s="35"/>
      <c r="AH130" s="36"/>
      <c r="AI130" s="36"/>
      <c r="AJ130" s="30"/>
      <c r="AK130" s="29"/>
      <c r="AL130" s="35"/>
      <c r="AM130" s="36"/>
      <c r="AN130" s="36"/>
      <c r="AO130" s="30"/>
      <c r="AP130" s="29"/>
      <c r="AQ130" s="35"/>
      <c r="AR130" s="36"/>
      <c r="AS130" s="36"/>
      <c r="AT130" s="30"/>
      <c r="AU130" s="29"/>
      <c r="AV130" s="29"/>
      <c r="AW130" s="29"/>
      <c r="AX130" s="37"/>
      <c r="AY130" s="29"/>
      <c r="AZ130" s="38" t="str">
        <f aca="false">IF($C130="","",IF(OR(F130="Completed",F130="Cancelled"),"",IF(AND(OR(F130="On Hold",ISNUMBER(VALUE(LEFT(H130,2)))),AY130=""),"Reason not given","")))</f>
        <v/>
      </c>
      <c r="BA130" s="30"/>
    </row>
    <row r="131" customFormat="false" ht="19.5" hidden="false" customHeight="true" outlineLevel="0" collapsed="false">
      <c r="A131" s="28" t="str">
        <f aca="false">IF($C131="","",COUNTA($C$17:$C131))</f>
        <v/>
      </c>
      <c r="B131" s="29"/>
      <c r="C131" s="30"/>
      <c r="D131" s="29"/>
      <c r="E131" s="31" t="str">
        <f aca="false">IF($C131="","",IF(NOT(OR(M131="Completed",M131="NA",M131="Cancelled")),"S1 Schematic",IF(NOT(OR(R131="Completed",R131="NA",R131="Cancelled")),"S2 PCB Layout",IF(NOT(OR(W131="Completed",W131="NA",W131="Cancelled")),"S3 SI &amp; PI",IF(NOT(OR(AB131="Completed",AB131="NA",AB131="Cancelled")),"S4 Bare-PCB Fab",IF(NOT(OR(AG131="Completed",AG131="NA",AG131="Cancelled")),"S5 Assembly",IF(NOT(OR(AL131="Completed",AL131="NA",AL131="Cancelled")),"S6 Bring-up",IF(NOT(OR(AQ131="Completed",AQ131="NA",AQ131="Cancelled")),"S7 BOM Procurement","All Stages Closed"))))))))</f>
        <v/>
      </c>
      <c r="F131" s="32" t="str">
        <f aca="false">IF($C131="","",IF(COUNTIF(M131,"Cancelled")+COUNTIF(R131,"Cancelled")+COUNTIF(W131,"Cancelled")+COUNTIF(AB131,"Cancelled")+COUNTIF(AG131,"Cancelled")+COUNTIF(AL131,"Cancelled")+COUNTIF(AQ131,"Cancelled")&gt;0,"Cancelled",IF(E131="All Stages Closed","Completed",IF(E131="S1 Schematic",M131,IF(E131="S2 PCB Layout",R131,IF(E131="S3 SI &amp; PI",W131,IF(E131="S4 Bare-PCB Fab",AB131,IF(E131="S5 Assembly",AG131,IF(E131="S6 Bring-up",AL131,AQ131)))))))))</f>
        <v/>
      </c>
      <c r="G131" s="33" t="str">
        <f aca="false">IF($C131="","",IF(E131="All Stages Closed","",IF(E131="S1 Schematic",IF(N131="","Not added",N131),IF(E131="S2 PCB Layout",IF(S131="","Not added",S131),IF(E131="S3 SI &amp; PI",IF(X131="","Not added",X131),IF(E131="S4 Bare-PCB Fab",IF(AC131="","Not added",AC131),IF(E131="S5 Assembly",IF(AH131="","Not added",AH131),IF(E131="S6 Bring-up",IF(AM131="","Not added",AM131),IF(AR131="","Not added",AR131)))))))))</f>
        <v/>
      </c>
      <c r="H131" s="32" t="str">
        <f aca="true">IF($C131="","",IF(OR(F131="Completed",F131="Cancelled"),"",IF(NOT(ISNUMBER(G131)),"No date set",IF(TODAY()&gt;G131,TODAY()-G131&amp;" days late",G131-TODAY()&amp;" days left"))))</f>
        <v/>
      </c>
      <c r="I131" s="31" t="str">
        <f aca="false">IF($C131="","",COUNTIF(M131,"Completed")+COUNTIF(R131,"Completed")+COUNTIF(W131,"Completed")+COUNTIF(AB131,"Completed")+COUNTIF(AG131,"Completed")+COUNTIF(AL131,"Completed")+COUNTIF(AQ131,"Completed"))</f>
        <v/>
      </c>
      <c r="J131" s="31" t="str">
        <f aca="false">IF($C131="","",7-(COUNTIF(M131,"NA")+COUNTIF(R131,"NA")+COUNTIF(W131,"NA")+COUNTIF(AB131,"NA")+COUNTIF(AG131,"NA")+COUNTIF(AL131,"NA")+COUNTIF(AQ131,"NA")))</f>
        <v/>
      </c>
      <c r="K131" s="34" t="str">
        <f aca="false">IFERROR(I131/J131,"")</f>
        <v/>
      </c>
      <c r="L131" s="29"/>
      <c r="M131" s="35"/>
      <c r="N131" s="36"/>
      <c r="O131" s="36"/>
      <c r="P131" s="30"/>
      <c r="Q131" s="29"/>
      <c r="R131" s="35"/>
      <c r="S131" s="36"/>
      <c r="T131" s="36"/>
      <c r="U131" s="30"/>
      <c r="V131" s="29"/>
      <c r="W131" s="35"/>
      <c r="X131" s="36"/>
      <c r="Y131" s="36"/>
      <c r="Z131" s="30"/>
      <c r="AA131" s="29"/>
      <c r="AB131" s="35"/>
      <c r="AC131" s="36"/>
      <c r="AD131" s="36"/>
      <c r="AE131" s="30"/>
      <c r="AF131" s="29"/>
      <c r="AG131" s="35"/>
      <c r="AH131" s="36"/>
      <c r="AI131" s="36"/>
      <c r="AJ131" s="30"/>
      <c r="AK131" s="29"/>
      <c r="AL131" s="35"/>
      <c r="AM131" s="36"/>
      <c r="AN131" s="36"/>
      <c r="AO131" s="30"/>
      <c r="AP131" s="29"/>
      <c r="AQ131" s="35"/>
      <c r="AR131" s="36"/>
      <c r="AS131" s="36"/>
      <c r="AT131" s="30"/>
      <c r="AU131" s="29"/>
      <c r="AV131" s="29"/>
      <c r="AW131" s="29"/>
      <c r="AX131" s="37"/>
      <c r="AY131" s="29"/>
      <c r="AZ131" s="38" t="str">
        <f aca="false">IF($C131="","",IF(OR(F131="Completed",F131="Cancelled"),"",IF(AND(OR(F131="On Hold",ISNUMBER(VALUE(LEFT(H131,2)))),AY131=""),"Reason not given","")))</f>
        <v/>
      </c>
      <c r="BA131" s="30"/>
    </row>
    <row r="132" customFormat="false" ht="19.5" hidden="false" customHeight="true" outlineLevel="0" collapsed="false">
      <c r="A132" s="28" t="str">
        <f aca="false">IF($C132="","",COUNTA($C$17:$C132))</f>
        <v/>
      </c>
      <c r="B132" s="29"/>
      <c r="C132" s="30"/>
      <c r="D132" s="29"/>
      <c r="E132" s="31" t="str">
        <f aca="false">IF($C132="","",IF(NOT(OR(M132="Completed",M132="NA",M132="Cancelled")),"S1 Schematic",IF(NOT(OR(R132="Completed",R132="NA",R132="Cancelled")),"S2 PCB Layout",IF(NOT(OR(W132="Completed",W132="NA",W132="Cancelled")),"S3 SI &amp; PI",IF(NOT(OR(AB132="Completed",AB132="NA",AB132="Cancelled")),"S4 Bare-PCB Fab",IF(NOT(OR(AG132="Completed",AG132="NA",AG132="Cancelled")),"S5 Assembly",IF(NOT(OR(AL132="Completed",AL132="NA",AL132="Cancelled")),"S6 Bring-up",IF(NOT(OR(AQ132="Completed",AQ132="NA",AQ132="Cancelled")),"S7 BOM Procurement","All Stages Closed"))))))))</f>
        <v/>
      </c>
      <c r="F132" s="32" t="str">
        <f aca="false">IF($C132="","",IF(COUNTIF(M132,"Cancelled")+COUNTIF(R132,"Cancelled")+COUNTIF(W132,"Cancelled")+COUNTIF(AB132,"Cancelled")+COUNTIF(AG132,"Cancelled")+COUNTIF(AL132,"Cancelled")+COUNTIF(AQ132,"Cancelled")&gt;0,"Cancelled",IF(E132="All Stages Closed","Completed",IF(E132="S1 Schematic",M132,IF(E132="S2 PCB Layout",R132,IF(E132="S3 SI &amp; PI",W132,IF(E132="S4 Bare-PCB Fab",AB132,IF(E132="S5 Assembly",AG132,IF(E132="S6 Bring-up",AL132,AQ132)))))))))</f>
        <v/>
      </c>
      <c r="G132" s="33" t="str">
        <f aca="false">IF($C132="","",IF(E132="All Stages Closed","",IF(E132="S1 Schematic",IF(N132="","Not added",N132),IF(E132="S2 PCB Layout",IF(S132="","Not added",S132),IF(E132="S3 SI &amp; PI",IF(X132="","Not added",X132),IF(E132="S4 Bare-PCB Fab",IF(AC132="","Not added",AC132),IF(E132="S5 Assembly",IF(AH132="","Not added",AH132),IF(E132="S6 Bring-up",IF(AM132="","Not added",AM132),IF(AR132="","Not added",AR132)))))))))</f>
        <v/>
      </c>
      <c r="H132" s="32" t="str">
        <f aca="true">IF($C132="","",IF(OR(F132="Completed",F132="Cancelled"),"",IF(NOT(ISNUMBER(G132)),"No date set",IF(TODAY()&gt;G132,TODAY()-G132&amp;" days late",G132-TODAY()&amp;" days left"))))</f>
        <v/>
      </c>
      <c r="I132" s="31" t="str">
        <f aca="false">IF($C132="","",COUNTIF(M132,"Completed")+COUNTIF(R132,"Completed")+COUNTIF(W132,"Completed")+COUNTIF(AB132,"Completed")+COUNTIF(AG132,"Completed")+COUNTIF(AL132,"Completed")+COUNTIF(AQ132,"Completed"))</f>
        <v/>
      </c>
      <c r="J132" s="31" t="str">
        <f aca="false">IF($C132="","",7-(COUNTIF(M132,"NA")+COUNTIF(R132,"NA")+COUNTIF(W132,"NA")+COUNTIF(AB132,"NA")+COUNTIF(AG132,"NA")+COUNTIF(AL132,"NA")+COUNTIF(AQ132,"NA")))</f>
        <v/>
      </c>
      <c r="K132" s="34" t="str">
        <f aca="false">IFERROR(I132/J132,"")</f>
        <v/>
      </c>
      <c r="L132" s="29"/>
      <c r="M132" s="35"/>
      <c r="N132" s="36"/>
      <c r="O132" s="36"/>
      <c r="P132" s="30"/>
      <c r="Q132" s="29"/>
      <c r="R132" s="35"/>
      <c r="S132" s="36"/>
      <c r="T132" s="36"/>
      <c r="U132" s="30"/>
      <c r="V132" s="29"/>
      <c r="W132" s="35"/>
      <c r="X132" s="36"/>
      <c r="Y132" s="36"/>
      <c r="Z132" s="30"/>
      <c r="AA132" s="29"/>
      <c r="AB132" s="35"/>
      <c r="AC132" s="36"/>
      <c r="AD132" s="36"/>
      <c r="AE132" s="30"/>
      <c r="AF132" s="29"/>
      <c r="AG132" s="35"/>
      <c r="AH132" s="36"/>
      <c r="AI132" s="36"/>
      <c r="AJ132" s="30"/>
      <c r="AK132" s="29"/>
      <c r="AL132" s="35"/>
      <c r="AM132" s="36"/>
      <c r="AN132" s="36"/>
      <c r="AO132" s="30"/>
      <c r="AP132" s="29"/>
      <c r="AQ132" s="35"/>
      <c r="AR132" s="36"/>
      <c r="AS132" s="36"/>
      <c r="AT132" s="30"/>
      <c r="AU132" s="29"/>
      <c r="AV132" s="29"/>
      <c r="AW132" s="29"/>
      <c r="AX132" s="37"/>
      <c r="AY132" s="29"/>
      <c r="AZ132" s="38" t="str">
        <f aca="false">IF($C132="","",IF(OR(F132="Completed",F132="Cancelled"),"",IF(AND(OR(F132="On Hold",ISNUMBER(VALUE(LEFT(H132,2)))),AY132=""),"Reason not given","")))</f>
        <v/>
      </c>
      <c r="BA132" s="30"/>
    </row>
    <row r="133" customFormat="false" ht="19.5" hidden="false" customHeight="true" outlineLevel="0" collapsed="false">
      <c r="A133" s="28" t="str">
        <f aca="false">IF($C133="","",COUNTA($C$17:$C133))</f>
        <v/>
      </c>
      <c r="B133" s="29"/>
      <c r="C133" s="30"/>
      <c r="D133" s="29"/>
      <c r="E133" s="31" t="str">
        <f aca="false">IF($C133="","",IF(NOT(OR(M133="Completed",M133="NA",M133="Cancelled")),"S1 Schematic",IF(NOT(OR(R133="Completed",R133="NA",R133="Cancelled")),"S2 PCB Layout",IF(NOT(OR(W133="Completed",W133="NA",W133="Cancelled")),"S3 SI &amp; PI",IF(NOT(OR(AB133="Completed",AB133="NA",AB133="Cancelled")),"S4 Bare-PCB Fab",IF(NOT(OR(AG133="Completed",AG133="NA",AG133="Cancelled")),"S5 Assembly",IF(NOT(OR(AL133="Completed",AL133="NA",AL133="Cancelled")),"S6 Bring-up",IF(NOT(OR(AQ133="Completed",AQ133="NA",AQ133="Cancelled")),"S7 BOM Procurement","All Stages Closed"))))))))</f>
        <v/>
      </c>
      <c r="F133" s="32" t="str">
        <f aca="false">IF($C133="","",IF(COUNTIF(M133,"Cancelled")+COUNTIF(R133,"Cancelled")+COUNTIF(W133,"Cancelled")+COUNTIF(AB133,"Cancelled")+COUNTIF(AG133,"Cancelled")+COUNTIF(AL133,"Cancelled")+COUNTIF(AQ133,"Cancelled")&gt;0,"Cancelled",IF(E133="All Stages Closed","Completed",IF(E133="S1 Schematic",M133,IF(E133="S2 PCB Layout",R133,IF(E133="S3 SI &amp; PI",W133,IF(E133="S4 Bare-PCB Fab",AB133,IF(E133="S5 Assembly",AG133,IF(E133="S6 Bring-up",AL133,AQ133)))))))))</f>
        <v/>
      </c>
      <c r="G133" s="33" t="str">
        <f aca="false">IF($C133="","",IF(E133="All Stages Closed","",IF(E133="S1 Schematic",IF(N133="","Not added",N133),IF(E133="S2 PCB Layout",IF(S133="","Not added",S133),IF(E133="S3 SI &amp; PI",IF(X133="","Not added",X133),IF(E133="S4 Bare-PCB Fab",IF(AC133="","Not added",AC133),IF(E133="S5 Assembly",IF(AH133="","Not added",AH133),IF(E133="S6 Bring-up",IF(AM133="","Not added",AM133),IF(AR133="","Not added",AR133)))))))))</f>
        <v/>
      </c>
      <c r="H133" s="32" t="str">
        <f aca="true">IF($C133="","",IF(OR(F133="Completed",F133="Cancelled"),"",IF(NOT(ISNUMBER(G133)),"No date set",IF(TODAY()&gt;G133,TODAY()-G133&amp;" days late",G133-TODAY()&amp;" days left"))))</f>
        <v/>
      </c>
      <c r="I133" s="31" t="str">
        <f aca="false">IF($C133="","",COUNTIF(M133,"Completed")+COUNTIF(R133,"Completed")+COUNTIF(W133,"Completed")+COUNTIF(AB133,"Completed")+COUNTIF(AG133,"Completed")+COUNTIF(AL133,"Completed")+COUNTIF(AQ133,"Completed"))</f>
        <v/>
      </c>
      <c r="J133" s="31" t="str">
        <f aca="false">IF($C133="","",7-(COUNTIF(M133,"NA")+COUNTIF(R133,"NA")+COUNTIF(W133,"NA")+COUNTIF(AB133,"NA")+COUNTIF(AG133,"NA")+COUNTIF(AL133,"NA")+COUNTIF(AQ133,"NA")))</f>
        <v/>
      </c>
      <c r="K133" s="34" t="str">
        <f aca="false">IFERROR(I133/J133,"")</f>
        <v/>
      </c>
      <c r="L133" s="29"/>
      <c r="M133" s="35"/>
      <c r="N133" s="36"/>
      <c r="O133" s="36"/>
      <c r="P133" s="30"/>
      <c r="Q133" s="29"/>
      <c r="R133" s="35"/>
      <c r="S133" s="36"/>
      <c r="T133" s="36"/>
      <c r="U133" s="30"/>
      <c r="V133" s="29"/>
      <c r="W133" s="35"/>
      <c r="X133" s="36"/>
      <c r="Y133" s="36"/>
      <c r="Z133" s="30"/>
      <c r="AA133" s="29"/>
      <c r="AB133" s="35"/>
      <c r="AC133" s="36"/>
      <c r="AD133" s="36"/>
      <c r="AE133" s="30"/>
      <c r="AF133" s="29"/>
      <c r="AG133" s="35"/>
      <c r="AH133" s="36"/>
      <c r="AI133" s="36"/>
      <c r="AJ133" s="30"/>
      <c r="AK133" s="29"/>
      <c r="AL133" s="35"/>
      <c r="AM133" s="36"/>
      <c r="AN133" s="36"/>
      <c r="AO133" s="30"/>
      <c r="AP133" s="29"/>
      <c r="AQ133" s="35"/>
      <c r="AR133" s="36"/>
      <c r="AS133" s="36"/>
      <c r="AT133" s="30"/>
      <c r="AU133" s="29"/>
      <c r="AV133" s="29"/>
      <c r="AW133" s="29"/>
      <c r="AX133" s="37"/>
      <c r="AY133" s="29"/>
      <c r="AZ133" s="38" t="str">
        <f aca="false">IF($C133="","",IF(OR(F133="Completed",F133="Cancelled"),"",IF(AND(OR(F133="On Hold",ISNUMBER(VALUE(LEFT(H133,2)))),AY133=""),"Reason not given","")))</f>
        <v/>
      </c>
      <c r="BA133" s="30"/>
    </row>
    <row r="134" customFormat="false" ht="19.5" hidden="false" customHeight="true" outlineLevel="0" collapsed="false">
      <c r="A134" s="28" t="str">
        <f aca="false">IF($C134="","",COUNTA($C$17:$C134))</f>
        <v/>
      </c>
      <c r="B134" s="29"/>
      <c r="C134" s="30"/>
      <c r="D134" s="29"/>
      <c r="E134" s="31" t="str">
        <f aca="false">IF($C134="","",IF(NOT(OR(M134="Completed",M134="NA",M134="Cancelled")),"S1 Schematic",IF(NOT(OR(R134="Completed",R134="NA",R134="Cancelled")),"S2 PCB Layout",IF(NOT(OR(W134="Completed",W134="NA",W134="Cancelled")),"S3 SI &amp; PI",IF(NOT(OR(AB134="Completed",AB134="NA",AB134="Cancelled")),"S4 Bare-PCB Fab",IF(NOT(OR(AG134="Completed",AG134="NA",AG134="Cancelled")),"S5 Assembly",IF(NOT(OR(AL134="Completed",AL134="NA",AL134="Cancelled")),"S6 Bring-up",IF(NOT(OR(AQ134="Completed",AQ134="NA",AQ134="Cancelled")),"S7 BOM Procurement","All Stages Closed"))))))))</f>
        <v/>
      </c>
      <c r="F134" s="32" t="str">
        <f aca="false">IF($C134="","",IF(COUNTIF(M134,"Cancelled")+COUNTIF(R134,"Cancelled")+COUNTIF(W134,"Cancelled")+COUNTIF(AB134,"Cancelled")+COUNTIF(AG134,"Cancelled")+COUNTIF(AL134,"Cancelled")+COUNTIF(AQ134,"Cancelled")&gt;0,"Cancelled",IF(E134="All Stages Closed","Completed",IF(E134="S1 Schematic",M134,IF(E134="S2 PCB Layout",R134,IF(E134="S3 SI &amp; PI",W134,IF(E134="S4 Bare-PCB Fab",AB134,IF(E134="S5 Assembly",AG134,IF(E134="S6 Bring-up",AL134,AQ134)))))))))</f>
        <v/>
      </c>
      <c r="G134" s="33" t="str">
        <f aca="false">IF($C134="","",IF(E134="All Stages Closed","",IF(E134="S1 Schematic",IF(N134="","Not added",N134),IF(E134="S2 PCB Layout",IF(S134="","Not added",S134),IF(E134="S3 SI &amp; PI",IF(X134="","Not added",X134),IF(E134="S4 Bare-PCB Fab",IF(AC134="","Not added",AC134),IF(E134="S5 Assembly",IF(AH134="","Not added",AH134),IF(E134="S6 Bring-up",IF(AM134="","Not added",AM134),IF(AR134="","Not added",AR134)))))))))</f>
        <v/>
      </c>
      <c r="H134" s="32" t="str">
        <f aca="true">IF($C134="","",IF(OR(F134="Completed",F134="Cancelled"),"",IF(NOT(ISNUMBER(G134)),"No date set",IF(TODAY()&gt;G134,TODAY()-G134&amp;" days late",G134-TODAY()&amp;" days left"))))</f>
        <v/>
      </c>
      <c r="I134" s="31" t="str">
        <f aca="false">IF($C134="","",COUNTIF(M134,"Completed")+COUNTIF(R134,"Completed")+COUNTIF(W134,"Completed")+COUNTIF(AB134,"Completed")+COUNTIF(AG134,"Completed")+COUNTIF(AL134,"Completed")+COUNTIF(AQ134,"Completed"))</f>
        <v/>
      </c>
      <c r="J134" s="31" t="str">
        <f aca="false">IF($C134="","",7-(COUNTIF(M134,"NA")+COUNTIF(R134,"NA")+COUNTIF(W134,"NA")+COUNTIF(AB134,"NA")+COUNTIF(AG134,"NA")+COUNTIF(AL134,"NA")+COUNTIF(AQ134,"NA")))</f>
        <v/>
      </c>
      <c r="K134" s="34" t="str">
        <f aca="false">IFERROR(I134/J134,"")</f>
        <v/>
      </c>
      <c r="L134" s="29"/>
      <c r="M134" s="35"/>
      <c r="N134" s="36"/>
      <c r="O134" s="36"/>
      <c r="P134" s="30"/>
      <c r="Q134" s="29"/>
      <c r="R134" s="35"/>
      <c r="S134" s="36"/>
      <c r="T134" s="36"/>
      <c r="U134" s="30"/>
      <c r="V134" s="29"/>
      <c r="W134" s="35"/>
      <c r="X134" s="36"/>
      <c r="Y134" s="36"/>
      <c r="Z134" s="30"/>
      <c r="AA134" s="29"/>
      <c r="AB134" s="35"/>
      <c r="AC134" s="36"/>
      <c r="AD134" s="36"/>
      <c r="AE134" s="30"/>
      <c r="AF134" s="29"/>
      <c r="AG134" s="35"/>
      <c r="AH134" s="36"/>
      <c r="AI134" s="36"/>
      <c r="AJ134" s="30"/>
      <c r="AK134" s="29"/>
      <c r="AL134" s="35"/>
      <c r="AM134" s="36"/>
      <c r="AN134" s="36"/>
      <c r="AO134" s="30"/>
      <c r="AP134" s="29"/>
      <c r="AQ134" s="35"/>
      <c r="AR134" s="36"/>
      <c r="AS134" s="36"/>
      <c r="AT134" s="30"/>
      <c r="AU134" s="29"/>
      <c r="AV134" s="29"/>
      <c r="AW134" s="29"/>
      <c r="AX134" s="37"/>
      <c r="AY134" s="29"/>
      <c r="AZ134" s="38" t="str">
        <f aca="false">IF($C134="","",IF(OR(F134="Completed",F134="Cancelled"),"",IF(AND(OR(F134="On Hold",ISNUMBER(VALUE(LEFT(H134,2)))),AY134=""),"Reason not given","")))</f>
        <v/>
      </c>
      <c r="BA134" s="30"/>
    </row>
    <row r="135" customFormat="false" ht="19.5" hidden="false" customHeight="true" outlineLevel="0" collapsed="false">
      <c r="A135" s="28" t="str">
        <f aca="false">IF($C135="","",COUNTA($C$17:$C135))</f>
        <v/>
      </c>
      <c r="B135" s="29"/>
      <c r="C135" s="30"/>
      <c r="D135" s="29"/>
      <c r="E135" s="31" t="str">
        <f aca="false">IF($C135="","",IF(NOT(OR(M135="Completed",M135="NA",M135="Cancelled")),"S1 Schematic",IF(NOT(OR(R135="Completed",R135="NA",R135="Cancelled")),"S2 PCB Layout",IF(NOT(OR(W135="Completed",W135="NA",W135="Cancelled")),"S3 SI &amp; PI",IF(NOT(OR(AB135="Completed",AB135="NA",AB135="Cancelled")),"S4 Bare-PCB Fab",IF(NOT(OR(AG135="Completed",AG135="NA",AG135="Cancelled")),"S5 Assembly",IF(NOT(OR(AL135="Completed",AL135="NA",AL135="Cancelled")),"S6 Bring-up",IF(NOT(OR(AQ135="Completed",AQ135="NA",AQ135="Cancelled")),"S7 BOM Procurement","All Stages Closed"))))))))</f>
        <v/>
      </c>
      <c r="F135" s="32" t="str">
        <f aca="false">IF($C135="","",IF(COUNTIF(M135,"Cancelled")+COUNTIF(R135,"Cancelled")+COUNTIF(W135,"Cancelled")+COUNTIF(AB135,"Cancelled")+COUNTIF(AG135,"Cancelled")+COUNTIF(AL135,"Cancelled")+COUNTIF(AQ135,"Cancelled")&gt;0,"Cancelled",IF(E135="All Stages Closed","Completed",IF(E135="S1 Schematic",M135,IF(E135="S2 PCB Layout",R135,IF(E135="S3 SI &amp; PI",W135,IF(E135="S4 Bare-PCB Fab",AB135,IF(E135="S5 Assembly",AG135,IF(E135="S6 Bring-up",AL135,AQ135)))))))))</f>
        <v/>
      </c>
      <c r="G135" s="33" t="str">
        <f aca="false">IF($C135="","",IF(E135="All Stages Closed","",IF(E135="S1 Schematic",IF(N135="","Not added",N135),IF(E135="S2 PCB Layout",IF(S135="","Not added",S135),IF(E135="S3 SI &amp; PI",IF(X135="","Not added",X135),IF(E135="S4 Bare-PCB Fab",IF(AC135="","Not added",AC135),IF(E135="S5 Assembly",IF(AH135="","Not added",AH135),IF(E135="S6 Bring-up",IF(AM135="","Not added",AM135),IF(AR135="","Not added",AR135)))))))))</f>
        <v/>
      </c>
      <c r="H135" s="32" t="str">
        <f aca="true">IF($C135="","",IF(OR(F135="Completed",F135="Cancelled"),"",IF(NOT(ISNUMBER(G135)),"No date set",IF(TODAY()&gt;G135,TODAY()-G135&amp;" days late",G135-TODAY()&amp;" days left"))))</f>
        <v/>
      </c>
      <c r="I135" s="31" t="str">
        <f aca="false">IF($C135="","",COUNTIF(M135,"Completed")+COUNTIF(R135,"Completed")+COUNTIF(W135,"Completed")+COUNTIF(AB135,"Completed")+COUNTIF(AG135,"Completed")+COUNTIF(AL135,"Completed")+COUNTIF(AQ135,"Completed"))</f>
        <v/>
      </c>
      <c r="J135" s="31" t="str">
        <f aca="false">IF($C135="","",7-(COUNTIF(M135,"NA")+COUNTIF(R135,"NA")+COUNTIF(W135,"NA")+COUNTIF(AB135,"NA")+COUNTIF(AG135,"NA")+COUNTIF(AL135,"NA")+COUNTIF(AQ135,"NA")))</f>
        <v/>
      </c>
      <c r="K135" s="34" t="str">
        <f aca="false">IFERROR(I135/J135,"")</f>
        <v/>
      </c>
      <c r="L135" s="29"/>
      <c r="M135" s="35"/>
      <c r="N135" s="36"/>
      <c r="O135" s="36"/>
      <c r="P135" s="30"/>
      <c r="Q135" s="29"/>
      <c r="R135" s="35"/>
      <c r="S135" s="36"/>
      <c r="T135" s="36"/>
      <c r="U135" s="30"/>
      <c r="V135" s="29"/>
      <c r="W135" s="35"/>
      <c r="X135" s="36"/>
      <c r="Y135" s="36"/>
      <c r="Z135" s="30"/>
      <c r="AA135" s="29"/>
      <c r="AB135" s="35"/>
      <c r="AC135" s="36"/>
      <c r="AD135" s="36"/>
      <c r="AE135" s="30"/>
      <c r="AF135" s="29"/>
      <c r="AG135" s="35"/>
      <c r="AH135" s="36"/>
      <c r="AI135" s="36"/>
      <c r="AJ135" s="30"/>
      <c r="AK135" s="29"/>
      <c r="AL135" s="35"/>
      <c r="AM135" s="36"/>
      <c r="AN135" s="36"/>
      <c r="AO135" s="30"/>
      <c r="AP135" s="29"/>
      <c r="AQ135" s="35"/>
      <c r="AR135" s="36"/>
      <c r="AS135" s="36"/>
      <c r="AT135" s="30"/>
      <c r="AU135" s="29"/>
      <c r="AV135" s="29"/>
      <c r="AW135" s="29"/>
      <c r="AX135" s="37"/>
      <c r="AY135" s="29"/>
      <c r="AZ135" s="38" t="str">
        <f aca="false">IF($C135="","",IF(OR(F135="Completed",F135="Cancelled"),"",IF(AND(OR(F135="On Hold",ISNUMBER(VALUE(LEFT(H135,2)))),AY135=""),"Reason not given","")))</f>
        <v/>
      </c>
      <c r="BA135" s="30"/>
    </row>
    <row r="136" customFormat="false" ht="19.5" hidden="false" customHeight="true" outlineLevel="0" collapsed="false">
      <c r="A136" s="28" t="str">
        <f aca="false">IF($C136="","",COUNTA($C$17:$C136))</f>
        <v/>
      </c>
      <c r="B136" s="29"/>
      <c r="C136" s="30"/>
      <c r="D136" s="29"/>
      <c r="E136" s="31" t="str">
        <f aca="false">IF($C136="","",IF(NOT(OR(M136="Completed",M136="NA",M136="Cancelled")),"S1 Schematic",IF(NOT(OR(R136="Completed",R136="NA",R136="Cancelled")),"S2 PCB Layout",IF(NOT(OR(W136="Completed",W136="NA",W136="Cancelled")),"S3 SI &amp; PI",IF(NOT(OR(AB136="Completed",AB136="NA",AB136="Cancelled")),"S4 Bare-PCB Fab",IF(NOT(OR(AG136="Completed",AG136="NA",AG136="Cancelled")),"S5 Assembly",IF(NOT(OR(AL136="Completed",AL136="NA",AL136="Cancelled")),"S6 Bring-up",IF(NOT(OR(AQ136="Completed",AQ136="NA",AQ136="Cancelled")),"S7 BOM Procurement","All Stages Closed"))))))))</f>
        <v/>
      </c>
      <c r="F136" s="32" t="str">
        <f aca="false">IF($C136="","",IF(COUNTIF(M136,"Cancelled")+COUNTIF(R136,"Cancelled")+COUNTIF(W136,"Cancelled")+COUNTIF(AB136,"Cancelled")+COUNTIF(AG136,"Cancelled")+COUNTIF(AL136,"Cancelled")+COUNTIF(AQ136,"Cancelled")&gt;0,"Cancelled",IF(E136="All Stages Closed","Completed",IF(E136="S1 Schematic",M136,IF(E136="S2 PCB Layout",R136,IF(E136="S3 SI &amp; PI",W136,IF(E136="S4 Bare-PCB Fab",AB136,IF(E136="S5 Assembly",AG136,IF(E136="S6 Bring-up",AL136,AQ136)))))))))</f>
        <v/>
      </c>
      <c r="G136" s="33" t="str">
        <f aca="false">IF($C136="","",IF(E136="All Stages Closed","",IF(E136="S1 Schematic",IF(N136="","Not added",N136),IF(E136="S2 PCB Layout",IF(S136="","Not added",S136),IF(E136="S3 SI &amp; PI",IF(X136="","Not added",X136),IF(E136="S4 Bare-PCB Fab",IF(AC136="","Not added",AC136),IF(E136="S5 Assembly",IF(AH136="","Not added",AH136),IF(E136="S6 Bring-up",IF(AM136="","Not added",AM136),IF(AR136="","Not added",AR136)))))))))</f>
        <v/>
      </c>
      <c r="H136" s="32" t="str">
        <f aca="true">IF($C136="","",IF(OR(F136="Completed",F136="Cancelled"),"",IF(NOT(ISNUMBER(G136)),"No date set",IF(TODAY()&gt;G136,TODAY()-G136&amp;" days late",G136-TODAY()&amp;" days left"))))</f>
        <v/>
      </c>
      <c r="I136" s="31" t="str">
        <f aca="false">IF($C136="","",COUNTIF(M136,"Completed")+COUNTIF(R136,"Completed")+COUNTIF(W136,"Completed")+COUNTIF(AB136,"Completed")+COUNTIF(AG136,"Completed")+COUNTIF(AL136,"Completed")+COUNTIF(AQ136,"Completed"))</f>
        <v/>
      </c>
      <c r="J136" s="31" t="str">
        <f aca="false">IF($C136="","",7-(COUNTIF(M136,"NA")+COUNTIF(R136,"NA")+COUNTIF(W136,"NA")+COUNTIF(AB136,"NA")+COUNTIF(AG136,"NA")+COUNTIF(AL136,"NA")+COUNTIF(AQ136,"NA")))</f>
        <v/>
      </c>
      <c r="K136" s="34" t="str">
        <f aca="false">IFERROR(I136/J136,"")</f>
        <v/>
      </c>
      <c r="L136" s="29"/>
      <c r="M136" s="35"/>
      <c r="N136" s="36"/>
      <c r="O136" s="36"/>
      <c r="P136" s="30"/>
      <c r="Q136" s="29"/>
      <c r="R136" s="35"/>
      <c r="S136" s="36"/>
      <c r="T136" s="36"/>
      <c r="U136" s="30"/>
      <c r="V136" s="29"/>
      <c r="W136" s="35"/>
      <c r="X136" s="36"/>
      <c r="Y136" s="36"/>
      <c r="Z136" s="30"/>
      <c r="AA136" s="29"/>
      <c r="AB136" s="35"/>
      <c r="AC136" s="36"/>
      <c r="AD136" s="36"/>
      <c r="AE136" s="30"/>
      <c r="AF136" s="29"/>
      <c r="AG136" s="35"/>
      <c r="AH136" s="36"/>
      <c r="AI136" s="36"/>
      <c r="AJ136" s="30"/>
      <c r="AK136" s="29"/>
      <c r="AL136" s="35"/>
      <c r="AM136" s="36"/>
      <c r="AN136" s="36"/>
      <c r="AO136" s="30"/>
      <c r="AP136" s="29"/>
      <c r="AQ136" s="35"/>
      <c r="AR136" s="36"/>
      <c r="AS136" s="36"/>
      <c r="AT136" s="30"/>
      <c r="AU136" s="29"/>
      <c r="AV136" s="29"/>
      <c r="AW136" s="29"/>
      <c r="AX136" s="37"/>
      <c r="AY136" s="29"/>
      <c r="AZ136" s="38" t="str">
        <f aca="false">IF($C136="","",IF(OR(F136="Completed",F136="Cancelled"),"",IF(AND(OR(F136="On Hold",ISNUMBER(VALUE(LEFT(H136,2)))),AY136=""),"Reason not given","")))</f>
        <v/>
      </c>
      <c r="BA136" s="30"/>
    </row>
    <row r="137" customFormat="false" ht="19.5" hidden="false" customHeight="true" outlineLevel="0" collapsed="false">
      <c r="A137" s="28" t="str">
        <f aca="false">IF($C137="","",COUNTA($C$17:$C137))</f>
        <v/>
      </c>
      <c r="B137" s="29"/>
      <c r="C137" s="30"/>
      <c r="D137" s="29"/>
      <c r="E137" s="31" t="str">
        <f aca="false">IF($C137="","",IF(NOT(OR(M137="Completed",M137="NA",M137="Cancelled")),"S1 Schematic",IF(NOT(OR(R137="Completed",R137="NA",R137="Cancelled")),"S2 PCB Layout",IF(NOT(OR(W137="Completed",W137="NA",W137="Cancelled")),"S3 SI &amp; PI",IF(NOT(OR(AB137="Completed",AB137="NA",AB137="Cancelled")),"S4 Bare-PCB Fab",IF(NOT(OR(AG137="Completed",AG137="NA",AG137="Cancelled")),"S5 Assembly",IF(NOT(OR(AL137="Completed",AL137="NA",AL137="Cancelled")),"S6 Bring-up",IF(NOT(OR(AQ137="Completed",AQ137="NA",AQ137="Cancelled")),"S7 BOM Procurement","All Stages Closed"))))))))</f>
        <v/>
      </c>
      <c r="F137" s="32" t="str">
        <f aca="false">IF($C137="","",IF(COUNTIF(M137,"Cancelled")+COUNTIF(R137,"Cancelled")+COUNTIF(W137,"Cancelled")+COUNTIF(AB137,"Cancelled")+COUNTIF(AG137,"Cancelled")+COUNTIF(AL137,"Cancelled")+COUNTIF(AQ137,"Cancelled")&gt;0,"Cancelled",IF(E137="All Stages Closed","Completed",IF(E137="S1 Schematic",M137,IF(E137="S2 PCB Layout",R137,IF(E137="S3 SI &amp; PI",W137,IF(E137="S4 Bare-PCB Fab",AB137,IF(E137="S5 Assembly",AG137,IF(E137="S6 Bring-up",AL137,AQ137)))))))))</f>
        <v/>
      </c>
      <c r="G137" s="33" t="str">
        <f aca="false">IF($C137="","",IF(E137="All Stages Closed","",IF(E137="S1 Schematic",IF(N137="","Not added",N137),IF(E137="S2 PCB Layout",IF(S137="","Not added",S137),IF(E137="S3 SI &amp; PI",IF(X137="","Not added",X137),IF(E137="S4 Bare-PCB Fab",IF(AC137="","Not added",AC137),IF(E137="S5 Assembly",IF(AH137="","Not added",AH137),IF(E137="S6 Bring-up",IF(AM137="","Not added",AM137),IF(AR137="","Not added",AR137)))))))))</f>
        <v/>
      </c>
      <c r="H137" s="32" t="str">
        <f aca="true">IF($C137="","",IF(OR(F137="Completed",F137="Cancelled"),"",IF(NOT(ISNUMBER(G137)),"No date set",IF(TODAY()&gt;G137,TODAY()-G137&amp;" days late",G137-TODAY()&amp;" days left"))))</f>
        <v/>
      </c>
      <c r="I137" s="31" t="str">
        <f aca="false">IF($C137="","",COUNTIF(M137,"Completed")+COUNTIF(R137,"Completed")+COUNTIF(W137,"Completed")+COUNTIF(AB137,"Completed")+COUNTIF(AG137,"Completed")+COUNTIF(AL137,"Completed")+COUNTIF(AQ137,"Completed"))</f>
        <v/>
      </c>
      <c r="J137" s="31" t="str">
        <f aca="false">IF($C137="","",7-(COUNTIF(M137,"NA")+COUNTIF(R137,"NA")+COUNTIF(W137,"NA")+COUNTIF(AB137,"NA")+COUNTIF(AG137,"NA")+COUNTIF(AL137,"NA")+COUNTIF(AQ137,"NA")))</f>
        <v/>
      </c>
      <c r="K137" s="34" t="str">
        <f aca="false">IFERROR(I137/J137,"")</f>
        <v/>
      </c>
      <c r="L137" s="29"/>
      <c r="M137" s="35"/>
      <c r="N137" s="36"/>
      <c r="O137" s="36"/>
      <c r="P137" s="30"/>
      <c r="Q137" s="29"/>
      <c r="R137" s="35"/>
      <c r="S137" s="36"/>
      <c r="T137" s="36"/>
      <c r="U137" s="30"/>
      <c r="V137" s="29"/>
      <c r="W137" s="35"/>
      <c r="X137" s="36"/>
      <c r="Y137" s="36"/>
      <c r="Z137" s="30"/>
      <c r="AA137" s="29"/>
      <c r="AB137" s="35"/>
      <c r="AC137" s="36"/>
      <c r="AD137" s="36"/>
      <c r="AE137" s="30"/>
      <c r="AF137" s="29"/>
      <c r="AG137" s="35"/>
      <c r="AH137" s="36"/>
      <c r="AI137" s="36"/>
      <c r="AJ137" s="30"/>
      <c r="AK137" s="29"/>
      <c r="AL137" s="35"/>
      <c r="AM137" s="36"/>
      <c r="AN137" s="36"/>
      <c r="AO137" s="30"/>
      <c r="AP137" s="29"/>
      <c r="AQ137" s="35"/>
      <c r="AR137" s="36"/>
      <c r="AS137" s="36"/>
      <c r="AT137" s="30"/>
      <c r="AU137" s="29"/>
      <c r="AV137" s="29"/>
      <c r="AW137" s="29"/>
      <c r="AX137" s="37"/>
      <c r="AY137" s="29"/>
      <c r="AZ137" s="38" t="str">
        <f aca="false">IF($C137="","",IF(OR(F137="Completed",F137="Cancelled"),"",IF(AND(OR(F137="On Hold",ISNUMBER(VALUE(LEFT(H137,2)))),AY137=""),"Reason not given","")))</f>
        <v/>
      </c>
      <c r="BA137" s="30"/>
    </row>
    <row r="138" customFormat="false" ht="19.5" hidden="false" customHeight="true" outlineLevel="0" collapsed="false">
      <c r="A138" s="28" t="str">
        <f aca="false">IF($C138="","",COUNTA($C$17:$C138))</f>
        <v/>
      </c>
      <c r="B138" s="29"/>
      <c r="C138" s="30"/>
      <c r="D138" s="29"/>
      <c r="E138" s="31" t="str">
        <f aca="false">IF($C138="","",IF(NOT(OR(M138="Completed",M138="NA",M138="Cancelled")),"S1 Schematic",IF(NOT(OR(R138="Completed",R138="NA",R138="Cancelled")),"S2 PCB Layout",IF(NOT(OR(W138="Completed",W138="NA",W138="Cancelled")),"S3 SI &amp; PI",IF(NOT(OR(AB138="Completed",AB138="NA",AB138="Cancelled")),"S4 Bare-PCB Fab",IF(NOT(OR(AG138="Completed",AG138="NA",AG138="Cancelled")),"S5 Assembly",IF(NOT(OR(AL138="Completed",AL138="NA",AL138="Cancelled")),"S6 Bring-up",IF(NOT(OR(AQ138="Completed",AQ138="NA",AQ138="Cancelled")),"S7 BOM Procurement","All Stages Closed"))))))))</f>
        <v/>
      </c>
      <c r="F138" s="32" t="str">
        <f aca="false">IF($C138="","",IF(COUNTIF(M138,"Cancelled")+COUNTIF(R138,"Cancelled")+COUNTIF(W138,"Cancelled")+COUNTIF(AB138,"Cancelled")+COUNTIF(AG138,"Cancelled")+COUNTIF(AL138,"Cancelled")+COUNTIF(AQ138,"Cancelled")&gt;0,"Cancelled",IF(E138="All Stages Closed","Completed",IF(E138="S1 Schematic",M138,IF(E138="S2 PCB Layout",R138,IF(E138="S3 SI &amp; PI",W138,IF(E138="S4 Bare-PCB Fab",AB138,IF(E138="S5 Assembly",AG138,IF(E138="S6 Bring-up",AL138,AQ138)))))))))</f>
        <v/>
      </c>
      <c r="G138" s="33" t="str">
        <f aca="false">IF($C138="","",IF(E138="All Stages Closed","",IF(E138="S1 Schematic",IF(N138="","Not added",N138),IF(E138="S2 PCB Layout",IF(S138="","Not added",S138),IF(E138="S3 SI &amp; PI",IF(X138="","Not added",X138),IF(E138="S4 Bare-PCB Fab",IF(AC138="","Not added",AC138),IF(E138="S5 Assembly",IF(AH138="","Not added",AH138),IF(E138="S6 Bring-up",IF(AM138="","Not added",AM138),IF(AR138="","Not added",AR138)))))))))</f>
        <v/>
      </c>
      <c r="H138" s="32" t="str">
        <f aca="true">IF($C138="","",IF(OR(F138="Completed",F138="Cancelled"),"",IF(NOT(ISNUMBER(G138)),"No date set",IF(TODAY()&gt;G138,TODAY()-G138&amp;" days late",G138-TODAY()&amp;" days left"))))</f>
        <v/>
      </c>
      <c r="I138" s="31" t="str">
        <f aca="false">IF($C138="","",COUNTIF(M138,"Completed")+COUNTIF(R138,"Completed")+COUNTIF(W138,"Completed")+COUNTIF(AB138,"Completed")+COUNTIF(AG138,"Completed")+COUNTIF(AL138,"Completed")+COUNTIF(AQ138,"Completed"))</f>
        <v/>
      </c>
      <c r="J138" s="31" t="str">
        <f aca="false">IF($C138="","",7-(COUNTIF(M138,"NA")+COUNTIF(R138,"NA")+COUNTIF(W138,"NA")+COUNTIF(AB138,"NA")+COUNTIF(AG138,"NA")+COUNTIF(AL138,"NA")+COUNTIF(AQ138,"NA")))</f>
        <v/>
      </c>
      <c r="K138" s="34" t="str">
        <f aca="false">IFERROR(I138/J138,"")</f>
        <v/>
      </c>
      <c r="L138" s="29"/>
      <c r="M138" s="35"/>
      <c r="N138" s="36"/>
      <c r="O138" s="36"/>
      <c r="P138" s="30"/>
      <c r="Q138" s="29"/>
      <c r="R138" s="35"/>
      <c r="S138" s="36"/>
      <c r="T138" s="36"/>
      <c r="U138" s="30"/>
      <c r="V138" s="29"/>
      <c r="W138" s="35"/>
      <c r="X138" s="36"/>
      <c r="Y138" s="36"/>
      <c r="Z138" s="30"/>
      <c r="AA138" s="29"/>
      <c r="AB138" s="35"/>
      <c r="AC138" s="36"/>
      <c r="AD138" s="36"/>
      <c r="AE138" s="30"/>
      <c r="AF138" s="29"/>
      <c r="AG138" s="35"/>
      <c r="AH138" s="36"/>
      <c r="AI138" s="36"/>
      <c r="AJ138" s="30"/>
      <c r="AK138" s="29"/>
      <c r="AL138" s="35"/>
      <c r="AM138" s="36"/>
      <c r="AN138" s="36"/>
      <c r="AO138" s="30"/>
      <c r="AP138" s="29"/>
      <c r="AQ138" s="35"/>
      <c r="AR138" s="36"/>
      <c r="AS138" s="36"/>
      <c r="AT138" s="30"/>
      <c r="AU138" s="29"/>
      <c r="AV138" s="29"/>
      <c r="AW138" s="29"/>
      <c r="AX138" s="37"/>
      <c r="AY138" s="29"/>
      <c r="AZ138" s="38" t="str">
        <f aca="false">IF($C138="","",IF(OR(F138="Completed",F138="Cancelled"),"",IF(AND(OR(F138="On Hold",ISNUMBER(VALUE(LEFT(H138,2)))),AY138=""),"Reason not given","")))</f>
        <v/>
      </c>
      <c r="BA138" s="30"/>
    </row>
    <row r="139" customFormat="false" ht="19.5" hidden="false" customHeight="true" outlineLevel="0" collapsed="false">
      <c r="A139" s="28" t="str">
        <f aca="false">IF($C139="","",COUNTA($C$17:$C139))</f>
        <v/>
      </c>
      <c r="B139" s="29"/>
      <c r="C139" s="30"/>
      <c r="D139" s="29"/>
      <c r="E139" s="31" t="str">
        <f aca="false">IF($C139="","",IF(NOT(OR(M139="Completed",M139="NA",M139="Cancelled")),"S1 Schematic",IF(NOT(OR(R139="Completed",R139="NA",R139="Cancelled")),"S2 PCB Layout",IF(NOT(OR(W139="Completed",W139="NA",W139="Cancelled")),"S3 SI &amp; PI",IF(NOT(OR(AB139="Completed",AB139="NA",AB139="Cancelled")),"S4 Bare-PCB Fab",IF(NOT(OR(AG139="Completed",AG139="NA",AG139="Cancelled")),"S5 Assembly",IF(NOT(OR(AL139="Completed",AL139="NA",AL139="Cancelled")),"S6 Bring-up",IF(NOT(OR(AQ139="Completed",AQ139="NA",AQ139="Cancelled")),"S7 BOM Procurement","All Stages Closed"))))))))</f>
        <v/>
      </c>
      <c r="F139" s="32" t="str">
        <f aca="false">IF($C139="","",IF(COUNTIF(M139,"Cancelled")+COUNTIF(R139,"Cancelled")+COUNTIF(W139,"Cancelled")+COUNTIF(AB139,"Cancelled")+COUNTIF(AG139,"Cancelled")+COUNTIF(AL139,"Cancelled")+COUNTIF(AQ139,"Cancelled")&gt;0,"Cancelled",IF(E139="All Stages Closed","Completed",IF(E139="S1 Schematic",M139,IF(E139="S2 PCB Layout",R139,IF(E139="S3 SI &amp; PI",W139,IF(E139="S4 Bare-PCB Fab",AB139,IF(E139="S5 Assembly",AG139,IF(E139="S6 Bring-up",AL139,AQ139)))))))))</f>
        <v/>
      </c>
      <c r="G139" s="33" t="str">
        <f aca="false">IF($C139="","",IF(E139="All Stages Closed","",IF(E139="S1 Schematic",IF(N139="","Not added",N139),IF(E139="S2 PCB Layout",IF(S139="","Not added",S139),IF(E139="S3 SI &amp; PI",IF(X139="","Not added",X139),IF(E139="S4 Bare-PCB Fab",IF(AC139="","Not added",AC139),IF(E139="S5 Assembly",IF(AH139="","Not added",AH139),IF(E139="S6 Bring-up",IF(AM139="","Not added",AM139),IF(AR139="","Not added",AR139)))))))))</f>
        <v/>
      </c>
      <c r="H139" s="32" t="str">
        <f aca="true">IF($C139="","",IF(OR(F139="Completed",F139="Cancelled"),"",IF(NOT(ISNUMBER(G139)),"No date set",IF(TODAY()&gt;G139,TODAY()-G139&amp;" days late",G139-TODAY()&amp;" days left"))))</f>
        <v/>
      </c>
      <c r="I139" s="31" t="str">
        <f aca="false">IF($C139="","",COUNTIF(M139,"Completed")+COUNTIF(R139,"Completed")+COUNTIF(W139,"Completed")+COUNTIF(AB139,"Completed")+COUNTIF(AG139,"Completed")+COUNTIF(AL139,"Completed")+COUNTIF(AQ139,"Completed"))</f>
        <v/>
      </c>
      <c r="J139" s="31" t="str">
        <f aca="false">IF($C139="","",7-(COUNTIF(M139,"NA")+COUNTIF(R139,"NA")+COUNTIF(W139,"NA")+COUNTIF(AB139,"NA")+COUNTIF(AG139,"NA")+COUNTIF(AL139,"NA")+COUNTIF(AQ139,"NA")))</f>
        <v/>
      </c>
      <c r="K139" s="34" t="str">
        <f aca="false">IFERROR(I139/J139,"")</f>
        <v/>
      </c>
      <c r="L139" s="29"/>
      <c r="M139" s="35"/>
      <c r="N139" s="36"/>
      <c r="O139" s="36"/>
      <c r="P139" s="30"/>
      <c r="Q139" s="29"/>
      <c r="R139" s="35"/>
      <c r="S139" s="36"/>
      <c r="T139" s="36"/>
      <c r="U139" s="30"/>
      <c r="V139" s="29"/>
      <c r="W139" s="35"/>
      <c r="X139" s="36"/>
      <c r="Y139" s="36"/>
      <c r="Z139" s="30"/>
      <c r="AA139" s="29"/>
      <c r="AB139" s="35"/>
      <c r="AC139" s="36"/>
      <c r="AD139" s="36"/>
      <c r="AE139" s="30"/>
      <c r="AF139" s="29"/>
      <c r="AG139" s="35"/>
      <c r="AH139" s="36"/>
      <c r="AI139" s="36"/>
      <c r="AJ139" s="30"/>
      <c r="AK139" s="29"/>
      <c r="AL139" s="35"/>
      <c r="AM139" s="36"/>
      <c r="AN139" s="36"/>
      <c r="AO139" s="30"/>
      <c r="AP139" s="29"/>
      <c r="AQ139" s="35"/>
      <c r="AR139" s="36"/>
      <c r="AS139" s="36"/>
      <c r="AT139" s="30"/>
      <c r="AU139" s="29"/>
      <c r="AV139" s="29"/>
      <c r="AW139" s="29"/>
      <c r="AX139" s="37"/>
      <c r="AY139" s="29"/>
      <c r="AZ139" s="38" t="str">
        <f aca="false">IF($C139="","",IF(OR(F139="Completed",F139="Cancelled"),"",IF(AND(OR(F139="On Hold",ISNUMBER(VALUE(LEFT(H139,2)))),AY139=""),"Reason not given","")))</f>
        <v/>
      </c>
      <c r="BA139" s="30"/>
    </row>
    <row r="140" customFormat="false" ht="19.5" hidden="false" customHeight="true" outlineLevel="0" collapsed="false">
      <c r="A140" s="28" t="str">
        <f aca="false">IF($C140="","",COUNTA($C$17:$C140))</f>
        <v/>
      </c>
      <c r="B140" s="29"/>
      <c r="C140" s="30"/>
      <c r="D140" s="29"/>
      <c r="E140" s="31" t="str">
        <f aca="false">IF($C140="","",IF(NOT(OR(M140="Completed",M140="NA",M140="Cancelled")),"S1 Schematic",IF(NOT(OR(R140="Completed",R140="NA",R140="Cancelled")),"S2 PCB Layout",IF(NOT(OR(W140="Completed",W140="NA",W140="Cancelled")),"S3 SI &amp; PI",IF(NOT(OR(AB140="Completed",AB140="NA",AB140="Cancelled")),"S4 Bare-PCB Fab",IF(NOT(OR(AG140="Completed",AG140="NA",AG140="Cancelled")),"S5 Assembly",IF(NOT(OR(AL140="Completed",AL140="NA",AL140="Cancelled")),"S6 Bring-up",IF(NOT(OR(AQ140="Completed",AQ140="NA",AQ140="Cancelled")),"S7 BOM Procurement","All Stages Closed"))))))))</f>
        <v/>
      </c>
      <c r="F140" s="32" t="str">
        <f aca="false">IF($C140="","",IF(COUNTIF(M140,"Cancelled")+COUNTIF(R140,"Cancelled")+COUNTIF(W140,"Cancelled")+COUNTIF(AB140,"Cancelled")+COUNTIF(AG140,"Cancelled")+COUNTIF(AL140,"Cancelled")+COUNTIF(AQ140,"Cancelled")&gt;0,"Cancelled",IF(E140="All Stages Closed","Completed",IF(E140="S1 Schematic",M140,IF(E140="S2 PCB Layout",R140,IF(E140="S3 SI &amp; PI",W140,IF(E140="S4 Bare-PCB Fab",AB140,IF(E140="S5 Assembly",AG140,IF(E140="S6 Bring-up",AL140,AQ140)))))))))</f>
        <v/>
      </c>
      <c r="G140" s="33" t="str">
        <f aca="false">IF($C140="","",IF(E140="All Stages Closed","",IF(E140="S1 Schematic",IF(N140="","Not added",N140),IF(E140="S2 PCB Layout",IF(S140="","Not added",S140),IF(E140="S3 SI &amp; PI",IF(X140="","Not added",X140),IF(E140="S4 Bare-PCB Fab",IF(AC140="","Not added",AC140),IF(E140="S5 Assembly",IF(AH140="","Not added",AH140),IF(E140="S6 Bring-up",IF(AM140="","Not added",AM140),IF(AR140="","Not added",AR140)))))))))</f>
        <v/>
      </c>
      <c r="H140" s="32" t="str">
        <f aca="true">IF($C140="","",IF(OR(F140="Completed",F140="Cancelled"),"",IF(NOT(ISNUMBER(G140)),"No date set",IF(TODAY()&gt;G140,TODAY()-G140&amp;" days late",G140-TODAY()&amp;" days left"))))</f>
        <v/>
      </c>
      <c r="I140" s="31" t="str">
        <f aca="false">IF($C140="","",COUNTIF(M140,"Completed")+COUNTIF(R140,"Completed")+COUNTIF(W140,"Completed")+COUNTIF(AB140,"Completed")+COUNTIF(AG140,"Completed")+COUNTIF(AL140,"Completed")+COUNTIF(AQ140,"Completed"))</f>
        <v/>
      </c>
      <c r="J140" s="31" t="str">
        <f aca="false">IF($C140="","",7-(COUNTIF(M140,"NA")+COUNTIF(R140,"NA")+COUNTIF(W140,"NA")+COUNTIF(AB140,"NA")+COUNTIF(AG140,"NA")+COUNTIF(AL140,"NA")+COUNTIF(AQ140,"NA")))</f>
        <v/>
      </c>
      <c r="K140" s="34" t="str">
        <f aca="false">IFERROR(I140/J140,"")</f>
        <v/>
      </c>
      <c r="L140" s="29"/>
      <c r="M140" s="35"/>
      <c r="N140" s="36"/>
      <c r="O140" s="36"/>
      <c r="P140" s="30"/>
      <c r="Q140" s="29"/>
      <c r="R140" s="35"/>
      <c r="S140" s="36"/>
      <c r="T140" s="36"/>
      <c r="U140" s="30"/>
      <c r="V140" s="29"/>
      <c r="W140" s="35"/>
      <c r="X140" s="36"/>
      <c r="Y140" s="36"/>
      <c r="Z140" s="30"/>
      <c r="AA140" s="29"/>
      <c r="AB140" s="35"/>
      <c r="AC140" s="36"/>
      <c r="AD140" s="36"/>
      <c r="AE140" s="30"/>
      <c r="AF140" s="29"/>
      <c r="AG140" s="35"/>
      <c r="AH140" s="36"/>
      <c r="AI140" s="36"/>
      <c r="AJ140" s="30"/>
      <c r="AK140" s="29"/>
      <c r="AL140" s="35"/>
      <c r="AM140" s="36"/>
      <c r="AN140" s="36"/>
      <c r="AO140" s="30"/>
      <c r="AP140" s="29"/>
      <c r="AQ140" s="35"/>
      <c r="AR140" s="36"/>
      <c r="AS140" s="36"/>
      <c r="AT140" s="30"/>
      <c r="AU140" s="29"/>
      <c r="AV140" s="29"/>
      <c r="AW140" s="29"/>
      <c r="AX140" s="37"/>
      <c r="AY140" s="29"/>
      <c r="AZ140" s="38" t="str">
        <f aca="false">IF($C140="","",IF(OR(F140="Completed",F140="Cancelled"),"",IF(AND(OR(F140="On Hold",ISNUMBER(VALUE(LEFT(H140,2)))),AY140=""),"Reason not given","")))</f>
        <v/>
      </c>
      <c r="BA140" s="30"/>
    </row>
    <row r="141" customFormat="false" ht="19.5" hidden="false" customHeight="true" outlineLevel="0" collapsed="false">
      <c r="A141" s="28" t="str">
        <f aca="false">IF($C141="","",COUNTA($C$17:$C141))</f>
        <v/>
      </c>
      <c r="B141" s="29"/>
      <c r="C141" s="30"/>
      <c r="D141" s="29"/>
      <c r="E141" s="31" t="str">
        <f aca="false">IF($C141="","",IF(NOT(OR(M141="Completed",M141="NA",M141="Cancelled")),"S1 Schematic",IF(NOT(OR(R141="Completed",R141="NA",R141="Cancelled")),"S2 PCB Layout",IF(NOT(OR(W141="Completed",W141="NA",W141="Cancelled")),"S3 SI &amp; PI",IF(NOT(OR(AB141="Completed",AB141="NA",AB141="Cancelled")),"S4 Bare-PCB Fab",IF(NOT(OR(AG141="Completed",AG141="NA",AG141="Cancelled")),"S5 Assembly",IF(NOT(OR(AL141="Completed",AL141="NA",AL141="Cancelled")),"S6 Bring-up",IF(NOT(OR(AQ141="Completed",AQ141="NA",AQ141="Cancelled")),"S7 BOM Procurement","All Stages Closed"))))))))</f>
        <v/>
      </c>
      <c r="F141" s="32" t="str">
        <f aca="false">IF($C141="","",IF(COUNTIF(M141,"Cancelled")+COUNTIF(R141,"Cancelled")+COUNTIF(W141,"Cancelled")+COUNTIF(AB141,"Cancelled")+COUNTIF(AG141,"Cancelled")+COUNTIF(AL141,"Cancelled")+COUNTIF(AQ141,"Cancelled")&gt;0,"Cancelled",IF(E141="All Stages Closed","Completed",IF(E141="S1 Schematic",M141,IF(E141="S2 PCB Layout",R141,IF(E141="S3 SI &amp; PI",W141,IF(E141="S4 Bare-PCB Fab",AB141,IF(E141="S5 Assembly",AG141,IF(E141="S6 Bring-up",AL141,AQ141)))))))))</f>
        <v/>
      </c>
      <c r="G141" s="33" t="str">
        <f aca="false">IF($C141="","",IF(E141="All Stages Closed","",IF(E141="S1 Schematic",IF(N141="","Not added",N141),IF(E141="S2 PCB Layout",IF(S141="","Not added",S141),IF(E141="S3 SI &amp; PI",IF(X141="","Not added",X141),IF(E141="S4 Bare-PCB Fab",IF(AC141="","Not added",AC141),IF(E141="S5 Assembly",IF(AH141="","Not added",AH141),IF(E141="S6 Bring-up",IF(AM141="","Not added",AM141),IF(AR141="","Not added",AR141)))))))))</f>
        <v/>
      </c>
      <c r="H141" s="32" t="str">
        <f aca="true">IF($C141="","",IF(OR(F141="Completed",F141="Cancelled"),"",IF(NOT(ISNUMBER(G141)),"No date set",IF(TODAY()&gt;G141,TODAY()-G141&amp;" days late",G141-TODAY()&amp;" days left"))))</f>
        <v/>
      </c>
      <c r="I141" s="31" t="str">
        <f aca="false">IF($C141="","",COUNTIF(M141,"Completed")+COUNTIF(R141,"Completed")+COUNTIF(W141,"Completed")+COUNTIF(AB141,"Completed")+COUNTIF(AG141,"Completed")+COUNTIF(AL141,"Completed")+COUNTIF(AQ141,"Completed"))</f>
        <v/>
      </c>
      <c r="J141" s="31" t="str">
        <f aca="false">IF($C141="","",7-(COUNTIF(M141,"NA")+COUNTIF(R141,"NA")+COUNTIF(W141,"NA")+COUNTIF(AB141,"NA")+COUNTIF(AG141,"NA")+COUNTIF(AL141,"NA")+COUNTIF(AQ141,"NA")))</f>
        <v/>
      </c>
      <c r="K141" s="34" t="str">
        <f aca="false">IFERROR(I141/J141,"")</f>
        <v/>
      </c>
      <c r="L141" s="29"/>
      <c r="M141" s="35"/>
      <c r="N141" s="36"/>
      <c r="O141" s="36"/>
      <c r="P141" s="30"/>
      <c r="Q141" s="29"/>
      <c r="R141" s="35"/>
      <c r="S141" s="36"/>
      <c r="T141" s="36"/>
      <c r="U141" s="30"/>
      <c r="V141" s="29"/>
      <c r="W141" s="35"/>
      <c r="X141" s="36"/>
      <c r="Y141" s="36"/>
      <c r="Z141" s="30"/>
      <c r="AA141" s="29"/>
      <c r="AB141" s="35"/>
      <c r="AC141" s="36"/>
      <c r="AD141" s="36"/>
      <c r="AE141" s="30"/>
      <c r="AF141" s="29"/>
      <c r="AG141" s="35"/>
      <c r="AH141" s="36"/>
      <c r="AI141" s="36"/>
      <c r="AJ141" s="30"/>
      <c r="AK141" s="29"/>
      <c r="AL141" s="35"/>
      <c r="AM141" s="36"/>
      <c r="AN141" s="36"/>
      <c r="AO141" s="30"/>
      <c r="AP141" s="29"/>
      <c r="AQ141" s="35"/>
      <c r="AR141" s="36"/>
      <c r="AS141" s="36"/>
      <c r="AT141" s="30"/>
      <c r="AU141" s="29"/>
      <c r="AV141" s="29"/>
      <c r="AW141" s="29"/>
      <c r="AX141" s="37"/>
      <c r="AY141" s="29"/>
      <c r="AZ141" s="38" t="str">
        <f aca="false">IF($C141="","",IF(OR(F141="Completed",F141="Cancelled"),"",IF(AND(OR(F141="On Hold",ISNUMBER(VALUE(LEFT(H141,2)))),AY141=""),"Reason not given","")))</f>
        <v/>
      </c>
      <c r="BA141" s="30"/>
    </row>
    <row r="142" customFormat="false" ht="19.5" hidden="false" customHeight="true" outlineLevel="0" collapsed="false">
      <c r="A142" s="28" t="str">
        <f aca="false">IF($C142="","",COUNTA($C$17:$C142))</f>
        <v/>
      </c>
      <c r="B142" s="29"/>
      <c r="C142" s="30"/>
      <c r="D142" s="29"/>
      <c r="E142" s="31" t="str">
        <f aca="false">IF($C142="","",IF(NOT(OR(M142="Completed",M142="NA",M142="Cancelled")),"S1 Schematic",IF(NOT(OR(R142="Completed",R142="NA",R142="Cancelled")),"S2 PCB Layout",IF(NOT(OR(W142="Completed",W142="NA",W142="Cancelled")),"S3 SI &amp; PI",IF(NOT(OR(AB142="Completed",AB142="NA",AB142="Cancelled")),"S4 Bare-PCB Fab",IF(NOT(OR(AG142="Completed",AG142="NA",AG142="Cancelled")),"S5 Assembly",IF(NOT(OR(AL142="Completed",AL142="NA",AL142="Cancelled")),"S6 Bring-up",IF(NOT(OR(AQ142="Completed",AQ142="NA",AQ142="Cancelled")),"S7 BOM Procurement","All Stages Closed"))))))))</f>
        <v/>
      </c>
      <c r="F142" s="32" t="str">
        <f aca="false">IF($C142="","",IF(COUNTIF(M142,"Cancelled")+COUNTIF(R142,"Cancelled")+COUNTIF(W142,"Cancelled")+COUNTIF(AB142,"Cancelled")+COUNTIF(AG142,"Cancelled")+COUNTIF(AL142,"Cancelled")+COUNTIF(AQ142,"Cancelled")&gt;0,"Cancelled",IF(E142="All Stages Closed","Completed",IF(E142="S1 Schematic",M142,IF(E142="S2 PCB Layout",R142,IF(E142="S3 SI &amp; PI",W142,IF(E142="S4 Bare-PCB Fab",AB142,IF(E142="S5 Assembly",AG142,IF(E142="S6 Bring-up",AL142,AQ142)))))))))</f>
        <v/>
      </c>
      <c r="G142" s="33" t="str">
        <f aca="false">IF($C142="","",IF(E142="All Stages Closed","",IF(E142="S1 Schematic",IF(N142="","Not added",N142),IF(E142="S2 PCB Layout",IF(S142="","Not added",S142),IF(E142="S3 SI &amp; PI",IF(X142="","Not added",X142),IF(E142="S4 Bare-PCB Fab",IF(AC142="","Not added",AC142),IF(E142="S5 Assembly",IF(AH142="","Not added",AH142),IF(E142="S6 Bring-up",IF(AM142="","Not added",AM142),IF(AR142="","Not added",AR142)))))))))</f>
        <v/>
      </c>
      <c r="H142" s="32" t="str">
        <f aca="true">IF($C142="","",IF(OR(F142="Completed",F142="Cancelled"),"",IF(NOT(ISNUMBER(G142)),"No date set",IF(TODAY()&gt;G142,TODAY()-G142&amp;" days late",G142-TODAY()&amp;" days left"))))</f>
        <v/>
      </c>
      <c r="I142" s="31" t="str">
        <f aca="false">IF($C142="","",COUNTIF(M142,"Completed")+COUNTIF(R142,"Completed")+COUNTIF(W142,"Completed")+COUNTIF(AB142,"Completed")+COUNTIF(AG142,"Completed")+COUNTIF(AL142,"Completed")+COUNTIF(AQ142,"Completed"))</f>
        <v/>
      </c>
      <c r="J142" s="31" t="str">
        <f aca="false">IF($C142="","",7-(COUNTIF(M142,"NA")+COUNTIF(R142,"NA")+COUNTIF(W142,"NA")+COUNTIF(AB142,"NA")+COUNTIF(AG142,"NA")+COUNTIF(AL142,"NA")+COUNTIF(AQ142,"NA")))</f>
        <v/>
      </c>
      <c r="K142" s="34" t="str">
        <f aca="false">IFERROR(I142/J142,"")</f>
        <v/>
      </c>
      <c r="L142" s="29"/>
      <c r="M142" s="35"/>
      <c r="N142" s="36"/>
      <c r="O142" s="36"/>
      <c r="P142" s="30"/>
      <c r="Q142" s="29"/>
      <c r="R142" s="35"/>
      <c r="S142" s="36"/>
      <c r="T142" s="36"/>
      <c r="U142" s="30"/>
      <c r="V142" s="29"/>
      <c r="W142" s="35"/>
      <c r="X142" s="36"/>
      <c r="Y142" s="36"/>
      <c r="Z142" s="30"/>
      <c r="AA142" s="29"/>
      <c r="AB142" s="35"/>
      <c r="AC142" s="36"/>
      <c r="AD142" s="36"/>
      <c r="AE142" s="30"/>
      <c r="AF142" s="29"/>
      <c r="AG142" s="35"/>
      <c r="AH142" s="36"/>
      <c r="AI142" s="36"/>
      <c r="AJ142" s="30"/>
      <c r="AK142" s="29"/>
      <c r="AL142" s="35"/>
      <c r="AM142" s="36"/>
      <c r="AN142" s="36"/>
      <c r="AO142" s="30"/>
      <c r="AP142" s="29"/>
      <c r="AQ142" s="35"/>
      <c r="AR142" s="36"/>
      <c r="AS142" s="36"/>
      <c r="AT142" s="30"/>
      <c r="AU142" s="29"/>
      <c r="AV142" s="29"/>
      <c r="AW142" s="29"/>
      <c r="AX142" s="37"/>
      <c r="AY142" s="29"/>
      <c r="AZ142" s="38" t="str">
        <f aca="false">IF($C142="","",IF(OR(F142="Completed",F142="Cancelled"),"",IF(AND(OR(F142="On Hold",ISNUMBER(VALUE(LEFT(H142,2)))),AY142=""),"Reason not given","")))</f>
        <v/>
      </c>
      <c r="BA142" s="30"/>
    </row>
    <row r="143" customFormat="false" ht="19.5" hidden="false" customHeight="true" outlineLevel="0" collapsed="false">
      <c r="A143" s="28" t="str">
        <f aca="false">IF($C143="","",COUNTA($C$17:$C143))</f>
        <v/>
      </c>
      <c r="B143" s="29"/>
      <c r="C143" s="30"/>
      <c r="D143" s="29"/>
      <c r="E143" s="31" t="str">
        <f aca="false">IF($C143="","",IF(NOT(OR(M143="Completed",M143="NA",M143="Cancelled")),"S1 Schematic",IF(NOT(OR(R143="Completed",R143="NA",R143="Cancelled")),"S2 PCB Layout",IF(NOT(OR(W143="Completed",W143="NA",W143="Cancelled")),"S3 SI &amp; PI",IF(NOT(OR(AB143="Completed",AB143="NA",AB143="Cancelled")),"S4 Bare-PCB Fab",IF(NOT(OR(AG143="Completed",AG143="NA",AG143="Cancelled")),"S5 Assembly",IF(NOT(OR(AL143="Completed",AL143="NA",AL143="Cancelled")),"S6 Bring-up",IF(NOT(OR(AQ143="Completed",AQ143="NA",AQ143="Cancelled")),"S7 BOM Procurement","All Stages Closed"))))))))</f>
        <v/>
      </c>
      <c r="F143" s="32" t="str">
        <f aca="false">IF($C143="","",IF(COUNTIF(M143,"Cancelled")+COUNTIF(R143,"Cancelled")+COUNTIF(W143,"Cancelled")+COUNTIF(AB143,"Cancelled")+COUNTIF(AG143,"Cancelled")+COUNTIF(AL143,"Cancelled")+COUNTIF(AQ143,"Cancelled")&gt;0,"Cancelled",IF(E143="All Stages Closed","Completed",IF(E143="S1 Schematic",M143,IF(E143="S2 PCB Layout",R143,IF(E143="S3 SI &amp; PI",W143,IF(E143="S4 Bare-PCB Fab",AB143,IF(E143="S5 Assembly",AG143,IF(E143="S6 Bring-up",AL143,AQ143)))))))))</f>
        <v/>
      </c>
      <c r="G143" s="33" t="str">
        <f aca="false">IF($C143="","",IF(E143="All Stages Closed","",IF(E143="S1 Schematic",IF(N143="","Not added",N143),IF(E143="S2 PCB Layout",IF(S143="","Not added",S143),IF(E143="S3 SI &amp; PI",IF(X143="","Not added",X143),IF(E143="S4 Bare-PCB Fab",IF(AC143="","Not added",AC143),IF(E143="S5 Assembly",IF(AH143="","Not added",AH143),IF(E143="S6 Bring-up",IF(AM143="","Not added",AM143),IF(AR143="","Not added",AR143)))))))))</f>
        <v/>
      </c>
      <c r="H143" s="32" t="str">
        <f aca="true">IF($C143="","",IF(OR(F143="Completed",F143="Cancelled"),"",IF(NOT(ISNUMBER(G143)),"No date set",IF(TODAY()&gt;G143,TODAY()-G143&amp;" days late",G143-TODAY()&amp;" days left"))))</f>
        <v/>
      </c>
      <c r="I143" s="31" t="str">
        <f aca="false">IF($C143="","",COUNTIF(M143,"Completed")+COUNTIF(R143,"Completed")+COUNTIF(W143,"Completed")+COUNTIF(AB143,"Completed")+COUNTIF(AG143,"Completed")+COUNTIF(AL143,"Completed")+COUNTIF(AQ143,"Completed"))</f>
        <v/>
      </c>
      <c r="J143" s="31" t="str">
        <f aca="false">IF($C143="","",7-(COUNTIF(M143,"NA")+COUNTIF(R143,"NA")+COUNTIF(W143,"NA")+COUNTIF(AB143,"NA")+COUNTIF(AG143,"NA")+COUNTIF(AL143,"NA")+COUNTIF(AQ143,"NA")))</f>
        <v/>
      </c>
      <c r="K143" s="34" t="str">
        <f aca="false">IFERROR(I143/J143,"")</f>
        <v/>
      </c>
      <c r="L143" s="29"/>
      <c r="M143" s="35"/>
      <c r="N143" s="36"/>
      <c r="O143" s="36"/>
      <c r="P143" s="30"/>
      <c r="Q143" s="29"/>
      <c r="R143" s="35"/>
      <c r="S143" s="36"/>
      <c r="T143" s="36"/>
      <c r="U143" s="30"/>
      <c r="V143" s="29"/>
      <c r="W143" s="35"/>
      <c r="X143" s="36"/>
      <c r="Y143" s="36"/>
      <c r="Z143" s="30"/>
      <c r="AA143" s="29"/>
      <c r="AB143" s="35"/>
      <c r="AC143" s="36"/>
      <c r="AD143" s="36"/>
      <c r="AE143" s="30"/>
      <c r="AF143" s="29"/>
      <c r="AG143" s="35"/>
      <c r="AH143" s="36"/>
      <c r="AI143" s="36"/>
      <c r="AJ143" s="30"/>
      <c r="AK143" s="29"/>
      <c r="AL143" s="35"/>
      <c r="AM143" s="36"/>
      <c r="AN143" s="36"/>
      <c r="AO143" s="30"/>
      <c r="AP143" s="29"/>
      <c r="AQ143" s="35"/>
      <c r="AR143" s="36"/>
      <c r="AS143" s="36"/>
      <c r="AT143" s="30"/>
      <c r="AU143" s="29"/>
      <c r="AV143" s="29"/>
      <c r="AW143" s="29"/>
      <c r="AX143" s="37"/>
      <c r="AY143" s="29"/>
      <c r="AZ143" s="38" t="str">
        <f aca="false">IF($C143="","",IF(OR(F143="Completed",F143="Cancelled"),"",IF(AND(OR(F143="On Hold",ISNUMBER(VALUE(LEFT(H143,2)))),AY143=""),"Reason not given","")))</f>
        <v/>
      </c>
      <c r="BA143" s="30"/>
    </row>
    <row r="144" customFormat="false" ht="19.5" hidden="false" customHeight="true" outlineLevel="0" collapsed="false">
      <c r="A144" s="28" t="str">
        <f aca="false">IF($C144="","",COUNTA($C$17:$C144))</f>
        <v/>
      </c>
      <c r="B144" s="29"/>
      <c r="C144" s="30"/>
      <c r="D144" s="29"/>
      <c r="E144" s="31" t="str">
        <f aca="false">IF($C144="","",IF(NOT(OR(M144="Completed",M144="NA",M144="Cancelled")),"S1 Schematic",IF(NOT(OR(R144="Completed",R144="NA",R144="Cancelled")),"S2 PCB Layout",IF(NOT(OR(W144="Completed",W144="NA",W144="Cancelled")),"S3 SI &amp; PI",IF(NOT(OR(AB144="Completed",AB144="NA",AB144="Cancelled")),"S4 Bare-PCB Fab",IF(NOT(OR(AG144="Completed",AG144="NA",AG144="Cancelled")),"S5 Assembly",IF(NOT(OR(AL144="Completed",AL144="NA",AL144="Cancelled")),"S6 Bring-up",IF(NOT(OR(AQ144="Completed",AQ144="NA",AQ144="Cancelled")),"S7 BOM Procurement","All Stages Closed"))))))))</f>
        <v/>
      </c>
      <c r="F144" s="32" t="str">
        <f aca="false">IF($C144="","",IF(COUNTIF(M144,"Cancelled")+COUNTIF(R144,"Cancelled")+COUNTIF(W144,"Cancelled")+COUNTIF(AB144,"Cancelled")+COUNTIF(AG144,"Cancelled")+COUNTIF(AL144,"Cancelled")+COUNTIF(AQ144,"Cancelled")&gt;0,"Cancelled",IF(E144="All Stages Closed","Completed",IF(E144="S1 Schematic",M144,IF(E144="S2 PCB Layout",R144,IF(E144="S3 SI &amp; PI",W144,IF(E144="S4 Bare-PCB Fab",AB144,IF(E144="S5 Assembly",AG144,IF(E144="S6 Bring-up",AL144,AQ144)))))))))</f>
        <v/>
      </c>
      <c r="G144" s="33" t="str">
        <f aca="false">IF($C144="","",IF(E144="All Stages Closed","",IF(E144="S1 Schematic",IF(N144="","Not added",N144),IF(E144="S2 PCB Layout",IF(S144="","Not added",S144),IF(E144="S3 SI &amp; PI",IF(X144="","Not added",X144),IF(E144="S4 Bare-PCB Fab",IF(AC144="","Not added",AC144),IF(E144="S5 Assembly",IF(AH144="","Not added",AH144),IF(E144="S6 Bring-up",IF(AM144="","Not added",AM144),IF(AR144="","Not added",AR144)))))))))</f>
        <v/>
      </c>
      <c r="H144" s="32" t="str">
        <f aca="true">IF($C144="","",IF(OR(F144="Completed",F144="Cancelled"),"",IF(NOT(ISNUMBER(G144)),"No date set",IF(TODAY()&gt;G144,TODAY()-G144&amp;" days late",G144-TODAY()&amp;" days left"))))</f>
        <v/>
      </c>
      <c r="I144" s="31" t="str">
        <f aca="false">IF($C144="","",COUNTIF(M144,"Completed")+COUNTIF(R144,"Completed")+COUNTIF(W144,"Completed")+COUNTIF(AB144,"Completed")+COUNTIF(AG144,"Completed")+COUNTIF(AL144,"Completed")+COUNTIF(AQ144,"Completed"))</f>
        <v/>
      </c>
      <c r="J144" s="31" t="str">
        <f aca="false">IF($C144="","",7-(COUNTIF(M144,"NA")+COUNTIF(R144,"NA")+COUNTIF(W144,"NA")+COUNTIF(AB144,"NA")+COUNTIF(AG144,"NA")+COUNTIF(AL144,"NA")+COUNTIF(AQ144,"NA")))</f>
        <v/>
      </c>
      <c r="K144" s="34" t="str">
        <f aca="false">IFERROR(I144/J144,"")</f>
        <v/>
      </c>
      <c r="L144" s="29"/>
      <c r="M144" s="35"/>
      <c r="N144" s="36"/>
      <c r="O144" s="36"/>
      <c r="P144" s="30"/>
      <c r="Q144" s="29"/>
      <c r="R144" s="35"/>
      <c r="S144" s="36"/>
      <c r="T144" s="36"/>
      <c r="U144" s="30"/>
      <c r="V144" s="29"/>
      <c r="W144" s="35"/>
      <c r="X144" s="36"/>
      <c r="Y144" s="36"/>
      <c r="Z144" s="30"/>
      <c r="AA144" s="29"/>
      <c r="AB144" s="35"/>
      <c r="AC144" s="36"/>
      <c r="AD144" s="36"/>
      <c r="AE144" s="30"/>
      <c r="AF144" s="29"/>
      <c r="AG144" s="35"/>
      <c r="AH144" s="36"/>
      <c r="AI144" s="36"/>
      <c r="AJ144" s="30"/>
      <c r="AK144" s="29"/>
      <c r="AL144" s="35"/>
      <c r="AM144" s="36"/>
      <c r="AN144" s="36"/>
      <c r="AO144" s="30"/>
      <c r="AP144" s="29"/>
      <c r="AQ144" s="35"/>
      <c r="AR144" s="36"/>
      <c r="AS144" s="36"/>
      <c r="AT144" s="30"/>
      <c r="AU144" s="29"/>
      <c r="AV144" s="29"/>
      <c r="AW144" s="29"/>
      <c r="AX144" s="37"/>
      <c r="AY144" s="29"/>
      <c r="AZ144" s="38" t="str">
        <f aca="false">IF($C144="","",IF(OR(F144="Completed",F144="Cancelled"),"",IF(AND(OR(F144="On Hold",ISNUMBER(VALUE(LEFT(H144,2)))),AY144=""),"Reason not given","")))</f>
        <v/>
      </c>
      <c r="BA144" s="30"/>
    </row>
    <row r="145" customFormat="false" ht="19.5" hidden="false" customHeight="true" outlineLevel="0" collapsed="false">
      <c r="A145" s="28" t="str">
        <f aca="false">IF($C145="","",COUNTA($C$17:$C145))</f>
        <v/>
      </c>
      <c r="B145" s="29"/>
      <c r="C145" s="30"/>
      <c r="D145" s="29"/>
      <c r="E145" s="31" t="str">
        <f aca="false">IF($C145="","",IF(NOT(OR(M145="Completed",M145="NA",M145="Cancelled")),"S1 Schematic",IF(NOT(OR(R145="Completed",R145="NA",R145="Cancelled")),"S2 PCB Layout",IF(NOT(OR(W145="Completed",W145="NA",W145="Cancelled")),"S3 SI &amp; PI",IF(NOT(OR(AB145="Completed",AB145="NA",AB145="Cancelled")),"S4 Bare-PCB Fab",IF(NOT(OR(AG145="Completed",AG145="NA",AG145="Cancelled")),"S5 Assembly",IF(NOT(OR(AL145="Completed",AL145="NA",AL145="Cancelled")),"S6 Bring-up",IF(NOT(OR(AQ145="Completed",AQ145="NA",AQ145="Cancelled")),"S7 BOM Procurement","All Stages Closed"))))))))</f>
        <v/>
      </c>
      <c r="F145" s="32" t="str">
        <f aca="false">IF($C145="","",IF(COUNTIF(M145,"Cancelled")+COUNTIF(R145,"Cancelled")+COUNTIF(W145,"Cancelled")+COUNTIF(AB145,"Cancelled")+COUNTIF(AG145,"Cancelled")+COUNTIF(AL145,"Cancelled")+COUNTIF(AQ145,"Cancelled")&gt;0,"Cancelled",IF(E145="All Stages Closed","Completed",IF(E145="S1 Schematic",M145,IF(E145="S2 PCB Layout",R145,IF(E145="S3 SI &amp; PI",W145,IF(E145="S4 Bare-PCB Fab",AB145,IF(E145="S5 Assembly",AG145,IF(E145="S6 Bring-up",AL145,AQ145)))))))))</f>
        <v/>
      </c>
      <c r="G145" s="33" t="str">
        <f aca="false">IF($C145="","",IF(E145="All Stages Closed","",IF(E145="S1 Schematic",IF(N145="","Not added",N145),IF(E145="S2 PCB Layout",IF(S145="","Not added",S145),IF(E145="S3 SI &amp; PI",IF(X145="","Not added",X145),IF(E145="S4 Bare-PCB Fab",IF(AC145="","Not added",AC145),IF(E145="S5 Assembly",IF(AH145="","Not added",AH145),IF(E145="S6 Bring-up",IF(AM145="","Not added",AM145),IF(AR145="","Not added",AR145)))))))))</f>
        <v/>
      </c>
      <c r="H145" s="32" t="str">
        <f aca="true">IF($C145="","",IF(OR(F145="Completed",F145="Cancelled"),"",IF(NOT(ISNUMBER(G145)),"No date set",IF(TODAY()&gt;G145,TODAY()-G145&amp;" days late",G145-TODAY()&amp;" days left"))))</f>
        <v/>
      </c>
      <c r="I145" s="31" t="str">
        <f aca="false">IF($C145="","",COUNTIF(M145,"Completed")+COUNTIF(R145,"Completed")+COUNTIF(W145,"Completed")+COUNTIF(AB145,"Completed")+COUNTIF(AG145,"Completed")+COUNTIF(AL145,"Completed")+COUNTIF(AQ145,"Completed"))</f>
        <v/>
      </c>
      <c r="J145" s="31" t="str">
        <f aca="false">IF($C145="","",7-(COUNTIF(M145,"NA")+COUNTIF(R145,"NA")+COUNTIF(W145,"NA")+COUNTIF(AB145,"NA")+COUNTIF(AG145,"NA")+COUNTIF(AL145,"NA")+COUNTIF(AQ145,"NA")))</f>
        <v/>
      </c>
      <c r="K145" s="34" t="str">
        <f aca="false">IFERROR(I145/J145,"")</f>
        <v/>
      </c>
      <c r="L145" s="29"/>
      <c r="M145" s="35"/>
      <c r="N145" s="36"/>
      <c r="O145" s="36"/>
      <c r="P145" s="30"/>
      <c r="Q145" s="29"/>
      <c r="R145" s="35"/>
      <c r="S145" s="36"/>
      <c r="T145" s="36"/>
      <c r="U145" s="30"/>
      <c r="V145" s="29"/>
      <c r="W145" s="35"/>
      <c r="X145" s="36"/>
      <c r="Y145" s="36"/>
      <c r="Z145" s="30"/>
      <c r="AA145" s="29"/>
      <c r="AB145" s="35"/>
      <c r="AC145" s="36"/>
      <c r="AD145" s="36"/>
      <c r="AE145" s="30"/>
      <c r="AF145" s="29"/>
      <c r="AG145" s="35"/>
      <c r="AH145" s="36"/>
      <c r="AI145" s="36"/>
      <c r="AJ145" s="30"/>
      <c r="AK145" s="29"/>
      <c r="AL145" s="35"/>
      <c r="AM145" s="36"/>
      <c r="AN145" s="36"/>
      <c r="AO145" s="30"/>
      <c r="AP145" s="29"/>
      <c r="AQ145" s="35"/>
      <c r="AR145" s="36"/>
      <c r="AS145" s="36"/>
      <c r="AT145" s="30"/>
      <c r="AU145" s="29"/>
      <c r="AV145" s="29"/>
      <c r="AW145" s="29"/>
      <c r="AX145" s="37"/>
      <c r="AY145" s="29"/>
      <c r="AZ145" s="38" t="str">
        <f aca="false">IF($C145="","",IF(OR(F145="Completed",F145="Cancelled"),"",IF(AND(OR(F145="On Hold",ISNUMBER(VALUE(LEFT(H145,2)))),AY145=""),"Reason not given","")))</f>
        <v/>
      </c>
      <c r="BA145" s="30"/>
    </row>
    <row r="146" customFormat="false" ht="19.5" hidden="false" customHeight="true" outlineLevel="0" collapsed="false">
      <c r="A146" s="28" t="str">
        <f aca="false">IF($C146="","",COUNTA($C$17:$C146))</f>
        <v/>
      </c>
      <c r="B146" s="29"/>
      <c r="C146" s="30"/>
      <c r="D146" s="29"/>
      <c r="E146" s="31" t="str">
        <f aca="false">IF($C146="","",IF(NOT(OR(M146="Completed",M146="NA",M146="Cancelled")),"S1 Schematic",IF(NOT(OR(R146="Completed",R146="NA",R146="Cancelled")),"S2 PCB Layout",IF(NOT(OR(W146="Completed",W146="NA",W146="Cancelled")),"S3 SI &amp; PI",IF(NOT(OR(AB146="Completed",AB146="NA",AB146="Cancelled")),"S4 Bare-PCB Fab",IF(NOT(OR(AG146="Completed",AG146="NA",AG146="Cancelled")),"S5 Assembly",IF(NOT(OR(AL146="Completed",AL146="NA",AL146="Cancelled")),"S6 Bring-up",IF(NOT(OR(AQ146="Completed",AQ146="NA",AQ146="Cancelled")),"S7 BOM Procurement","All Stages Closed"))))))))</f>
        <v/>
      </c>
      <c r="F146" s="32" t="str">
        <f aca="false">IF($C146="","",IF(COUNTIF(M146,"Cancelled")+COUNTIF(R146,"Cancelled")+COUNTIF(W146,"Cancelled")+COUNTIF(AB146,"Cancelled")+COUNTIF(AG146,"Cancelled")+COUNTIF(AL146,"Cancelled")+COUNTIF(AQ146,"Cancelled")&gt;0,"Cancelled",IF(E146="All Stages Closed","Completed",IF(E146="S1 Schematic",M146,IF(E146="S2 PCB Layout",R146,IF(E146="S3 SI &amp; PI",W146,IF(E146="S4 Bare-PCB Fab",AB146,IF(E146="S5 Assembly",AG146,IF(E146="S6 Bring-up",AL146,AQ146)))))))))</f>
        <v/>
      </c>
      <c r="G146" s="33" t="str">
        <f aca="false">IF($C146="","",IF(E146="All Stages Closed","",IF(E146="S1 Schematic",IF(N146="","Not added",N146),IF(E146="S2 PCB Layout",IF(S146="","Not added",S146),IF(E146="S3 SI &amp; PI",IF(X146="","Not added",X146),IF(E146="S4 Bare-PCB Fab",IF(AC146="","Not added",AC146),IF(E146="S5 Assembly",IF(AH146="","Not added",AH146),IF(E146="S6 Bring-up",IF(AM146="","Not added",AM146),IF(AR146="","Not added",AR146)))))))))</f>
        <v/>
      </c>
      <c r="H146" s="32" t="str">
        <f aca="true">IF($C146="","",IF(OR(F146="Completed",F146="Cancelled"),"",IF(NOT(ISNUMBER(G146)),"No date set",IF(TODAY()&gt;G146,TODAY()-G146&amp;" days late",G146-TODAY()&amp;" days left"))))</f>
        <v/>
      </c>
      <c r="I146" s="31" t="str">
        <f aca="false">IF($C146="","",COUNTIF(M146,"Completed")+COUNTIF(R146,"Completed")+COUNTIF(W146,"Completed")+COUNTIF(AB146,"Completed")+COUNTIF(AG146,"Completed")+COUNTIF(AL146,"Completed")+COUNTIF(AQ146,"Completed"))</f>
        <v/>
      </c>
      <c r="J146" s="31" t="str">
        <f aca="false">IF($C146="","",7-(COUNTIF(M146,"NA")+COUNTIF(R146,"NA")+COUNTIF(W146,"NA")+COUNTIF(AB146,"NA")+COUNTIF(AG146,"NA")+COUNTIF(AL146,"NA")+COUNTIF(AQ146,"NA")))</f>
        <v/>
      </c>
      <c r="K146" s="34" t="str">
        <f aca="false">IFERROR(I146/J146,"")</f>
        <v/>
      </c>
      <c r="L146" s="29"/>
      <c r="M146" s="35"/>
      <c r="N146" s="36"/>
      <c r="O146" s="36"/>
      <c r="P146" s="30"/>
      <c r="Q146" s="29"/>
      <c r="R146" s="35"/>
      <c r="S146" s="36"/>
      <c r="T146" s="36"/>
      <c r="U146" s="30"/>
      <c r="V146" s="29"/>
      <c r="W146" s="35"/>
      <c r="X146" s="36"/>
      <c r="Y146" s="36"/>
      <c r="Z146" s="30"/>
      <c r="AA146" s="29"/>
      <c r="AB146" s="35"/>
      <c r="AC146" s="36"/>
      <c r="AD146" s="36"/>
      <c r="AE146" s="30"/>
      <c r="AF146" s="29"/>
      <c r="AG146" s="35"/>
      <c r="AH146" s="36"/>
      <c r="AI146" s="36"/>
      <c r="AJ146" s="30"/>
      <c r="AK146" s="29"/>
      <c r="AL146" s="35"/>
      <c r="AM146" s="36"/>
      <c r="AN146" s="36"/>
      <c r="AO146" s="30"/>
      <c r="AP146" s="29"/>
      <c r="AQ146" s="35"/>
      <c r="AR146" s="36"/>
      <c r="AS146" s="36"/>
      <c r="AT146" s="30"/>
      <c r="AU146" s="29"/>
      <c r="AV146" s="29"/>
      <c r="AW146" s="29"/>
      <c r="AX146" s="37"/>
      <c r="AY146" s="29"/>
      <c r="AZ146" s="38" t="str">
        <f aca="false">IF($C146="","",IF(OR(F146="Completed",F146="Cancelled"),"",IF(AND(OR(F146="On Hold",ISNUMBER(VALUE(LEFT(H146,2)))),AY146=""),"Reason not given","")))</f>
        <v/>
      </c>
      <c r="BA146" s="30"/>
    </row>
    <row r="147" customFormat="false" ht="19.5" hidden="false" customHeight="true" outlineLevel="0" collapsed="false">
      <c r="A147" s="28" t="str">
        <f aca="false">IF($C147="","",COUNTA($C$17:$C147))</f>
        <v/>
      </c>
      <c r="B147" s="29"/>
      <c r="C147" s="30"/>
      <c r="D147" s="29"/>
      <c r="E147" s="31" t="str">
        <f aca="false">IF($C147="","",IF(NOT(OR(M147="Completed",M147="NA",M147="Cancelled")),"S1 Schematic",IF(NOT(OR(R147="Completed",R147="NA",R147="Cancelled")),"S2 PCB Layout",IF(NOT(OR(W147="Completed",W147="NA",W147="Cancelled")),"S3 SI &amp; PI",IF(NOT(OR(AB147="Completed",AB147="NA",AB147="Cancelled")),"S4 Bare-PCB Fab",IF(NOT(OR(AG147="Completed",AG147="NA",AG147="Cancelled")),"S5 Assembly",IF(NOT(OR(AL147="Completed",AL147="NA",AL147="Cancelled")),"S6 Bring-up",IF(NOT(OR(AQ147="Completed",AQ147="NA",AQ147="Cancelled")),"S7 BOM Procurement","All Stages Closed"))))))))</f>
        <v/>
      </c>
      <c r="F147" s="32" t="str">
        <f aca="false">IF($C147="","",IF(COUNTIF(M147,"Cancelled")+COUNTIF(R147,"Cancelled")+COUNTIF(W147,"Cancelled")+COUNTIF(AB147,"Cancelled")+COUNTIF(AG147,"Cancelled")+COUNTIF(AL147,"Cancelled")+COUNTIF(AQ147,"Cancelled")&gt;0,"Cancelled",IF(E147="All Stages Closed","Completed",IF(E147="S1 Schematic",M147,IF(E147="S2 PCB Layout",R147,IF(E147="S3 SI &amp; PI",W147,IF(E147="S4 Bare-PCB Fab",AB147,IF(E147="S5 Assembly",AG147,IF(E147="S6 Bring-up",AL147,AQ147)))))))))</f>
        <v/>
      </c>
      <c r="G147" s="33" t="str">
        <f aca="false">IF($C147="","",IF(E147="All Stages Closed","",IF(E147="S1 Schematic",IF(N147="","Not added",N147),IF(E147="S2 PCB Layout",IF(S147="","Not added",S147),IF(E147="S3 SI &amp; PI",IF(X147="","Not added",X147),IF(E147="S4 Bare-PCB Fab",IF(AC147="","Not added",AC147),IF(E147="S5 Assembly",IF(AH147="","Not added",AH147),IF(E147="S6 Bring-up",IF(AM147="","Not added",AM147),IF(AR147="","Not added",AR147)))))))))</f>
        <v/>
      </c>
      <c r="H147" s="32" t="str">
        <f aca="true">IF($C147="","",IF(OR(F147="Completed",F147="Cancelled"),"",IF(NOT(ISNUMBER(G147)),"No date set",IF(TODAY()&gt;G147,TODAY()-G147&amp;" days late",G147-TODAY()&amp;" days left"))))</f>
        <v/>
      </c>
      <c r="I147" s="31" t="str">
        <f aca="false">IF($C147="","",COUNTIF(M147,"Completed")+COUNTIF(R147,"Completed")+COUNTIF(W147,"Completed")+COUNTIF(AB147,"Completed")+COUNTIF(AG147,"Completed")+COUNTIF(AL147,"Completed")+COUNTIF(AQ147,"Completed"))</f>
        <v/>
      </c>
      <c r="J147" s="31" t="str">
        <f aca="false">IF($C147="","",7-(COUNTIF(M147,"NA")+COUNTIF(R147,"NA")+COUNTIF(W147,"NA")+COUNTIF(AB147,"NA")+COUNTIF(AG147,"NA")+COUNTIF(AL147,"NA")+COUNTIF(AQ147,"NA")))</f>
        <v/>
      </c>
      <c r="K147" s="34" t="str">
        <f aca="false">IFERROR(I147/J147,"")</f>
        <v/>
      </c>
      <c r="L147" s="29"/>
      <c r="M147" s="35"/>
      <c r="N147" s="36"/>
      <c r="O147" s="36"/>
      <c r="P147" s="30"/>
      <c r="Q147" s="29"/>
      <c r="R147" s="35"/>
      <c r="S147" s="36"/>
      <c r="T147" s="36"/>
      <c r="U147" s="30"/>
      <c r="V147" s="29"/>
      <c r="W147" s="35"/>
      <c r="X147" s="36"/>
      <c r="Y147" s="36"/>
      <c r="Z147" s="30"/>
      <c r="AA147" s="29"/>
      <c r="AB147" s="35"/>
      <c r="AC147" s="36"/>
      <c r="AD147" s="36"/>
      <c r="AE147" s="30"/>
      <c r="AF147" s="29"/>
      <c r="AG147" s="35"/>
      <c r="AH147" s="36"/>
      <c r="AI147" s="36"/>
      <c r="AJ147" s="30"/>
      <c r="AK147" s="29"/>
      <c r="AL147" s="35"/>
      <c r="AM147" s="36"/>
      <c r="AN147" s="36"/>
      <c r="AO147" s="30"/>
      <c r="AP147" s="29"/>
      <c r="AQ147" s="35"/>
      <c r="AR147" s="36"/>
      <c r="AS147" s="36"/>
      <c r="AT147" s="30"/>
      <c r="AU147" s="29"/>
      <c r="AV147" s="29"/>
      <c r="AW147" s="29"/>
      <c r="AX147" s="37"/>
      <c r="AY147" s="29"/>
      <c r="AZ147" s="38" t="str">
        <f aca="false">IF($C147="","",IF(OR(F147="Completed",F147="Cancelled"),"",IF(AND(OR(F147="On Hold",ISNUMBER(VALUE(LEFT(H147,2)))),AY147=""),"Reason not given","")))</f>
        <v/>
      </c>
      <c r="BA147" s="30"/>
    </row>
    <row r="148" customFormat="false" ht="19.5" hidden="false" customHeight="true" outlineLevel="0" collapsed="false">
      <c r="A148" s="28" t="str">
        <f aca="false">IF($C148="","",COUNTA($C$17:$C148))</f>
        <v/>
      </c>
      <c r="B148" s="29"/>
      <c r="C148" s="30"/>
      <c r="D148" s="29"/>
      <c r="E148" s="31" t="str">
        <f aca="false">IF($C148="","",IF(NOT(OR(M148="Completed",M148="NA",M148="Cancelled")),"S1 Schematic",IF(NOT(OR(R148="Completed",R148="NA",R148="Cancelled")),"S2 PCB Layout",IF(NOT(OR(W148="Completed",W148="NA",W148="Cancelled")),"S3 SI &amp; PI",IF(NOT(OR(AB148="Completed",AB148="NA",AB148="Cancelled")),"S4 Bare-PCB Fab",IF(NOT(OR(AG148="Completed",AG148="NA",AG148="Cancelled")),"S5 Assembly",IF(NOT(OR(AL148="Completed",AL148="NA",AL148="Cancelled")),"S6 Bring-up",IF(NOT(OR(AQ148="Completed",AQ148="NA",AQ148="Cancelled")),"S7 BOM Procurement","All Stages Closed"))))))))</f>
        <v/>
      </c>
      <c r="F148" s="32" t="str">
        <f aca="false">IF($C148="","",IF(COUNTIF(M148,"Cancelled")+COUNTIF(R148,"Cancelled")+COUNTIF(W148,"Cancelled")+COUNTIF(AB148,"Cancelled")+COUNTIF(AG148,"Cancelled")+COUNTIF(AL148,"Cancelled")+COUNTIF(AQ148,"Cancelled")&gt;0,"Cancelled",IF(E148="All Stages Closed","Completed",IF(E148="S1 Schematic",M148,IF(E148="S2 PCB Layout",R148,IF(E148="S3 SI &amp; PI",W148,IF(E148="S4 Bare-PCB Fab",AB148,IF(E148="S5 Assembly",AG148,IF(E148="S6 Bring-up",AL148,AQ148)))))))))</f>
        <v/>
      </c>
      <c r="G148" s="33" t="str">
        <f aca="false">IF($C148="","",IF(E148="All Stages Closed","",IF(E148="S1 Schematic",IF(N148="","Not added",N148),IF(E148="S2 PCB Layout",IF(S148="","Not added",S148),IF(E148="S3 SI &amp; PI",IF(X148="","Not added",X148),IF(E148="S4 Bare-PCB Fab",IF(AC148="","Not added",AC148),IF(E148="S5 Assembly",IF(AH148="","Not added",AH148),IF(E148="S6 Bring-up",IF(AM148="","Not added",AM148),IF(AR148="","Not added",AR148)))))))))</f>
        <v/>
      </c>
      <c r="H148" s="32" t="str">
        <f aca="true">IF($C148="","",IF(OR(F148="Completed",F148="Cancelled"),"",IF(NOT(ISNUMBER(G148)),"No date set",IF(TODAY()&gt;G148,TODAY()-G148&amp;" days late",G148-TODAY()&amp;" days left"))))</f>
        <v/>
      </c>
      <c r="I148" s="31" t="str">
        <f aca="false">IF($C148="","",COUNTIF(M148,"Completed")+COUNTIF(R148,"Completed")+COUNTIF(W148,"Completed")+COUNTIF(AB148,"Completed")+COUNTIF(AG148,"Completed")+COUNTIF(AL148,"Completed")+COUNTIF(AQ148,"Completed"))</f>
        <v/>
      </c>
      <c r="J148" s="31" t="str">
        <f aca="false">IF($C148="","",7-(COUNTIF(M148,"NA")+COUNTIF(R148,"NA")+COUNTIF(W148,"NA")+COUNTIF(AB148,"NA")+COUNTIF(AG148,"NA")+COUNTIF(AL148,"NA")+COUNTIF(AQ148,"NA")))</f>
        <v/>
      </c>
      <c r="K148" s="34" t="str">
        <f aca="false">IFERROR(I148/J148,"")</f>
        <v/>
      </c>
      <c r="L148" s="29"/>
      <c r="M148" s="35"/>
      <c r="N148" s="36"/>
      <c r="O148" s="36"/>
      <c r="P148" s="30"/>
      <c r="Q148" s="29"/>
      <c r="R148" s="35"/>
      <c r="S148" s="36"/>
      <c r="T148" s="36"/>
      <c r="U148" s="30"/>
      <c r="V148" s="29"/>
      <c r="W148" s="35"/>
      <c r="X148" s="36"/>
      <c r="Y148" s="36"/>
      <c r="Z148" s="30"/>
      <c r="AA148" s="29"/>
      <c r="AB148" s="35"/>
      <c r="AC148" s="36"/>
      <c r="AD148" s="36"/>
      <c r="AE148" s="30"/>
      <c r="AF148" s="29"/>
      <c r="AG148" s="35"/>
      <c r="AH148" s="36"/>
      <c r="AI148" s="36"/>
      <c r="AJ148" s="30"/>
      <c r="AK148" s="29"/>
      <c r="AL148" s="35"/>
      <c r="AM148" s="36"/>
      <c r="AN148" s="36"/>
      <c r="AO148" s="30"/>
      <c r="AP148" s="29"/>
      <c r="AQ148" s="35"/>
      <c r="AR148" s="36"/>
      <c r="AS148" s="36"/>
      <c r="AT148" s="30"/>
      <c r="AU148" s="29"/>
      <c r="AV148" s="29"/>
      <c r="AW148" s="29"/>
      <c r="AX148" s="37"/>
      <c r="AY148" s="29"/>
      <c r="AZ148" s="38" t="str">
        <f aca="false">IF($C148="","",IF(OR(F148="Completed",F148="Cancelled"),"",IF(AND(OR(F148="On Hold",ISNUMBER(VALUE(LEFT(H148,2)))),AY148=""),"Reason not given","")))</f>
        <v/>
      </c>
      <c r="BA148" s="30"/>
    </row>
    <row r="149" customFormat="false" ht="19.5" hidden="false" customHeight="true" outlineLevel="0" collapsed="false">
      <c r="A149" s="28" t="str">
        <f aca="false">IF($C149="","",COUNTA($C$17:$C149))</f>
        <v/>
      </c>
      <c r="B149" s="29"/>
      <c r="C149" s="30"/>
      <c r="D149" s="29"/>
      <c r="E149" s="31" t="str">
        <f aca="false">IF($C149="","",IF(NOT(OR(M149="Completed",M149="NA",M149="Cancelled")),"S1 Schematic",IF(NOT(OR(R149="Completed",R149="NA",R149="Cancelled")),"S2 PCB Layout",IF(NOT(OR(W149="Completed",W149="NA",W149="Cancelled")),"S3 SI &amp; PI",IF(NOT(OR(AB149="Completed",AB149="NA",AB149="Cancelled")),"S4 Bare-PCB Fab",IF(NOT(OR(AG149="Completed",AG149="NA",AG149="Cancelled")),"S5 Assembly",IF(NOT(OR(AL149="Completed",AL149="NA",AL149="Cancelled")),"S6 Bring-up",IF(NOT(OR(AQ149="Completed",AQ149="NA",AQ149="Cancelled")),"S7 BOM Procurement","All Stages Closed"))))))))</f>
        <v/>
      </c>
      <c r="F149" s="32" t="str">
        <f aca="false">IF($C149="","",IF(COUNTIF(M149,"Cancelled")+COUNTIF(R149,"Cancelled")+COUNTIF(W149,"Cancelled")+COUNTIF(AB149,"Cancelled")+COUNTIF(AG149,"Cancelled")+COUNTIF(AL149,"Cancelled")+COUNTIF(AQ149,"Cancelled")&gt;0,"Cancelled",IF(E149="All Stages Closed","Completed",IF(E149="S1 Schematic",M149,IF(E149="S2 PCB Layout",R149,IF(E149="S3 SI &amp; PI",W149,IF(E149="S4 Bare-PCB Fab",AB149,IF(E149="S5 Assembly",AG149,IF(E149="S6 Bring-up",AL149,AQ149)))))))))</f>
        <v/>
      </c>
      <c r="G149" s="33" t="str">
        <f aca="false">IF($C149="","",IF(E149="All Stages Closed","",IF(E149="S1 Schematic",IF(N149="","Not added",N149),IF(E149="S2 PCB Layout",IF(S149="","Not added",S149),IF(E149="S3 SI &amp; PI",IF(X149="","Not added",X149),IF(E149="S4 Bare-PCB Fab",IF(AC149="","Not added",AC149),IF(E149="S5 Assembly",IF(AH149="","Not added",AH149),IF(E149="S6 Bring-up",IF(AM149="","Not added",AM149),IF(AR149="","Not added",AR149)))))))))</f>
        <v/>
      </c>
      <c r="H149" s="32" t="str">
        <f aca="true">IF($C149="","",IF(OR(F149="Completed",F149="Cancelled"),"",IF(NOT(ISNUMBER(G149)),"No date set",IF(TODAY()&gt;G149,TODAY()-G149&amp;" days late",G149-TODAY()&amp;" days left"))))</f>
        <v/>
      </c>
      <c r="I149" s="31" t="str">
        <f aca="false">IF($C149="","",COUNTIF(M149,"Completed")+COUNTIF(R149,"Completed")+COUNTIF(W149,"Completed")+COUNTIF(AB149,"Completed")+COUNTIF(AG149,"Completed")+COUNTIF(AL149,"Completed")+COUNTIF(AQ149,"Completed"))</f>
        <v/>
      </c>
      <c r="J149" s="31" t="str">
        <f aca="false">IF($C149="","",7-(COUNTIF(M149,"NA")+COUNTIF(R149,"NA")+COUNTIF(W149,"NA")+COUNTIF(AB149,"NA")+COUNTIF(AG149,"NA")+COUNTIF(AL149,"NA")+COUNTIF(AQ149,"NA")))</f>
        <v/>
      </c>
      <c r="K149" s="34" t="str">
        <f aca="false">IFERROR(I149/J149,"")</f>
        <v/>
      </c>
      <c r="L149" s="29"/>
      <c r="M149" s="35"/>
      <c r="N149" s="36"/>
      <c r="O149" s="36"/>
      <c r="P149" s="30"/>
      <c r="Q149" s="29"/>
      <c r="R149" s="35"/>
      <c r="S149" s="36"/>
      <c r="T149" s="36"/>
      <c r="U149" s="30"/>
      <c r="V149" s="29"/>
      <c r="W149" s="35"/>
      <c r="X149" s="36"/>
      <c r="Y149" s="36"/>
      <c r="Z149" s="30"/>
      <c r="AA149" s="29"/>
      <c r="AB149" s="35"/>
      <c r="AC149" s="36"/>
      <c r="AD149" s="36"/>
      <c r="AE149" s="30"/>
      <c r="AF149" s="29"/>
      <c r="AG149" s="35"/>
      <c r="AH149" s="36"/>
      <c r="AI149" s="36"/>
      <c r="AJ149" s="30"/>
      <c r="AK149" s="29"/>
      <c r="AL149" s="35"/>
      <c r="AM149" s="36"/>
      <c r="AN149" s="36"/>
      <c r="AO149" s="30"/>
      <c r="AP149" s="29"/>
      <c r="AQ149" s="35"/>
      <c r="AR149" s="36"/>
      <c r="AS149" s="36"/>
      <c r="AT149" s="30"/>
      <c r="AU149" s="29"/>
      <c r="AV149" s="29"/>
      <c r="AW149" s="29"/>
      <c r="AX149" s="37"/>
      <c r="AY149" s="29"/>
      <c r="AZ149" s="38" t="str">
        <f aca="false">IF($C149="","",IF(OR(F149="Completed",F149="Cancelled"),"",IF(AND(OR(F149="On Hold",ISNUMBER(VALUE(LEFT(H149,2)))),AY149=""),"Reason not given","")))</f>
        <v/>
      </c>
      <c r="BA149" s="30"/>
    </row>
    <row r="150" customFormat="false" ht="19.5" hidden="false" customHeight="true" outlineLevel="0" collapsed="false">
      <c r="A150" s="28" t="str">
        <f aca="false">IF($C150="","",COUNTA($C$17:$C150))</f>
        <v/>
      </c>
      <c r="B150" s="29"/>
      <c r="C150" s="30"/>
      <c r="D150" s="29"/>
      <c r="E150" s="31" t="str">
        <f aca="false">IF($C150="","",IF(NOT(OR(M150="Completed",M150="NA",M150="Cancelled")),"S1 Schematic",IF(NOT(OR(R150="Completed",R150="NA",R150="Cancelled")),"S2 PCB Layout",IF(NOT(OR(W150="Completed",W150="NA",W150="Cancelled")),"S3 SI &amp; PI",IF(NOT(OR(AB150="Completed",AB150="NA",AB150="Cancelled")),"S4 Bare-PCB Fab",IF(NOT(OR(AG150="Completed",AG150="NA",AG150="Cancelled")),"S5 Assembly",IF(NOT(OR(AL150="Completed",AL150="NA",AL150="Cancelled")),"S6 Bring-up",IF(NOT(OR(AQ150="Completed",AQ150="NA",AQ150="Cancelled")),"S7 BOM Procurement","All Stages Closed"))))))))</f>
        <v/>
      </c>
      <c r="F150" s="32" t="str">
        <f aca="false">IF($C150="","",IF(COUNTIF(M150,"Cancelled")+COUNTIF(R150,"Cancelled")+COUNTIF(W150,"Cancelled")+COUNTIF(AB150,"Cancelled")+COUNTIF(AG150,"Cancelled")+COUNTIF(AL150,"Cancelled")+COUNTIF(AQ150,"Cancelled")&gt;0,"Cancelled",IF(E150="All Stages Closed","Completed",IF(E150="S1 Schematic",M150,IF(E150="S2 PCB Layout",R150,IF(E150="S3 SI &amp; PI",W150,IF(E150="S4 Bare-PCB Fab",AB150,IF(E150="S5 Assembly",AG150,IF(E150="S6 Bring-up",AL150,AQ150)))))))))</f>
        <v/>
      </c>
      <c r="G150" s="33" t="str">
        <f aca="false">IF($C150="","",IF(E150="All Stages Closed","",IF(E150="S1 Schematic",IF(N150="","Not added",N150),IF(E150="S2 PCB Layout",IF(S150="","Not added",S150),IF(E150="S3 SI &amp; PI",IF(X150="","Not added",X150),IF(E150="S4 Bare-PCB Fab",IF(AC150="","Not added",AC150),IF(E150="S5 Assembly",IF(AH150="","Not added",AH150),IF(E150="S6 Bring-up",IF(AM150="","Not added",AM150),IF(AR150="","Not added",AR150)))))))))</f>
        <v/>
      </c>
      <c r="H150" s="32" t="str">
        <f aca="true">IF($C150="","",IF(OR(F150="Completed",F150="Cancelled"),"",IF(NOT(ISNUMBER(G150)),"No date set",IF(TODAY()&gt;G150,TODAY()-G150&amp;" days late",G150-TODAY()&amp;" days left"))))</f>
        <v/>
      </c>
      <c r="I150" s="31" t="str">
        <f aca="false">IF($C150="","",COUNTIF(M150,"Completed")+COUNTIF(R150,"Completed")+COUNTIF(W150,"Completed")+COUNTIF(AB150,"Completed")+COUNTIF(AG150,"Completed")+COUNTIF(AL150,"Completed")+COUNTIF(AQ150,"Completed"))</f>
        <v/>
      </c>
      <c r="J150" s="31" t="str">
        <f aca="false">IF($C150="","",7-(COUNTIF(M150,"NA")+COUNTIF(R150,"NA")+COUNTIF(W150,"NA")+COUNTIF(AB150,"NA")+COUNTIF(AG150,"NA")+COUNTIF(AL150,"NA")+COUNTIF(AQ150,"NA")))</f>
        <v/>
      </c>
      <c r="K150" s="34" t="str">
        <f aca="false">IFERROR(I150/J150,"")</f>
        <v/>
      </c>
      <c r="L150" s="29"/>
      <c r="M150" s="35"/>
      <c r="N150" s="36"/>
      <c r="O150" s="36"/>
      <c r="P150" s="30"/>
      <c r="Q150" s="29"/>
      <c r="R150" s="35"/>
      <c r="S150" s="36"/>
      <c r="T150" s="36"/>
      <c r="U150" s="30"/>
      <c r="V150" s="29"/>
      <c r="W150" s="35"/>
      <c r="X150" s="36"/>
      <c r="Y150" s="36"/>
      <c r="Z150" s="30"/>
      <c r="AA150" s="29"/>
      <c r="AB150" s="35"/>
      <c r="AC150" s="36"/>
      <c r="AD150" s="36"/>
      <c r="AE150" s="30"/>
      <c r="AF150" s="29"/>
      <c r="AG150" s="35"/>
      <c r="AH150" s="36"/>
      <c r="AI150" s="36"/>
      <c r="AJ150" s="30"/>
      <c r="AK150" s="29"/>
      <c r="AL150" s="35"/>
      <c r="AM150" s="36"/>
      <c r="AN150" s="36"/>
      <c r="AO150" s="30"/>
      <c r="AP150" s="29"/>
      <c r="AQ150" s="35"/>
      <c r="AR150" s="36"/>
      <c r="AS150" s="36"/>
      <c r="AT150" s="30"/>
      <c r="AU150" s="29"/>
      <c r="AV150" s="29"/>
      <c r="AW150" s="29"/>
      <c r="AX150" s="37"/>
      <c r="AY150" s="29"/>
      <c r="AZ150" s="38" t="str">
        <f aca="false">IF($C150="","",IF(OR(F150="Completed",F150="Cancelled"),"",IF(AND(OR(F150="On Hold",ISNUMBER(VALUE(LEFT(H150,2)))),AY150=""),"Reason not given","")))</f>
        <v/>
      </c>
      <c r="BA150" s="30"/>
    </row>
    <row r="151" customFormat="false" ht="19.5" hidden="false" customHeight="true" outlineLevel="0" collapsed="false">
      <c r="A151" s="28" t="str">
        <f aca="false">IF($C151="","",COUNTA($C$17:$C151))</f>
        <v/>
      </c>
      <c r="B151" s="29"/>
      <c r="C151" s="30"/>
      <c r="D151" s="29"/>
      <c r="E151" s="31" t="str">
        <f aca="false">IF($C151="","",IF(NOT(OR(M151="Completed",M151="NA",M151="Cancelled")),"S1 Schematic",IF(NOT(OR(R151="Completed",R151="NA",R151="Cancelled")),"S2 PCB Layout",IF(NOT(OR(W151="Completed",W151="NA",W151="Cancelled")),"S3 SI &amp; PI",IF(NOT(OR(AB151="Completed",AB151="NA",AB151="Cancelled")),"S4 Bare-PCB Fab",IF(NOT(OR(AG151="Completed",AG151="NA",AG151="Cancelled")),"S5 Assembly",IF(NOT(OR(AL151="Completed",AL151="NA",AL151="Cancelled")),"S6 Bring-up",IF(NOT(OR(AQ151="Completed",AQ151="NA",AQ151="Cancelled")),"S7 BOM Procurement","All Stages Closed"))))))))</f>
        <v/>
      </c>
      <c r="F151" s="32" t="str">
        <f aca="false">IF($C151="","",IF(COUNTIF(M151,"Cancelled")+COUNTIF(R151,"Cancelled")+COUNTIF(W151,"Cancelled")+COUNTIF(AB151,"Cancelled")+COUNTIF(AG151,"Cancelled")+COUNTIF(AL151,"Cancelled")+COUNTIF(AQ151,"Cancelled")&gt;0,"Cancelled",IF(E151="All Stages Closed","Completed",IF(E151="S1 Schematic",M151,IF(E151="S2 PCB Layout",R151,IF(E151="S3 SI &amp; PI",W151,IF(E151="S4 Bare-PCB Fab",AB151,IF(E151="S5 Assembly",AG151,IF(E151="S6 Bring-up",AL151,AQ151)))))))))</f>
        <v/>
      </c>
      <c r="G151" s="33" t="str">
        <f aca="false">IF($C151="","",IF(E151="All Stages Closed","",IF(E151="S1 Schematic",IF(N151="","Not added",N151),IF(E151="S2 PCB Layout",IF(S151="","Not added",S151),IF(E151="S3 SI &amp; PI",IF(X151="","Not added",X151),IF(E151="S4 Bare-PCB Fab",IF(AC151="","Not added",AC151),IF(E151="S5 Assembly",IF(AH151="","Not added",AH151),IF(E151="S6 Bring-up",IF(AM151="","Not added",AM151),IF(AR151="","Not added",AR151)))))))))</f>
        <v/>
      </c>
      <c r="H151" s="32" t="str">
        <f aca="true">IF($C151="","",IF(OR(F151="Completed",F151="Cancelled"),"",IF(NOT(ISNUMBER(G151)),"No date set",IF(TODAY()&gt;G151,TODAY()-G151&amp;" days late",G151-TODAY()&amp;" days left"))))</f>
        <v/>
      </c>
      <c r="I151" s="31" t="str">
        <f aca="false">IF($C151="","",COUNTIF(M151,"Completed")+COUNTIF(R151,"Completed")+COUNTIF(W151,"Completed")+COUNTIF(AB151,"Completed")+COUNTIF(AG151,"Completed")+COUNTIF(AL151,"Completed")+COUNTIF(AQ151,"Completed"))</f>
        <v/>
      </c>
      <c r="J151" s="31" t="str">
        <f aca="false">IF($C151="","",7-(COUNTIF(M151,"NA")+COUNTIF(R151,"NA")+COUNTIF(W151,"NA")+COUNTIF(AB151,"NA")+COUNTIF(AG151,"NA")+COUNTIF(AL151,"NA")+COUNTIF(AQ151,"NA")))</f>
        <v/>
      </c>
      <c r="K151" s="34" t="str">
        <f aca="false">IFERROR(I151/J151,"")</f>
        <v/>
      </c>
      <c r="L151" s="29"/>
      <c r="M151" s="35"/>
      <c r="N151" s="36"/>
      <c r="O151" s="36"/>
      <c r="P151" s="30"/>
      <c r="Q151" s="29"/>
      <c r="R151" s="35"/>
      <c r="S151" s="36"/>
      <c r="T151" s="36"/>
      <c r="U151" s="30"/>
      <c r="V151" s="29"/>
      <c r="W151" s="35"/>
      <c r="X151" s="36"/>
      <c r="Y151" s="36"/>
      <c r="Z151" s="30"/>
      <c r="AA151" s="29"/>
      <c r="AB151" s="35"/>
      <c r="AC151" s="36"/>
      <c r="AD151" s="36"/>
      <c r="AE151" s="30"/>
      <c r="AF151" s="29"/>
      <c r="AG151" s="35"/>
      <c r="AH151" s="36"/>
      <c r="AI151" s="36"/>
      <c r="AJ151" s="30"/>
      <c r="AK151" s="29"/>
      <c r="AL151" s="35"/>
      <c r="AM151" s="36"/>
      <c r="AN151" s="36"/>
      <c r="AO151" s="30"/>
      <c r="AP151" s="29"/>
      <c r="AQ151" s="35"/>
      <c r="AR151" s="36"/>
      <c r="AS151" s="36"/>
      <c r="AT151" s="30"/>
      <c r="AU151" s="29"/>
      <c r="AV151" s="29"/>
      <c r="AW151" s="29"/>
      <c r="AX151" s="37"/>
      <c r="AY151" s="29"/>
      <c r="AZ151" s="38" t="str">
        <f aca="false">IF($C151="","",IF(OR(F151="Completed",F151="Cancelled"),"",IF(AND(OR(F151="On Hold",ISNUMBER(VALUE(LEFT(H151,2)))),AY151=""),"Reason not given","")))</f>
        <v/>
      </c>
      <c r="BA151" s="30"/>
    </row>
    <row r="152" customFormat="false" ht="19.5" hidden="false" customHeight="true" outlineLevel="0" collapsed="false">
      <c r="A152" s="28" t="str">
        <f aca="false">IF($C152="","",COUNTA($C$17:$C152))</f>
        <v/>
      </c>
      <c r="B152" s="29"/>
      <c r="C152" s="30"/>
      <c r="D152" s="29"/>
      <c r="E152" s="31" t="str">
        <f aca="false">IF($C152="","",IF(NOT(OR(M152="Completed",M152="NA",M152="Cancelled")),"S1 Schematic",IF(NOT(OR(R152="Completed",R152="NA",R152="Cancelled")),"S2 PCB Layout",IF(NOT(OR(W152="Completed",W152="NA",W152="Cancelled")),"S3 SI &amp; PI",IF(NOT(OR(AB152="Completed",AB152="NA",AB152="Cancelled")),"S4 Bare-PCB Fab",IF(NOT(OR(AG152="Completed",AG152="NA",AG152="Cancelled")),"S5 Assembly",IF(NOT(OR(AL152="Completed",AL152="NA",AL152="Cancelled")),"S6 Bring-up",IF(NOT(OR(AQ152="Completed",AQ152="NA",AQ152="Cancelled")),"S7 BOM Procurement","All Stages Closed"))))))))</f>
        <v/>
      </c>
      <c r="F152" s="32" t="str">
        <f aca="false">IF($C152="","",IF(COUNTIF(M152,"Cancelled")+COUNTIF(R152,"Cancelled")+COUNTIF(W152,"Cancelled")+COUNTIF(AB152,"Cancelled")+COUNTIF(AG152,"Cancelled")+COUNTIF(AL152,"Cancelled")+COUNTIF(AQ152,"Cancelled")&gt;0,"Cancelled",IF(E152="All Stages Closed","Completed",IF(E152="S1 Schematic",M152,IF(E152="S2 PCB Layout",R152,IF(E152="S3 SI &amp; PI",W152,IF(E152="S4 Bare-PCB Fab",AB152,IF(E152="S5 Assembly",AG152,IF(E152="S6 Bring-up",AL152,AQ152)))))))))</f>
        <v/>
      </c>
      <c r="G152" s="33" t="str">
        <f aca="false">IF($C152="","",IF(E152="All Stages Closed","",IF(E152="S1 Schematic",IF(N152="","Not added",N152),IF(E152="S2 PCB Layout",IF(S152="","Not added",S152),IF(E152="S3 SI &amp; PI",IF(X152="","Not added",X152),IF(E152="S4 Bare-PCB Fab",IF(AC152="","Not added",AC152),IF(E152="S5 Assembly",IF(AH152="","Not added",AH152),IF(E152="S6 Bring-up",IF(AM152="","Not added",AM152),IF(AR152="","Not added",AR152)))))))))</f>
        <v/>
      </c>
      <c r="H152" s="32" t="str">
        <f aca="true">IF($C152="","",IF(OR(F152="Completed",F152="Cancelled"),"",IF(NOT(ISNUMBER(G152)),"No date set",IF(TODAY()&gt;G152,TODAY()-G152&amp;" days late",G152-TODAY()&amp;" days left"))))</f>
        <v/>
      </c>
      <c r="I152" s="31" t="str">
        <f aca="false">IF($C152="","",COUNTIF(M152,"Completed")+COUNTIF(R152,"Completed")+COUNTIF(W152,"Completed")+COUNTIF(AB152,"Completed")+COUNTIF(AG152,"Completed")+COUNTIF(AL152,"Completed")+COUNTIF(AQ152,"Completed"))</f>
        <v/>
      </c>
      <c r="J152" s="31" t="str">
        <f aca="false">IF($C152="","",7-(COUNTIF(M152,"NA")+COUNTIF(R152,"NA")+COUNTIF(W152,"NA")+COUNTIF(AB152,"NA")+COUNTIF(AG152,"NA")+COUNTIF(AL152,"NA")+COUNTIF(AQ152,"NA")))</f>
        <v/>
      </c>
      <c r="K152" s="34" t="str">
        <f aca="false">IFERROR(I152/J152,"")</f>
        <v/>
      </c>
      <c r="L152" s="29"/>
      <c r="M152" s="35"/>
      <c r="N152" s="36"/>
      <c r="O152" s="36"/>
      <c r="P152" s="30"/>
      <c r="Q152" s="29"/>
      <c r="R152" s="35"/>
      <c r="S152" s="36"/>
      <c r="T152" s="36"/>
      <c r="U152" s="30"/>
      <c r="V152" s="29"/>
      <c r="W152" s="35"/>
      <c r="X152" s="36"/>
      <c r="Y152" s="36"/>
      <c r="Z152" s="30"/>
      <c r="AA152" s="29"/>
      <c r="AB152" s="35"/>
      <c r="AC152" s="36"/>
      <c r="AD152" s="36"/>
      <c r="AE152" s="30"/>
      <c r="AF152" s="29"/>
      <c r="AG152" s="35"/>
      <c r="AH152" s="36"/>
      <c r="AI152" s="36"/>
      <c r="AJ152" s="30"/>
      <c r="AK152" s="29"/>
      <c r="AL152" s="35"/>
      <c r="AM152" s="36"/>
      <c r="AN152" s="36"/>
      <c r="AO152" s="30"/>
      <c r="AP152" s="29"/>
      <c r="AQ152" s="35"/>
      <c r="AR152" s="36"/>
      <c r="AS152" s="36"/>
      <c r="AT152" s="30"/>
      <c r="AU152" s="29"/>
      <c r="AV152" s="29"/>
      <c r="AW152" s="29"/>
      <c r="AX152" s="37"/>
      <c r="AY152" s="29"/>
      <c r="AZ152" s="38" t="str">
        <f aca="false">IF($C152="","",IF(OR(F152="Completed",F152="Cancelled"),"",IF(AND(OR(F152="On Hold",ISNUMBER(VALUE(LEFT(H152,2)))),AY152=""),"Reason not given","")))</f>
        <v/>
      </c>
      <c r="BA152" s="30"/>
    </row>
    <row r="153" customFormat="false" ht="19.5" hidden="false" customHeight="true" outlineLevel="0" collapsed="false">
      <c r="A153" s="28" t="str">
        <f aca="false">IF($C153="","",COUNTA($C$17:$C153))</f>
        <v/>
      </c>
      <c r="B153" s="29"/>
      <c r="C153" s="30"/>
      <c r="D153" s="29"/>
      <c r="E153" s="31" t="str">
        <f aca="false">IF($C153="","",IF(NOT(OR(M153="Completed",M153="NA",M153="Cancelled")),"S1 Schematic",IF(NOT(OR(R153="Completed",R153="NA",R153="Cancelled")),"S2 PCB Layout",IF(NOT(OR(W153="Completed",W153="NA",W153="Cancelled")),"S3 SI &amp; PI",IF(NOT(OR(AB153="Completed",AB153="NA",AB153="Cancelled")),"S4 Bare-PCB Fab",IF(NOT(OR(AG153="Completed",AG153="NA",AG153="Cancelled")),"S5 Assembly",IF(NOT(OR(AL153="Completed",AL153="NA",AL153="Cancelled")),"S6 Bring-up",IF(NOT(OR(AQ153="Completed",AQ153="NA",AQ153="Cancelled")),"S7 BOM Procurement","All Stages Closed"))))))))</f>
        <v/>
      </c>
      <c r="F153" s="32" t="str">
        <f aca="false">IF($C153="","",IF(COUNTIF(M153,"Cancelled")+COUNTIF(R153,"Cancelled")+COUNTIF(W153,"Cancelled")+COUNTIF(AB153,"Cancelled")+COUNTIF(AG153,"Cancelled")+COUNTIF(AL153,"Cancelled")+COUNTIF(AQ153,"Cancelled")&gt;0,"Cancelled",IF(E153="All Stages Closed","Completed",IF(E153="S1 Schematic",M153,IF(E153="S2 PCB Layout",R153,IF(E153="S3 SI &amp; PI",W153,IF(E153="S4 Bare-PCB Fab",AB153,IF(E153="S5 Assembly",AG153,IF(E153="S6 Bring-up",AL153,AQ153)))))))))</f>
        <v/>
      </c>
      <c r="G153" s="33" t="str">
        <f aca="false">IF($C153="","",IF(E153="All Stages Closed","",IF(E153="S1 Schematic",IF(N153="","Not added",N153),IF(E153="S2 PCB Layout",IF(S153="","Not added",S153),IF(E153="S3 SI &amp; PI",IF(X153="","Not added",X153),IF(E153="S4 Bare-PCB Fab",IF(AC153="","Not added",AC153),IF(E153="S5 Assembly",IF(AH153="","Not added",AH153),IF(E153="S6 Bring-up",IF(AM153="","Not added",AM153),IF(AR153="","Not added",AR153)))))))))</f>
        <v/>
      </c>
      <c r="H153" s="32" t="str">
        <f aca="true">IF($C153="","",IF(OR(F153="Completed",F153="Cancelled"),"",IF(NOT(ISNUMBER(G153)),"No date set",IF(TODAY()&gt;G153,TODAY()-G153&amp;" days late",G153-TODAY()&amp;" days left"))))</f>
        <v/>
      </c>
      <c r="I153" s="31" t="str">
        <f aca="false">IF($C153="","",COUNTIF(M153,"Completed")+COUNTIF(R153,"Completed")+COUNTIF(W153,"Completed")+COUNTIF(AB153,"Completed")+COUNTIF(AG153,"Completed")+COUNTIF(AL153,"Completed")+COUNTIF(AQ153,"Completed"))</f>
        <v/>
      </c>
      <c r="J153" s="31" t="str">
        <f aca="false">IF($C153="","",7-(COUNTIF(M153,"NA")+COUNTIF(R153,"NA")+COUNTIF(W153,"NA")+COUNTIF(AB153,"NA")+COUNTIF(AG153,"NA")+COUNTIF(AL153,"NA")+COUNTIF(AQ153,"NA")))</f>
        <v/>
      </c>
      <c r="K153" s="34" t="str">
        <f aca="false">IFERROR(I153/J153,"")</f>
        <v/>
      </c>
      <c r="L153" s="29"/>
      <c r="M153" s="35"/>
      <c r="N153" s="36"/>
      <c r="O153" s="36"/>
      <c r="P153" s="30"/>
      <c r="Q153" s="29"/>
      <c r="R153" s="35"/>
      <c r="S153" s="36"/>
      <c r="T153" s="36"/>
      <c r="U153" s="30"/>
      <c r="V153" s="29"/>
      <c r="W153" s="35"/>
      <c r="X153" s="36"/>
      <c r="Y153" s="36"/>
      <c r="Z153" s="30"/>
      <c r="AA153" s="29"/>
      <c r="AB153" s="35"/>
      <c r="AC153" s="36"/>
      <c r="AD153" s="36"/>
      <c r="AE153" s="30"/>
      <c r="AF153" s="29"/>
      <c r="AG153" s="35"/>
      <c r="AH153" s="36"/>
      <c r="AI153" s="36"/>
      <c r="AJ153" s="30"/>
      <c r="AK153" s="29"/>
      <c r="AL153" s="35"/>
      <c r="AM153" s="36"/>
      <c r="AN153" s="36"/>
      <c r="AO153" s="30"/>
      <c r="AP153" s="29"/>
      <c r="AQ153" s="35"/>
      <c r="AR153" s="36"/>
      <c r="AS153" s="36"/>
      <c r="AT153" s="30"/>
      <c r="AU153" s="29"/>
      <c r="AV153" s="29"/>
      <c r="AW153" s="29"/>
      <c r="AX153" s="37"/>
      <c r="AY153" s="29"/>
      <c r="AZ153" s="38" t="str">
        <f aca="false">IF($C153="","",IF(OR(F153="Completed",F153="Cancelled"),"",IF(AND(OR(F153="On Hold",ISNUMBER(VALUE(LEFT(H153,2)))),AY153=""),"Reason not given","")))</f>
        <v/>
      </c>
      <c r="BA153" s="30"/>
    </row>
    <row r="154" customFormat="false" ht="19.5" hidden="false" customHeight="true" outlineLevel="0" collapsed="false">
      <c r="A154" s="28" t="str">
        <f aca="false">IF($C154="","",COUNTA($C$17:$C154))</f>
        <v/>
      </c>
      <c r="B154" s="29"/>
      <c r="C154" s="30"/>
      <c r="D154" s="29"/>
      <c r="E154" s="31" t="str">
        <f aca="false">IF($C154="","",IF(NOT(OR(M154="Completed",M154="NA",M154="Cancelled")),"S1 Schematic",IF(NOT(OR(R154="Completed",R154="NA",R154="Cancelled")),"S2 PCB Layout",IF(NOT(OR(W154="Completed",W154="NA",W154="Cancelled")),"S3 SI &amp; PI",IF(NOT(OR(AB154="Completed",AB154="NA",AB154="Cancelled")),"S4 Bare-PCB Fab",IF(NOT(OR(AG154="Completed",AG154="NA",AG154="Cancelled")),"S5 Assembly",IF(NOT(OR(AL154="Completed",AL154="NA",AL154="Cancelled")),"S6 Bring-up",IF(NOT(OR(AQ154="Completed",AQ154="NA",AQ154="Cancelled")),"S7 BOM Procurement","All Stages Closed"))))))))</f>
        <v/>
      </c>
      <c r="F154" s="32" t="str">
        <f aca="false">IF($C154="","",IF(COUNTIF(M154,"Cancelled")+COUNTIF(R154,"Cancelled")+COUNTIF(W154,"Cancelled")+COUNTIF(AB154,"Cancelled")+COUNTIF(AG154,"Cancelled")+COUNTIF(AL154,"Cancelled")+COUNTIF(AQ154,"Cancelled")&gt;0,"Cancelled",IF(E154="All Stages Closed","Completed",IF(E154="S1 Schematic",M154,IF(E154="S2 PCB Layout",R154,IF(E154="S3 SI &amp; PI",W154,IF(E154="S4 Bare-PCB Fab",AB154,IF(E154="S5 Assembly",AG154,IF(E154="S6 Bring-up",AL154,AQ154)))))))))</f>
        <v/>
      </c>
      <c r="G154" s="33" t="str">
        <f aca="false">IF($C154="","",IF(E154="All Stages Closed","",IF(E154="S1 Schematic",IF(N154="","Not added",N154),IF(E154="S2 PCB Layout",IF(S154="","Not added",S154),IF(E154="S3 SI &amp; PI",IF(X154="","Not added",X154),IF(E154="S4 Bare-PCB Fab",IF(AC154="","Not added",AC154),IF(E154="S5 Assembly",IF(AH154="","Not added",AH154),IF(E154="S6 Bring-up",IF(AM154="","Not added",AM154),IF(AR154="","Not added",AR154)))))))))</f>
        <v/>
      </c>
      <c r="H154" s="32" t="str">
        <f aca="true">IF($C154="","",IF(OR(F154="Completed",F154="Cancelled"),"",IF(NOT(ISNUMBER(G154)),"No date set",IF(TODAY()&gt;G154,TODAY()-G154&amp;" days late",G154-TODAY()&amp;" days left"))))</f>
        <v/>
      </c>
      <c r="I154" s="31" t="str">
        <f aca="false">IF($C154="","",COUNTIF(M154,"Completed")+COUNTIF(R154,"Completed")+COUNTIF(W154,"Completed")+COUNTIF(AB154,"Completed")+COUNTIF(AG154,"Completed")+COUNTIF(AL154,"Completed")+COUNTIF(AQ154,"Completed"))</f>
        <v/>
      </c>
      <c r="J154" s="31" t="str">
        <f aca="false">IF($C154="","",7-(COUNTIF(M154,"NA")+COUNTIF(R154,"NA")+COUNTIF(W154,"NA")+COUNTIF(AB154,"NA")+COUNTIF(AG154,"NA")+COUNTIF(AL154,"NA")+COUNTIF(AQ154,"NA")))</f>
        <v/>
      </c>
      <c r="K154" s="34" t="str">
        <f aca="false">IFERROR(I154/J154,"")</f>
        <v/>
      </c>
      <c r="L154" s="29"/>
      <c r="M154" s="35"/>
      <c r="N154" s="36"/>
      <c r="O154" s="36"/>
      <c r="P154" s="30"/>
      <c r="Q154" s="29"/>
      <c r="R154" s="35"/>
      <c r="S154" s="36"/>
      <c r="T154" s="36"/>
      <c r="U154" s="30"/>
      <c r="V154" s="29"/>
      <c r="W154" s="35"/>
      <c r="X154" s="36"/>
      <c r="Y154" s="36"/>
      <c r="Z154" s="30"/>
      <c r="AA154" s="29"/>
      <c r="AB154" s="35"/>
      <c r="AC154" s="36"/>
      <c r="AD154" s="36"/>
      <c r="AE154" s="30"/>
      <c r="AF154" s="29"/>
      <c r="AG154" s="35"/>
      <c r="AH154" s="36"/>
      <c r="AI154" s="36"/>
      <c r="AJ154" s="30"/>
      <c r="AK154" s="29"/>
      <c r="AL154" s="35"/>
      <c r="AM154" s="36"/>
      <c r="AN154" s="36"/>
      <c r="AO154" s="30"/>
      <c r="AP154" s="29"/>
      <c r="AQ154" s="35"/>
      <c r="AR154" s="36"/>
      <c r="AS154" s="36"/>
      <c r="AT154" s="30"/>
      <c r="AU154" s="29"/>
      <c r="AV154" s="29"/>
      <c r="AW154" s="29"/>
      <c r="AX154" s="37"/>
      <c r="AY154" s="29"/>
      <c r="AZ154" s="38" t="str">
        <f aca="false">IF($C154="","",IF(OR(F154="Completed",F154="Cancelled"),"",IF(AND(OR(F154="On Hold",ISNUMBER(VALUE(LEFT(H154,2)))),AY154=""),"Reason not given","")))</f>
        <v/>
      </c>
      <c r="BA154" s="30"/>
    </row>
    <row r="155" customFormat="false" ht="19.5" hidden="false" customHeight="true" outlineLevel="0" collapsed="false">
      <c r="A155" s="28" t="str">
        <f aca="false">IF($C155="","",COUNTA($C$17:$C155))</f>
        <v/>
      </c>
      <c r="B155" s="29"/>
      <c r="C155" s="30"/>
      <c r="D155" s="29"/>
      <c r="E155" s="31" t="str">
        <f aca="false">IF($C155="","",IF(NOT(OR(M155="Completed",M155="NA",M155="Cancelled")),"S1 Schematic",IF(NOT(OR(R155="Completed",R155="NA",R155="Cancelled")),"S2 PCB Layout",IF(NOT(OR(W155="Completed",W155="NA",W155="Cancelled")),"S3 SI &amp; PI",IF(NOT(OR(AB155="Completed",AB155="NA",AB155="Cancelled")),"S4 Bare-PCB Fab",IF(NOT(OR(AG155="Completed",AG155="NA",AG155="Cancelled")),"S5 Assembly",IF(NOT(OR(AL155="Completed",AL155="NA",AL155="Cancelled")),"S6 Bring-up",IF(NOT(OR(AQ155="Completed",AQ155="NA",AQ155="Cancelled")),"S7 BOM Procurement","All Stages Closed"))))))))</f>
        <v/>
      </c>
      <c r="F155" s="32" t="str">
        <f aca="false">IF($C155="","",IF(COUNTIF(M155,"Cancelled")+COUNTIF(R155,"Cancelled")+COUNTIF(W155,"Cancelled")+COUNTIF(AB155,"Cancelled")+COUNTIF(AG155,"Cancelled")+COUNTIF(AL155,"Cancelled")+COUNTIF(AQ155,"Cancelled")&gt;0,"Cancelled",IF(E155="All Stages Closed","Completed",IF(E155="S1 Schematic",M155,IF(E155="S2 PCB Layout",R155,IF(E155="S3 SI &amp; PI",W155,IF(E155="S4 Bare-PCB Fab",AB155,IF(E155="S5 Assembly",AG155,IF(E155="S6 Bring-up",AL155,AQ155)))))))))</f>
        <v/>
      </c>
      <c r="G155" s="33" t="str">
        <f aca="false">IF($C155="","",IF(E155="All Stages Closed","",IF(E155="S1 Schematic",IF(N155="","Not added",N155),IF(E155="S2 PCB Layout",IF(S155="","Not added",S155),IF(E155="S3 SI &amp; PI",IF(X155="","Not added",X155),IF(E155="S4 Bare-PCB Fab",IF(AC155="","Not added",AC155),IF(E155="S5 Assembly",IF(AH155="","Not added",AH155),IF(E155="S6 Bring-up",IF(AM155="","Not added",AM155),IF(AR155="","Not added",AR155)))))))))</f>
        <v/>
      </c>
      <c r="H155" s="32" t="str">
        <f aca="true">IF($C155="","",IF(OR(F155="Completed",F155="Cancelled"),"",IF(NOT(ISNUMBER(G155)),"No date set",IF(TODAY()&gt;G155,TODAY()-G155&amp;" days late",G155-TODAY()&amp;" days left"))))</f>
        <v/>
      </c>
      <c r="I155" s="31" t="str">
        <f aca="false">IF($C155="","",COUNTIF(M155,"Completed")+COUNTIF(R155,"Completed")+COUNTIF(W155,"Completed")+COUNTIF(AB155,"Completed")+COUNTIF(AG155,"Completed")+COUNTIF(AL155,"Completed")+COUNTIF(AQ155,"Completed"))</f>
        <v/>
      </c>
      <c r="J155" s="31" t="str">
        <f aca="false">IF($C155="","",7-(COUNTIF(M155,"NA")+COUNTIF(R155,"NA")+COUNTIF(W155,"NA")+COUNTIF(AB155,"NA")+COUNTIF(AG155,"NA")+COUNTIF(AL155,"NA")+COUNTIF(AQ155,"NA")))</f>
        <v/>
      </c>
      <c r="K155" s="34" t="str">
        <f aca="false">IFERROR(I155/J155,"")</f>
        <v/>
      </c>
      <c r="L155" s="29"/>
      <c r="M155" s="35"/>
      <c r="N155" s="36"/>
      <c r="O155" s="36"/>
      <c r="P155" s="30"/>
      <c r="Q155" s="29"/>
      <c r="R155" s="35"/>
      <c r="S155" s="36"/>
      <c r="T155" s="36"/>
      <c r="U155" s="30"/>
      <c r="V155" s="29"/>
      <c r="W155" s="35"/>
      <c r="X155" s="36"/>
      <c r="Y155" s="36"/>
      <c r="Z155" s="30"/>
      <c r="AA155" s="29"/>
      <c r="AB155" s="35"/>
      <c r="AC155" s="36"/>
      <c r="AD155" s="36"/>
      <c r="AE155" s="30"/>
      <c r="AF155" s="29"/>
      <c r="AG155" s="35"/>
      <c r="AH155" s="36"/>
      <c r="AI155" s="36"/>
      <c r="AJ155" s="30"/>
      <c r="AK155" s="29"/>
      <c r="AL155" s="35"/>
      <c r="AM155" s="36"/>
      <c r="AN155" s="36"/>
      <c r="AO155" s="30"/>
      <c r="AP155" s="29"/>
      <c r="AQ155" s="35"/>
      <c r="AR155" s="36"/>
      <c r="AS155" s="36"/>
      <c r="AT155" s="30"/>
      <c r="AU155" s="29"/>
      <c r="AV155" s="29"/>
      <c r="AW155" s="29"/>
      <c r="AX155" s="37"/>
      <c r="AY155" s="29"/>
      <c r="AZ155" s="38" t="str">
        <f aca="false">IF($C155="","",IF(OR(F155="Completed",F155="Cancelled"),"",IF(AND(OR(F155="On Hold",ISNUMBER(VALUE(LEFT(H155,2)))),AY155=""),"Reason not given","")))</f>
        <v/>
      </c>
      <c r="BA155" s="30"/>
    </row>
    <row r="156" customFormat="false" ht="19.5" hidden="false" customHeight="true" outlineLevel="0" collapsed="false">
      <c r="A156" s="28" t="str">
        <f aca="false">IF($C156="","",COUNTA($C$17:$C156))</f>
        <v/>
      </c>
      <c r="B156" s="29"/>
      <c r="C156" s="30"/>
      <c r="D156" s="29"/>
      <c r="E156" s="31" t="str">
        <f aca="false">IF($C156="","",IF(NOT(OR(M156="Completed",M156="NA",M156="Cancelled")),"S1 Schematic",IF(NOT(OR(R156="Completed",R156="NA",R156="Cancelled")),"S2 PCB Layout",IF(NOT(OR(W156="Completed",W156="NA",W156="Cancelled")),"S3 SI &amp; PI",IF(NOT(OR(AB156="Completed",AB156="NA",AB156="Cancelled")),"S4 Bare-PCB Fab",IF(NOT(OR(AG156="Completed",AG156="NA",AG156="Cancelled")),"S5 Assembly",IF(NOT(OR(AL156="Completed",AL156="NA",AL156="Cancelled")),"S6 Bring-up",IF(NOT(OR(AQ156="Completed",AQ156="NA",AQ156="Cancelled")),"S7 BOM Procurement","All Stages Closed"))))))))</f>
        <v/>
      </c>
      <c r="F156" s="32" t="str">
        <f aca="false">IF($C156="","",IF(COUNTIF(M156,"Cancelled")+COUNTIF(R156,"Cancelled")+COUNTIF(W156,"Cancelled")+COUNTIF(AB156,"Cancelled")+COUNTIF(AG156,"Cancelled")+COUNTIF(AL156,"Cancelled")+COUNTIF(AQ156,"Cancelled")&gt;0,"Cancelled",IF(E156="All Stages Closed","Completed",IF(E156="S1 Schematic",M156,IF(E156="S2 PCB Layout",R156,IF(E156="S3 SI &amp; PI",W156,IF(E156="S4 Bare-PCB Fab",AB156,IF(E156="S5 Assembly",AG156,IF(E156="S6 Bring-up",AL156,AQ156)))))))))</f>
        <v/>
      </c>
      <c r="G156" s="33" t="str">
        <f aca="false">IF($C156="","",IF(E156="All Stages Closed","",IF(E156="S1 Schematic",IF(N156="","Not added",N156),IF(E156="S2 PCB Layout",IF(S156="","Not added",S156),IF(E156="S3 SI &amp; PI",IF(X156="","Not added",X156),IF(E156="S4 Bare-PCB Fab",IF(AC156="","Not added",AC156),IF(E156="S5 Assembly",IF(AH156="","Not added",AH156),IF(E156="S6 Bring-up",IF(AM156="","Not added",AM156),IF(AR156="","Not added",AR156)))))))))</f>
        <v/>
      </c>
      <c r="H156" s="32" t="str">
        <f aca="true">IF($C156="","",IF(OR(F156="Completed",F156="Cancelled"),"",IF(NOT(ISNUMBER(G156)),"No date set",IF(TODAY()&gt;G156,TODAY()-G156&amp;" days late",G156-TODAY()&amp;" days left"))))</f>
        <v/>
      </c>
      <c r="I156" s="31" t="str">
        <f aca="false">IF($C156="","",COUNTIF(M156,"Completed")+COUNTIF(R156,"Completed")+COUNTIF(W156,"Completed")+COUNTIF(AB156,"Completed")+COUNTIF(AG156,"Completed")+COUNTIF(AL156,"Completed")+COUNTIF(AQ156,"Completed"))</f>
        <v/>
      </c>
      <c r="J156" s="31" t="str">
        <f aca="false">IF($C156="","",7-(COUNTIF(M156,"NA")+COUNTIF(R156,"NA")+COUNTIF(W156,"NA")+COUNTIF(AB156,"NA")+COUNTIF(AG156,"NA")+COUNTIF(AL156,"NA")+COUNTIF(AQ156,"NA")))</f>
        <v/>
      </c>
      <c r="K156" s="34" t="str">
        <f aca="false">IFERROR(I156/J156,"")</f>
        <v/>
      </c>
      <c r="L156" s="29"/>
      <c r="M156" s="35"/>
      <c r="N156" s="36"/>
      <c r="O156" s="36"/>
      <c r="P156" s="30"/>
      <c r="Q156" s="29"/>
      <c r="R156" s="35"/>
      <c r="S156" s="36"/>
      <c r="T156" s="36"/>
      <c r="U156" s="30"/>
      <c r="V156" s="29"/>
      <c r="W156" s="35"/>
      <c r="X156" s="36"/>
      <c r="Y156" s="36"/>
      <c r="Z156" s="30"/>
      <c r="AA156" s="29"/>
      <c r="AB156" s="35"/>
      <c r="AC156" s="36"/>
      <c r="AD156" s="36"/>
      <c r="AE156" s="30"/>
      <c r="AF156" s="29"/>
      <c r="AG156" s="35"/>
      <c r="AH156" s="36"/>
      <c r="AI156" s="36"/>
      <c r="AJ156" s="30"/>
      <c r="AK156" s="29"/>
      <c r="AL156" s="35"/>
      <c r="AM156" s="36"/>
      <c r="AN156" s="36"/>
      <c r="AO156" s="30"/>
      <c r="AP156" s="29"/>
      <c r="AQ156" s="35"/>
      <c r="AR156" s="36"/>
      <c r="AS156" s="36"/>
      <c r="AT156" s="30"/>
      <c r="AU156" s="29"/>
      <c r="AV156" s="29"/>
      <c r="AW156" s="29"/>
      <c r="AX156" s="37"/>
      <c r="AY156" s="29"/>
      <c r="AZ156" s="38" t="str">
        <f aca="false">IF($C156="","",IF(OR(F156="Completed",F156="Cancelled"),"",IF(AND(OR(F156="On Hold",ISNUMBER(VALUE(LEFT(H156,2)))),AY156=""),"Reason not given","")))</f>
        <v/>
      </c>
      <c r="BA156" s="30"/>
    </row>
    <row r="157" customFormat="false" ht="19.5" hidden="false" customHeight="true" outlineLevel="0" collapsed="false">
      <c r="A157" s="28" t="str">
        <f aca="false">IF($C157="","",COUNTA($C$17:$C157))</f>
        <v/>
      </c>
      <c r="B157" s="29"/>
      <c r="C157" s="30"/>
      <c r="D157" s="29"/>
      <c r="E157" s="31" t="str">
        <f aca="false">IF($C157="","",IF(NOT(OR(M157="Completed",M157="NA",M157="Cancelled")),"S1 Schematic",IF(NOT(OR(R157="Completed",R157="NA",R157="Cancelled")),"S2 PCB Layout",IF(NOT(OR(W157="Completed",W157="NA",W157="Cancelled")),"S3 SI &amp; PI",IF(NOT(OR(AB157="Completed",AB157="NA",AB157="Cancelled")),"S4 Bare-PCB Fab",IF(NOT(OR(AG157="Completed",AG157="NA",AG157="Cancelled")),"S5 Assembly",IF(NOT(OR(AL157="Completed",AL157="NA",AL157="Cancelled")),"S6 Bring-up",IF(NOT(OR(AQ157="Completed",AQ157="NA",AQ157="Cancelled")),"S7 BOM Procurement","All Stages Closed"))))))))</f>
        <v/>
      </c>
      <c r="F157" s="32" t="str">
        <f aca="false">IF($C157="","",IF(COUNTIF(M157,"Cancelled")+COUNTIF(R157,"Cancelled")+COUNTIF(W157,"Cancelled")+COUNTIF(AB157,"Cancelled")+COUNTIF(AG157,"Cancelled")+COUNTIF(AL157,"Cancelled")+COUNTIF(AQ157,"Cancelled")&gt;0,"Cancelled",IF(E157="All Stages Closed","Completed",IF(E157="S1 Schematic",M157,IF(E157="S2 PCB Layout",R157,IF(E157="S3 SI &amp; PI",W157,IF(E157="S4 Bare-PCB Fab",AB157,IF(E157="S5 Assembly",AG157,IF(E157="S6 Bring-up",AL157,AQ157)))))))))</f>
        <v/>
      </c>
      <c r="G157" s="33" t="str">
        <f aca="false">IF($C157="","",IF(E157="All Stages Closed","",IF(E157="S1 Schematic",IF(N157="","Not added",N157),IF(E157="S2 PCB Layout",IF(S157="","Not added",S157),IF(E157="S3 SI &amp; PI",IF(X157="","Not added",X157),IF(E157="S4 Bare-PCB Fab",IF(AC157="","Not added",AC157),IF(E157="S5 Assembly",IF(AH157="","Not added",AH157),IF(E157="S6 Bring-up",IF(AM157="","Not added",AM157),IF(AR157="","Not added",AR157)))))))))</f>
        <v/>
      </c>
      <c r="H157" s="32" t="str">
        <f aca="true">IF($C157="","",IF(OR(F157="Completed",F157="Cancelled"),"",IF(NOT(ISNUMBER(G157)),"No date set",IF(TODAY()&gt;G157,TODAY()-G157&amp;" days late",G157-TODAY()&amp;" days left"))))</f>
        <v/>
      </c>
      <c r="I157" s="31" t="str">
        <f aca="false">IF($C157="","",COUNTIF(M157,"Completed")+COUNTIF(R157,"Completed")+COUNTIF(W157,"Completed")+COUNTIF(AB157,"Completed")+COUNTIF(AG157,"Completed")+COUNTIF(AL157,"Completed")+COUNTIF(AQ157,"Completed"))</f>
        <v/>
      </c>
      <c r="J157" s="31" t="str">
        <f aca="false">IF($C157="","",7-(COUNTIF(M157,"NA")+COUNTIF(R157,"NA")+COUNTIF(W157,"NA")+COUNTIF(AB157,"NA")+COUNTIF(AG157,"NA")+COUNTIF(AL157,"NA")+COUNTIF(AQ157,"NA")))</f>
        <v/>
      </c>
      <c r="K157" s="34" t="str">
        <f aca="false">IFERROR(I157/J157,"")</f>
        <v/>
      </c>
      <c r="L157" s="29"/>
      <c r="M157" s="35"/>
      <c r="N157" s="36"/>
      <c r="O157" s="36"/>
      <c r="P157" s="30"/>
      <c r="Q157" s="29"/>
      <c r="R157" s="35"/>
      <c r="S157" s="36"/>
      <c r="T157" s="36"/>
      <c r="U157" s="30"/>
      <c r="V157" s="29"/>
      <c r="W157" s="35"/>
      <c r="X157" s="36"/>
      <c r="Y157" s="36"/>
      <c r="Z157" s="30"/>
      <c r="AA157" s="29"/>
      <c r="AB157" s="35"/>
      <c r="AC157" s="36"/>
      <c r="AD157" s="36"/>
      <c r="AE157" s="30"/>
      <c r="AF157" s="29"/>
      <c r="AG157" s="35"/>
      <c r="AH157" s="36"/>
      <c r="AI157" s="36"/>
      <c r="AJ157" s="30"/>
      <c r="AK157" s="29"/>
      <c r="AL157" s="35"/>
      <c r="AM157" s="36"/>
      <c r="AN157" s="36"/>
      <c r="AO157" s="30"/>
      <c r="AP157" s="29"/>
      <c r="AQ157" s="35"/>
      <c r="AR157" s="36"/>
      <c r="AS157" s="36"/>
      <c r="AT157" s="30"/>
      <c r="AU157" s="29"/>
      <c r="AV157" s="29"/>
      <c r="AW157" s="29"/>
      <c r="AX157" s="37"/>
      <c r="AY157" s="29"/>
      <c r="AZ157" s="38" t="str">
        <f aca="false">IF($C157="","",IF(OR(F157="Completed",F157="Cancelled"),"",IF(AND(OR(F157="On Hold",ISNUMBER(VALUE(LEFT(H157,2)))),AY157=""),"Reason not given","")))</f>
        <v/>
      </c>
      <c r="BA157" s="30"/>
    </row>
    <row r="158" customFormat="false" ht="19.5" hidden="false" customHeight="true" outlineLevel="0" collapsed="false">
      <c r="A158" s="28" t="str">
        <f aca="false">IF($C158="","",COUNTA($C$17:$C158))</f>
        <v/>
      </c>
      <c r="B158" s="29"/>
      <c r="C158" s="30"/>
      <c r="D158" s="29"/>
      <c r="E158" s="31" t="str">
        <f aca="false">IF($C158="","",IF(NOT(OR(M158="Completed",M158="NA",M158="Cancelled")),"S1 Schematic",IF(NOT(OR(R158="Completed",R158="NA",R158="Cancelled")),"S2 PCB Layout",IF(NOT(OR(W158="Completed",W158="NA",W158="Cancelled")),"S3 SI &amp; PI",IF(NOT(OR(AB158="Completed",AB158="NA",AB158="Cancelled")),"S4 Bare-PCB Fab",IF(NOT(OR(AG158="Completed",AG158="NA",AG158="Cancelled")),"S5 Assembly",IF(NOT(OR(AL158="Completed",AL158="NA",AL158="Cancelled")),"S6 Bring-up",IF(NOT(OR(AQ158="Completed",AQ158="NA",AQ158="Cancelled")),"S7 BOM Procurement","All Stages Closed"))))))))</f>
        <v/>
      </c>
      <c r="F158" s="32" t="str">
        <f aca="false">IF($C158="","",IF(COUNTIF(M158,"Cancelled")+COUNTIF(R158,"Cancelled")+COUNTIF(W158,"Cancelled")+COUNTIF(AB158,"Cancelled")+COUNTIF(AG158,"Cancelled")+COUNTIF(AL158,"Cancelled")+COUNTIF(AQ158,"Cancelled")&gt;0,"Cancelled",IF(E158="All Stages Closed","Completed",IF(E158="S1 Schematic",M158,IF(E158="S2 PCB Layout",R158,IF(E158="S3 SI &amp; PI",W158,IF(E158="S4 Bare-PCB Fab",AB158,IF(E158="S5 Assembly",AG158,IF(E158="S6 Bring-up",AL158,AQ158)))))))))</f>
        <v/>
      </c>
      <c r="G158" s="33" t="str">
        <f aca="false">IF($C158="","",IF(E158="All Stages Closed","",IF(E158="S1 Schematic",IF(N158="","Not added",N158),IF(E158="S2 PCB Layout",IF(S158="","Not added",S158),IF(E158="S3 SI &amp; PI",IF(X158="","Not added",X158),IF(E158="S4 Bare-PCB Fab",IF(AC158="","Not added",AC158),IF(E158="S5 Assembly",IF(AH158="","Not added",AH158),IF(E158="S6 Bring-up",IF(AM158="","Not added",AM158),IF(AR158="","Not added",AR158)))))))))</f>
        <v/>
      </c>
      <c r="H158" s="32" t="str">
        <f aca="true">IF($C158="","",IF(OR(F158="Completed",F158="Cancelled"),"",IF(NOT(ISNUMBER(G158)),"No date set",IF(TODAY()&gt;G158,TODAY()-G158&amp;" days late",G158-TODAY()&amp;" days left"))))</f>
        <v/>
      </c>
      <c r="I158" s="31" t="str">
        <f aca="false">IF($C158="","",COUNTIF(M158,"Completed")+COUNTIF(R158,"Completed")+COUNTIF(W158,"Completed")+COUNTIF(AB158,"Completed")+COUNTIF(AG158,"Completed")+COUNTIF(AL158,"Completed")+COUNTIF(AQ158,"Completed"))</f>
        <v/>
      </c>
      <c r="J158" s="31" t="str">
        <f aca="false">IF($C158="","",7-(COUNTIF(M158,"NA")+COUNTIF(R158,"NA")+COUNTIF(W158,"NA")+COUNTIF(AB158,"NA")+COUNTIF(AG158,"NA")+COUNTIF(AL158,"NA")+COUNTIF(AQ158,"NA")))</f>
        <v/>
      </c>
      <c r="K158" s="34" t="str">
        <f aca="false">IFERROR(I158/J158,"")</f>
        <v/>
      </c>
      <c r="L158" s="29"/>
      <c r="M158" s="35"/>
      <c r="N158" s="36"/>
      <c r="O158" s="36"/>
      <c r="P158" s="30"/>
      <c r="Q158" s="29"/>
      <c r="R158" s="35"/>
      <c r="S158" s="36"/>
      <c r="T158" s="36"/>
      <c r="U158" s="30"/>
      <c r="V158" s="29"/>
      <c r="W158" s="35"/>
      <c r="X158" s="36"/>
      <c r="Y158" s="36"/>
      <c r="Z158" s="30"/>
      <c r="AA158" s="29"/>
      <c r="AB158" s="35"/>
      <c r="AC158" s="36"/>
      <c r="AD158" s="36"/>
      <c r="AE158" s="30"/>
      <c r="AF158" s="29"/>
      <c r="AG158" s="35"/>
      <c r="AH158" s="36"/>
      <c r="AI158" s="36"/>
      <c r="AJ158" s="30"/>
      <c r="AK158" s="29"/>
      <c r="AL158" s="35"/>
      <c r="AM158" s="36"/>
      <c r="AN158" s="36"/>
      <c r="AO158" s="30"/>
      <c r="AP158" s="29"/>
      <c r="AQ158" s="35"/>
      <c r="AR158" s="36"/>
      <c r="AS158" s="36"/>
      <c r="AT158" s="30"/>
      <c r="AU158" s="29"/>
      <c r="AV158" s="29"/>
      <c r="AW158" s="29"/>
      <c r="AX158" s="37"/>
      <c r="AY158" s="29"/>
      <c r="AZ158" s="38" t="str">
        <f aca="false">IF($C158="","",IF(OR(F158="Completed",F158="Cancelled"),"",IF(AND(OR(F158="On Hold",ISNUMBER(VALUE(LEFT(H158,2)))),AY158=""),"Reason not given","")))</f>
        <v/>
      </c>
      <c r="BA158" s="30"/>
    </row>
    <row r="159" customFormat="false" ht="19.5" hidden="false" customHeight="true" outlineLevel="0" collapsed="false">
      <c r="A159" s="28" t="str">
        <f aca="false">IF($C159="","",COUNTA($C$17:$C159))</f>
        <v/>
      </c>
      <c r="B159" s="29"/>
      <c r="C159" s="30"/>
      <c r="D159" s="29"/>
      <c r="E159" s="31" t="str">
        <f aca="false">IF($C159="","",IF(NOT(OR(M159="Completed",M159="NA",M159="Cancelled")),"S1 Schematic",IF(NOT(OR(R159="Completed",R159="NA",R159="Cancelled")),"S2 PCB Layout",IF(NOT(OR(W159="Completed",W159="NA",W159="Cancelled")),"S3 SI &amp; PI",IF(NOT(OR(AB159="Completed",AB159="NA",AB159="Cancelled")),"S4 Bare-PCB Fab",IF(NOT(OR(AG159="Completed",AG159="NA",AG159="Cancelled")),"S5 Assembly",IF(NOT(OR(AL159="Completed",AL159="NA",AL159="Cancelled")),"S6 Bring-up",IF(NOT(OR(AQ159="Completed",AQ159="NA",AQ159="Cancelled")),"S7 BOM Procurement","All Stages Closed"))))))))</f>
        <v/>
      </c>
      <c r="F159" s="32" t="str">
        <f aca="false">IF($C159="","",IF(COUNTIF(M159,"Cancelled")+COUNTIF(R159,"Cancelled")+COUNTIF(W159,"Cancelled")+COUNTIF(AB159,"Cancelled")+COUNTIF(AG159,"Cancelled")+COUNTIF(AL159,"Cancelled")+COUNTIF(AQ159,"Cancelled")&gt;0,"Cancelled",IF(E159="All Stages Closed","Completed",IF(E159="S1 Schematic",M159,IF(E159="S2 PCB Layout",R159,IF(E159="S3 SI &amp; PI",W159,IF(E159="S4 Bare-PCB Fab",AB159,IF(E159="S5 Assembly",AG159,IF(E159="S6 Bring-up",AL159,AQ159)))))))))</f>
        <v/>
      </c>
      <c r="G159" s="33" t="str">
        <f aca="false">IF($C159="","",IF(E159="All Stages Closed","",IF(E159="S1 Schematic",IF(N159="","Not added",N159),IF(E159="S2 PCB Layout",IF(S159="","Not added",S159),IF(E159="S3 SI &amp; PI",IF(X159="","Not added",X159),IF(E159="S4 Bare-PCB Fab",IF(AC159="","Not added",AC159),IF(E159="S5 Assembly",IF(AH159="","Not added",AH159),IF(E159="S6 Bring-up",IF(AM159="","Not added",AM159),IF(AR159="","Not added",AR159)))))))))</f>
        <v/>
      </c>
      <c r="H159" s="32" t="str">
        <f aca="true">IF($C159="","",IF(OR(F159="Completed",F159="Cancelled"),"",IF(NOT(ISNUMBER(G159)),"No date set",IF(TODAY()&gt;G159,TODAY()-G159&amp;" days late",G159-TODAY()&amp;" days left"))))</f>
        <v/>
      </c>
      <c r="I159" s="31" t="str">
        <f aca="false">IF($C159="","",COUNTIF(M159,"Completed")+COUNTIF(R159,"Completed")+COUNTIF(W159,"Completed")+COUNTIF(AB159,"Completed")+COUNTIF(AG159,"Completed")+COUNTIF(AL159,"Completed")+COUNTIF(AQ159,"Completed"))</f>
        <v/>
      </c>
      <c r="J159" s="31" t="str">
        <f aca="false">IF($C159="","",7-(COUNTIF(M159,"NA")+COUNTIF(R159,"NA")+COUNTIF(W159,"NA")+COUNTIF(AB159,"NA")+COUNTIF(AG159,"NA")+COUNTIF(AL159,"NA")+COUNTIF(AQ159,"NA")))</f>
        <v/>
      </c>
      <c r="K159" s="34" t="str">
        <f aca="false">IFERROR(I159/J159,"")</f>
        <v/>
      </c>
      <c r="L159" s="29"/>
      <c r="M159" s="35"/>
      <c r="N159" s="36"/>
      <c r="O159" s="36"/>
      <c r="P159" s="30"/>
      <c r="Q159" s="29"/>
      <c r="R159" s="35"/>
      <c r="S159" s="36"/>
      <c r="T159" s="36"/>
      <c r="U159" s="30"/>
      <c r="V159" s="29"/>
      <c r="W159" s="35"/>
      <c r="X159" s="36"/>
      <c r="Y159" s="36"/>
      <c r="Z159" s="30"/>
      <c r="AA159" s="29"/>
      <c r="AB159" s="35"/>
      <c r="AC159" s="36"/>
      <c r="AD159" s="36"/>
      <c r="AE159" s="30"/>
      <c r="AF159" s="29"/>
      <c r="AG159" s="35"/>
      <c r="AH159" s="36"/>
      <c r="AI159" s="36"/>
      <c r="AJ159" s="30"/>
      <c r="AK159" s="29"/>
      <c r="AL159" s="35"/>
      <c r="AM159" s="36"/>
      <c r="AN159" s="36"/>
      <c r="AO159" s="30"/>
      <c r="AP159" s="29"/>
      <c r="AQ159" s="35"/>
      <c r="AR159" s="36"/>
      <c r="AS159" s="36"/>
      <c r="AT159" s="30"/>
      <c r="AU159" s="29"/>
      <c r="AV159" s="29"/>
      <c r="AW159" s="29"/>
      <c r="AX159" s="37"/>
      <c r="AY159" s="29"/>
      <c r="AZ159" s="38" t="str">
        <f aca="false">IF($C159="","",IF(OR(F159="Completed",F159="Cancelled"),"",IF(AND(OR(F159="On Hold",ISNUMBER(VALUE(LEFT(H159,2)))),AY159=""),"Reason not given","")))</f>
        <v/>
      </c>
      <c r="BA159" s="30"/>
    </row>
    <row r="160" customFormat="false" ht="19.5" hidden="false" customHeight="true" outlineLevel="0" collapsed="false">
      <c r="A160" s="28" t="str">
        <f aca="false">IF($C160="","",COUNTA($C$17:$C160))</f>
        <v/>
      </c>
      <c r="B160" s="29"/>
      <c r="C160" s="30"/>
      <c r="D160" s="29"/>
      <c r="E160" s="31" t="str">
        <f aca="false">IF($C160="","",IF(NOT(OR(M160="Completed",M160="NA",M160="Cancelled")),"S1 Schematic",IF(NOT(OR(R160="Completed",R160="NA",R160="Cancelled")),"S2 PCB Layout",IF(NOT(OR(W160="Completed",W160="NA",W160="Cancelled")),"S3 SI &amp; PI",IF(NOT(OR(AB160="Completed",AB160="NA",AB160="Cancelled")),"S4 Bare-PCB Fab",IF(NOT(OR(AG160="Completed",AG160="NA",AG160="Cancelled")),"S5 Assembly",IF(NOT(OR(AL160="Completed",AL160="NA",AL160="Cancelled")),"S6 Bring-up",IF(NOT(OR(AQ160="Completed",AQ160="NA",AQ160="Cancelled")),"S7 BOM Procurement","All Stages Closed"))))))))</f>
        <v/>
      </c>
      <c r="F160" s="32" t="str">
        <f aca="false">IF($C160="","",IF(COUNTIF(M160,"Cancelled")+COUNTIF(R160,"Cancelled")+COUNTIF(W160,"Cancelled")+COUNTIF(AB160,"Cancelled")+COUNTIF(AG160,"Cancelled")+COUNTIF(AL160,"Cancelled")+COUNTIF(AQ160,"Cancelled")&gt;0,"Cancelled",IF(E160="All Stages Closed","Completed",IF(E160="S1 Schematic",M160,IF(E160="S2 PCB Layout",R160,IF(E160="S3 SI &amp; PI",W160,IF(E160="S4 Bare-PCB Fab",AB160,IF(E160="S5 Assembly",AG160,IF(E160="S6 Bring-up",AL160,AQ160)))))))))</f>
        <v/>
      </c>
      <c r="G160" s="33" t="str">
        <f aca="false">IF($C160="","",IF(E160="All Stages Closed","",IF(E160="S1 Schematic",IF(N160="","Not added",N160),IF(E160="S2 PCB Layout",IF(S160="","Not added",S160),IF(E160="S3 SI &amp; PI",IF(X160="","Not added",X160),IF(E160="S4 Bare-PCB Fab",IF(AC160="","Not added",AC160),IF(E160="S5 Assembly",IF(AH160="","Not added",AH160),IF(E160="S6 Bring-up",IF(AM160="","Not added",AM160),IF(AR160="","Not added",AR160)))))))))</f>
        <v/>
      </c>
      <c r="H160" s="32" t="str">
        <f aca="true">IF($C160="","",IF(OR(F160="Completed",F160="Cancelled"),"",IF(NOT(ISNUMBER(G160)),"No date set",IF(TODAY()&gt;G160,TODAY()-G160&amp;" days late",G160-TODAY()&amp;" days left"))))</f>
        <v/>
      </c>
      <c r="I160" s="31" t="str">
        <f aca="false">IF($C160="","",COUNTIF(M160,"Completed")+COUNTIF(R160,"Completed")+COUNTIF(W160,"Completed")+COUNTIF(AB160,"Completed")+COUNTIF(AG160,"Completed")+COUNTIF(AL160,"Completed")+COUNTIF(AQ160,"Completed"))</f>
        <v/>
      </c>
      <c r="J160" s="31" t="str">
        <f aca="false">IF($C160="","",7-(COUNTIF(M160,"NA")+COUNTIF(R160,"NA")+COUNTIF(W160,"NA")+COUNTIF(AB160,"NA")+COUNTIF(AG160,"NA")+COUNTIF(AL160,"NA")+COUNTIF(AQ160,"NA")))</f>
        <v/>
      </c>
      <c r="K160" s="34" t="str">
        <f aca="false">IFERROR(I160/J160,"")</f>
        <v/>
      </c>
      <c r="L160" s="29"/>
      <c r="M160" s="35"/>
      <c r="N160" s="36"/>
      <c r="O160" s="36"/>
      <c r="P160" s="30"/>
      <c r="Q160" s="29"/>
      <c r="R160" s="35"/>
      <c r="S160" s="36"/>
      <c r="T160" s="36"/>
      <c r="U160" s="30"/>
      <c r="V160" s="29"/>
      <c r="W160" s="35"/>
      <c r="X160" s="36"/>
      <c r="Y160" s="36"/>
      <c r="Z160" s="30"/>
      <c r="AA160" s="29"/>
      <c r="AB160" s="35"/>
      <c r="AC160" s="36"/>
      <c r="AD160" s="36"/>
      <c r="AE160" s="30"/>
      <c r="AF160" s="29"/>
      <c r="AG160" s="35"/>
      <c r="AH160" s="36"/>
      <c r="AI160" s="36"/>
      <c r="AJ160" s="30"/>
      <c r="AK160" s="29"/>
      <c r="AL160" s="35"/>
      <c r="AM160" s="36"/>
      <c r="AN160" s="36"/>
      <c r="AO160" s="30"/>
      <c r="AP160" s="29"/>
      <c r="AQ160" s="35"/>
      <c r="AR160" s="36"/>
      <c r="AS160" s="36"/>
      <c r="AT160" s="30"/>
      <c r="AU160" s="29"/>
      <c r="AV160" s="29"/>
      <c r="AW160" s="29"/>
      <c r="AX160" s="37"/>
      <c r="AY160" s="29"/>
      <c r="AZ160" s="38" t="str">
        <f aca="false">IF($C160="","",IF(OR(F160="Completed",F160="Cancelled"),"",IF(AND(OR(F160="On Hold",ISNUMBER(VALUE(LEFT(H160,2)))),AY160=""),"Reason not given","")))</f>
        <v/>
      </c>
      <c r="BA160" s="30"/>
    </row>
    <row r="161" customFormat="false" ht="19.5" hidden="false" customHeight="true" outlineLevel="0" collapsed="false">
      <c r="A161" s="28" t="str">
        <f aca="false">IF($C161="","",COUNTA($C$17:$C161))</f>
        <v/>
      </c>
      <c r="B161" s="29"/>
      <c r="C161" s="30"/>
      <c r="D161" s="29"/>
      <c r="E161" s="31" t="str">
        <f aca="false">IF($C161="","",IF(NOT(OR(M161="Completed",M161="NA",M161="Cancelled")),"S1 Schematic",IF(NOT(OR(R161="Completed",R161="NA",R161="Cancelled")),"S2 PCB Layout",IF(NOT(OR(W161="Completed",W161="NA",W161="Cancelled")),"S3 SI &amp; PI",IF(NOT(OR(AB161="Completed",AB161="NA",AB161="Cancelled")),"S4 Bare-PCB Fab",IF(NOT(OR(AG161="Completed",AG161="NA",AG161="Cancelled")),"S5 Assembly",IF(NOT(OR(AL161="Completed",AL161="NA",AL161="Cancelled")),"S6 Bring-up",IF(NOT(OR(AQ161="Completed",AQ161="NA",AQ161="Cancelled")),"S7 BOM Procurement","All Stages Closed"))))))))</f>
        <v/>
      </c>
      <c r="F161" s="32" t="str">
        <f aca="false">IF($C161="","",IF(COUNTIF(M161,"Cancelled")+COUNTIF(R161,"Cancelled")+COUNTIF(W161,"Cancelled")+COUNTIF(AB161,"Cancelled")+COUNTIF(AG161,"Cancelled")+COUNTIF(AL161,"Cancelled")+COUNTIF(AQ161,"Cancelled")&gt;0,"Cancelled",IF(E161="All Stages Closed","Completed",IF(E161="S1 Schematic",M161,IF(E161="S2 PCB Layout",R161,IF(E161="S3 SI &amp; PI",W161,IF(E161="S4 Bare-PCB Fab",AB161,IF(E161="S5 Assembly",AG161,IF(E161="S6 Bring-up",AL161,AQ161)))))))))</f>
        <v/>
      </c>
      <c r="G161" s="33" t="str">
        <f aca="false">IF($C161="","",IF(E161="All Stages Closed","",IF(E161="S1 Schematic",IF(N161="","Not added",N161),IF(E161="S2 PCB Layout",IF(S161="","Not added",S161),IF(E161="S3 SI &amp; PI",IF(X161="","Not added",X161),IF(E161="S4 Bare-PCB Fab",IF(AC161="","Not added",AC161),IF(E161="S5 Assembly",IF(AH161="","Not added",AH161),IF(E161="S6 Bring-up",IF(AM161="","Not added",AM161),IF(AR161="","Not added",AR161)))))))))</f>
        <v/>
      </c>
      <c r="H161" s="32" t="str">
        <f aca="true">IF($C161="","",IF(OR(F161="Completed",F161="Cancelled"),"",IF(NOT(ISNUMBER(G161)),"No date set",IF(TODAY()&gt;G161,TODAY()-G161&amp;" days late",G161-TODAY()&amp;" days left"))))</f>
        <v/>
      </c>
      <c r="I161" s="31" t="str">
        <f aca="false">IF($C161="","",COUNTIF(M161,"Completed")+COUNTIF(R161,"Completed")+COUNTIF(W161,"Completed")+COUNTIF(AB161,"Completed")+COUNTIF(AG161,"Completed")+COUNTIF(AL161,"Completed")+COUNTIF(AQ161,"Completed"))</f>
        <v/>
      </c>
      <c r="J161" s="31" t="str">
        <f aca="false">IF($C161="","",7-(COUNTIF(M161,"NA")+COUNTIF(R161,"NA")+COUNTIF(W161,"NA")+COUNTIF(AB161,"NA")+COUNTIF(AG161,"NA")+COUNTIF(AL161,"NA")+COUNTIF(AQ161,"NA")))</f>
        <v/>
      </c>
      <c r="K161" s="34" t="str">
        <f aca="false">IFERROR(I161/J161,"")</f>
        <v/>
      </c>
      <c r="L161" s="29"/>
      <c r="M161" s="35"/>
      <c r="N161" s="36"/>
      <c r="O161" s="36"/>
      <c r="P161" s="30"/>
      <c r="Q161" s="29"/>
      <c r="R161" s="35"/>
      <c r="S161" s="36"/>
      <c r="T161" s="36"/>
      <c r="U161" s="30"/>
      <c r="V161" s="29"/>
      <c r="W161" s="35"/>
      <c r="X161" s="36"/>
      <c r="Y161" s="36"/>
      <c r="Z161" s="30"/>
      <c r="AA161" s="29"/>
      <c r="AB161" s="35"/>
      <c r="AC161" s="36"/>
      <c r="AD161" s="36"/>
      <c r="AE161" s="30"/>
      <c r="AF161" s="29"/>
      <c r="AG161" s="35"/>
      <c r="AH161" s="36"/>
      <c r="AI161" s="36"/>
      <c r="AJ161" s="30"/>
      <c r="AK161" s="29"/>
      <c r="AL161" s="35"/>
      <c r="AM161" s="36"/>
      <c r="AN161" s="36"/>
      <c r="AO161" s="30"/>
      <c r="AP161" s="29"/>
      <c r="AQ161" s="35"/>
      <c r="AR161" s="36"/>
      <c r="AS161" s="36"/>
      <c r="AT161" s="30"/>
      <c r="AU161" s="29"/>
      <c r="AV161" s="29"/>
      <c r="AW161" s="29"/>
      <c r="AX161" s="37"/>
      <c r="AY161" s="29"/>
      <c r="AZ161" s="38" t="str">
        <f aca="false">IF($C161="","",IF(OR(F161="Completed",F161="Cancelled"),"",IF(AND(OR(F161="On Hold",ISNUMBER(VALUE(LEFT(H161,2)))),AY161=""),"Reason not given","")))</f>
        <v/>
      </c>
      <c r="BA161" s="30"/>
    </row>
    <row r="162" customFormat="false" ht="19.5" hidden="false" customHeight="true" outlineLevel="0" collapsed="false">
      <c r="A162" s="28" t="str">
        <f aca="false">IF($C162="","",COUNTA($C$17:$C162))</f>
        <v/>
      </c>
      <c r="B162" s="29"/>
      <c r="C162" s="30"/>
      <c r="D162" s="29"/>
      <c r="E162" s="31" t="str">
        <f aca="false">IF($C162="","",IF(NOT(OR(M162="Completed",M162="NA",M162="Cancelled")),"S1 Schematic",IF(NOT(OR(R162="Completed",R162="NA",R162="Cancelled")),"S2 PCB Layout",IF(NOT(OR(W162="Completed",W162="NA",W162="Cancelled")),"S3 SI &amp; PI",IF(NOT(OR(AB162="Completed",AB162="NA",AB162="Cancelled")),"S4 Bare-PCB Fab",IF(NOT(OR(AG162="Completed",AG162="NA",AG162="Cancelled")),"S5 Assembly",IF(NOT(OR(AL162="Completed",AL162="NA",AL162="Cancelled")),"S6 Bring-up",IF(NOT(OR(AQ162="Completed",AQ162="NA",AQ162="Cancelled")),"S7 BOM Procurement","All Stages Closed"))))))))</f>
        <v/>
      </c>
      <c r="F162" s="32" t="str">
        <f aca="false">IF($C162="","",IF(COUNTIF(M162,"Cancelled")+COUNTIF(R162,"Cancelled")+COUNTIF(W162,"Cancelled")+COUNTIF(AB162,"Cancelled")+COUNTIF(AG162,"Cancelled")+COUNTIF(AL162,"Cancelled")+COUNTIF(AQ162,"Cancelled")&gt;0,"Cancelled",IF(E162="All Stages Closed","Completed",IF(E162="S1 Schematic",M162,IF(E162="S2 PCB Layout",R162,IF(E162="S3 SI &amp; PI",W162,IF(E162="S4 Bare-PCB Fab",AB162,IF(E162="S5 Assembly",AG162,IF(E162="S6 Bring-up",AL162,AQ162)))))))))</f>
        <v/>
      </c>
      <c r="G162" s="33" t="str">
        <f aca="false">IF($C162="","",IF(E162="All Stages Closed","",IF(E162="S1 Schematic",IF(N162="","Not added",N162),IF(E162="S2 PCB Layout",IF(S162="","Not added",S162),IF(E162="S3 SI &amp; PI",IF(X162="","Not added",X162),IF(E162="S4 Bare-PCB Fab",IF(AC162="","Not added",AC162),IF(E162="S5 Assembly",IF(AH162="","Not added",AH162),IF(E162="S6 Bring-up",IF(AM162="","Not added",AM162),IF(AR162="","Not added",AR162)))))))))</f>
        <v/>
      </c>
      <c r="H162" s="32" t="str">
        <f aca="true">IF($C162="","",IF(OR(F162="Completed",F162="Cancelled"),"",IF(NOT(ISNUMBER(G162)),"No date set",IF(TODAY()&gt;G162,TODAY()-G162&amp;" days late",G162-TODAY()&amp;" days left"))))</f>
        <v/>
      </c>
      <c r="I162" s="31" t="str">
        <f aca="false">IF($C162="","",COUNTIF(M162,"Completed")+COUNTIF(R162,"Completed")+COUNTIF(W162,"Completed")+COUNTIF(AB162,"Completed")+COUNTIF(AG162,"Completed")+COUNTIF(AL162,"Completed")+COUNTIF(AQ162,"Completed"))</f>
        <v/>
      </c>
      <c r="J162" s="31" t="str">
        <f aca="false">IF($C162="","",7-(COUNTIF(M162,"NA")+COUNTIF(R162,"NA")+COUNTIF(W162,"NA")+COUNTIF(AB162,"NA")+COUNTIF(AG162,"NA")+COUNTIF(AL162,"NA")+COUNTIF(AQ162,"NA")))</f>
        <v/>
      </c>
      <c r="K162" s="34" t="str">
        <f aca="false">IFERROR(I162/J162,"")</f>
        <v/>
      </c>
      <c r="L162" s="29"/>
      <c r="M162" s="35"/>
      <c r="N162" s="36"/>
      <c r="O162" s="36"/>
      <c r="P162" s="30"/>
      <c r="Q162" s="29"/>
      <c r="R162" s="35"/>
      <c r="S162" s="36"/>
      <c r="T162" s="36"/>
      <c r="U162" s="30"/>
      <c r="V162" s="29"/>
      <c r="W162" s="35"/>
      <c r="X162" s="36"/>
      <c r="Y162" s="36"/>
      <c r="Z162" s="30"/>
      <c r="AA162" s="29"/>
      <c r="AB162" s="35"/>
      <c r="AC162" s="36"/>
      <c r="AD162" s="36"/>
      <c r="AE162" s="30"/>
      <c r="AF162" s="29"/>
      <c r="AG162" s="35"/>
      <c r="AH162" s="36"/>
      <c r="AI162" s="36"/>
      <c r="AJ162" s="30"/>
      <c r="AK162" s="29"/>
      <c r="AL162" s="35"/>
      <c r="AM162" s="36"/>
      <c r="AN162" s="36"/>
      <c r="AO162" s="30"/>
      <c r="AP162" s="29"/>
      <c r="AQ162" s="35"/>
      <c r="AR162" s="36"/>
      <c r="AS162" s="36"/>
      <c r="AT162" s="30"/>
      <c r="AU162" s="29"/>
      <c r="AV162" s="29"/>
      <c r="AW162" s="29"/>
      <c r="AX162" s="37"/>
      <c r="AY162" s="29"/>
      <c r="AZ162" s="38" t="str">
        <f aca="false">IF($C162="","",IF(OR(F162="Completed",F162="Cancelled"),"",IF(AND(OR(F162="On Hold",ISNUMBER(VALUE(LEFT(H162,2)))),AY162=""),"Reason not given","")))</f>
        <v/>
      </c>
      <c r="BA162" s="30"/>
    </row>
    <row r="163" customFormat="false" ht="19.5" hidden="false" customHeight="true" outlineLevel="0" collapsed="false">
      <c r="A163" s="28" t="str">
        <f aca="false">IF($C163="","",COUNTA($C$17:$C163))</f>
        <v/>
      </c>
      <c r="B163" s="29"/>
      <c r="C163" s="30"/>
      <c r="D163" s="29"/>
      <c r="E163" s="31" t="str">
        <f aca="false">IF($C163="","",IF(NOT(OR(M163="Completed",M163="NA",M163="Cancelled")),"S1 Schematic",IF(NOT(OR(R163="Completed",R163="NA",R163="Cancelled")),"S2 PCB Layout",IF(NOT(OR(W163="Completed",W163="NA",W163="Cancelled")),"S3 SI &amp; PI",IF(NOT(OR(AB163="Completed",AB163="NA",AB163="Cancelled")),"S4 Bare-PCB Fab",IF(NOT(OR(AG163="Completed",AG163="NA",AG163="Cancelled")),"S5 Assembly",IF(NOT(OR(AL163="Completed",AL163="NA",AL163="Cancelled")),"S6 Bring-up",IF(NOT(OR(AQ163="Completed",AQ163="NA",AQ163="Cancelled")),"S7 BOM Procurement","All Stages Closed"))))))))</f>
        <v/>
      </c>
      <c r="F163" s="32" t="str">
        <f aca="false">IF($C163="","",IF(COUNTIF(M163,"Cancelled")+COUNTIF(R163,"Cancelled")+COUNTIF(W163,"Cancelled")+COUNTIF(AB163,"Cancelled")+COUNTIF(AG163,"Cancelled")+COUNTIF(AL163,"Cancelled")+COUNTIF(AQ163,"Cancelled")&gt;0,"Cancelled",IF(E163="All Stages Closed","Completed",IF(E163="S1 Schematic",M163,IF(E163="S2 PCB Layout",R163,IF(E163="S3 SI &amp; PI",W163,IF(E163="S4 Bare-PCB Fab",AB163,IF(E163="S5 Assembly",AG163,IF(E163="S6 Bring-up",AL163,AQ163)))))))))</f>
        <v/>
      </c>
      <c r="G163" s="33" t="str">
        <f aca="false">IF($C163="","",IF(E163="All Stages Closed","",IF(E163="S1 Schematic",IF(N163="","Not added",N163),IF(E163="S2 PCB Layout",IF(S163="","Not added",S163),IF(E163="S3 SI &amp; PI",IF(X163="","Not added",X163),IF(E163="S4 Bare-PCB Fab",IF(AC163="","Not added",AC163),IF(E163="S5 Assembly",IF(AH163="","Not added",AH163),IF(E163="S6 Bring-up",IF(AM163="","Not added",AM163),IF(AR163="","Not added",AR163)))))))))</f>
        <v/>
      </c>
      <c r="H163" s="32" t="str">
        <f aca="true">IF($C163="","",IF(OR(F163="Completed",F163="Cancelled"),"",IF(NOT(ISNUMBER(G163)),"No date set",IF(TODAY()&gt;G163,TODAY()-G163&amp;" days late",G163-TODAY()&amp;" days left"))))</f>
        <v/>
      </c>
      <c r="I163" s="31" t="str">
        <f aca="false">IF($C163="","",COUNTIF(M163,"Completed")+COUNTIF(R163,"Completed")+COUNTIF(W163,"Completed")+COUNTIF(AB163,"Completed")+COUNTIF(AG163,"Completed")+COUNTIF(AL163,"Completed")+COUNTIF(AQ163,"Completed"))</f>
        <v/>
      </c>
      <c r="J163" s="31" t="str">
        <f aca="false">IF($C163="","",7-(COUNTIF(M163,"NA")+COUNTIF(R163,"NA")+COUNTIF(W163,"NA")+COUNTIF(AB163,"NA")+COUNTIF(AG163,"NA")+COUNTIF(AL163,"NA")+COUNTIF(AQ163,"NA")))</f>
        <v/>
      </c>
      <c r="K163" s="34" t="str">
        <f aca="false">IFERROR(I163/J163,"")</f>
        <v/>
      </c>
      <c r="L163" s="29"/>
      <c r="M163" s="35"/>
      <c r="N163" s="36"/>
      <c r="O163" s="36"/>
      <c r="P163" s="30"/>
      <c r="Q163" s="29"/>
      <c r="R163" s="35"/>
      <c r="S163" s="36"/>
      <c r="T163" s="36"/>
      <c r="U163" s="30"/>
      <c r="V163" s="29"/>
      <c r="W163" s="35"/>
      <c r="X163" s="36"/>
      <c r="Y163" s="36"/>
      <c r="Z163" s="30"/>
      <c r="AA163" s="29"/>
      <c r="AB163" s="35"/>
      <c r="AC163" s="36"/>
      <c r="AD163" s="36"/>
      <c r="AE163" s="30"/>
      <c r="AF163" s="29"/>
      <c r="AG163" s="35"/>
      <c r="AH163" s="36"/>
      <c r="AI163" s="36"/>
      <c r="AJ163" s="30"/>
      <c r="AK163" s="29"/>
      <c r="AL163" s="35"/>
      <c r="AM163" s="36"/>
      <c r="AN163" s="36"/>
      <c r="AO163" s="30"/>
      <c r="AP163" s="29"/>
      <c r="AQ163" s="35"/>
      <c r="AR163" s="36"/>
      <c r="AS163" s="36"/>
      <c r="AT163" s="30"/>
      <c r="AU163" s="29"/>
      <c r="AV163" s="29"/>
      <c r="AW163" s="29"/>
      <c r="AX163" s="37"/>
      <c r="AY163" s="29"/>
      <c r="AZ163" s="38" t="str">
        <f aca="false">IF($C163="","",IF(OR(F163="Completed",F163="Cancelled"),"",IF(AND(OR(F163="On Hold",ISNUMBER(VALUE(LEFT(H163,2)))),AY163=""),"Reason not given","")))</f>
        <v/>
      </c>
      <c r="BA163" s="30"/>
    </row>
    <row r="164" customFormat="false" ht="19.5" hidden="false" customHeight="true" outlineLevel="0" collapsed="false">
      <c r="A164" s="28" t="str">
        <f aca="false">IF($C164="","",COUNTA($C$17:$C164))</f>
        <v/>
      </c>
      <c r="B164" s="29"/>
      <c r="C164" s="30"/>
      <c r="D164" s="29"/>
      <c r="E164" s="31" t="str">
        <f aca="false">IF($C164="","",IF(NOT(OR(M164="Completed",M164="NA",M164="Cancelled")),"S1 Schematic",IF(NOT(OR(R164="Completed",R164="NA",R164="Cancelled")),"S2 PCB Layout",IF(NOT(OR(W164="Completed",W164="NA",W164="Cancelled")),"S3 SI &amp; PI",IF(NOT(OR(AB164="Completed",AB164="NA",AB164="Cancelled")),"S4 Bare-PCB Fab",IF(NOT(OR(AG164="Completed",AG164="NA",AG164="Cancelled")),"S5 Assembly",IF(NOT(OR(AL164="Completed",AL164="NA",AL164="Cancelled")),"S6 Bring-up",IF(NOT(OR(AQ164="Completed",AQ164="NA",AQ164="Cancelled")),"S7 BOM Procurement","All Stages Closed"))))))))</f>
        <v/>
      </c>
      <c r="F164" s="32" t="str">
        <f aca="false">IF($C164="","",IF(COUNTIF(M164,"Cancelled")+COUNTIF(R164,"Cancelled")+COUNTIF(W164,"Cancelled")+COUNTIF(AB164,"Cancelled")+COUNTIF(AG164,"Cancelled")+COUNTIF(AL164,"Cancelled")+COUNTIF(AQ164,"Cancelled")&gt;0,"Cancelled",IF(E164="All Stages Closed","Completed",IF(E164="S1 Schematic",M164,IF(E164="S2 PCB Layout",R164,IF(E164="S3 SI &amp; PI",W164,IF(E164="S4 Bare-PCB Fab",AB164,IF(E164="S5 Assembly",AG164,IF(E164="S6 Bring-up",AL164,AQ164)))))))))</f>
        <v/>
      </c>
      <c r="G164" s="33" t="str">
        <f aca="false">IF($C164="","",IF(E164="All Stages Closed","",IF(E164="S1 Schematic",IF(N164="","Not added",N164),IF(E164="S2 PCB Layout",IF(S164="","Not added",S164),IF(E164="S3 SI &amp; PI",IF(X164="","Not added",X164),IF(E164="S4 Bare-PCB Fab",IF(AC164="","Not added",AC164),IF(E164="S5 Assembly",IF(AH164="","Not added",AH164),IF(E164="S6 Bring-up",IF(AM164="","Not added",AM164),IF(AR164="","Not added",AR164)))))))))</f>
        <v/>
      </c>
      <c r="H164" s="32" t="str">
        <f aca="true">IF($C164="","",IF(OR(F164="Completed",F164="Cancelled"),"",IF(NOT(ISNUMBER(G164)),"No date set",IF(TODAY()&gt;G164,TODAY()-G164&amp;" days late",G164-TODAY()&amp;" days left"))))</f>
        <v/>
      </c>
      <c r="I164" s="31" t="str">
        <f aca="false">IF($C164="","",COUNTIF(M164,"Completed")+COUNTIF(R164,"Completed")+COUNTIF(W164,"Completed")+COUNTIF(AB164,"Completed")+COUNTIF(AG164,"Completed")+COUNTIF(AL164,"Completed")+COUNTIF(AQ164,"Completed"))</f>
        <v/>
      </c>
      <c r="J164" s="31" t="str">
        <f aca="false">IF($C164="","",7-(COUNTIF(M164,"NA")+COUNTIF(R164,"NA")+COUNTIF(W164,"NA")+COUNTIF(AB164,"NA")+COUNTIF(AG164,"NA")+COUNTIF(AL164,"NA")+COUNTIF(AQ164,"NA")))</f>
        <v/>
      </c>
      <c r="K164" s="34" t="str">
        <f aca="false">IFERROR(I164/J164,"")</f>
        <v/>
      </c>
      <c r="L164" s="29"/>
      <c r="M164" s="35"/>
      <c r="N164" s="36"/>
      <c r="O164" s="36"/>
      <c r="P164" s="30"/>
      <c r="Q164" s="29"/>
      <c r="R164" s="35"/>
      <c r="S164" s="36"/>
      <c r="T164" s="36"/>
      <c r="U164" s="30"/>
      <c r="V164" s="29"/>
      <c r="W164" s="35"/>
      <c r="X164" s="36"/>
      <c r="Y164" s="36"/>
      <c r="Z164" s="30"/>
      <c r="AA164" s="29"/>
      <c r="AB164" s="35"/>
      <c r="AC164" s="36"/>
      <c r="AD164" s="36"/>
      <c r="AE164" s="30"/>
      <c r="AF164" s="29"/>
      <c r="AG164" s="35"/>
      <c r="AH164" s="36"/>
      <c r="AI164" s="36"/>
      <c r="AJ164" s="30"/>
      <c r="AK164" s="29"/>
      <c r="AL164" s="35"/>
      <c r="AM164" s="36"/>
      <c r="AN164" s="36"/>
      <c r="AO164" s="30"/>
      <c r="AP164" s="29"/>
      <c r="AQ164" s="35"/>
      <c r="AR164" s="36"/>
      <c r="AS164" s="36"/>
      <c r="AT164" s="30"/>
      <c r="AU164" s="29"/>
      <c r="AV164" s="29"/>
      <c r="AW164" s="29"/>
      <c r="AX164" s="37"/>
      <c r="AY164" s="29"/>
      <c r="AZ164" s="38" t="str">
        <f aca="false">IF($C164="","",IF(OR(F164="Completed",F164="Cancelled"),"",IF(AND(OR(F164="On Hold",ISNUMBER(VALUE(LEFT(H164,2)))),AY164=""),"Reason not given","")))</f>
        <v/>
      </c>
      <c r="BA164" s="30"/>
    </row>
    <row r="165" customFormat="false" ht="19.5" hidden="false" customHeight="true" outlineLevel="0" collapsed="false">
      <c r="A165" s="28" t="str">
        <f aca="false">IF($C165="","",COUNTA($C$17:$C165))</f>
        <v/>
      </c>
      <c r="B165" s="29"/>
      <c r="C165" s="30"/>
      <c r="D165" s="29"/>
      <c r="E165" s="31" t="str">
        <f aca="false">IF($C165="","",IF(NOT(OR(M165="Completed",M165="NA",M165="Cancelled")),"S1 Schematic",IF(NOT(OR(R165="Completed",R165="NA",R165="Cancelled")),"S2 PCB Layout",IF(NOT(OR(W165="Completed",W165="NA",W165="Cancelled")),"S3 SI &amp; PI",IF(NOT(OR(AB165="Completed",AB165="NA",AB165="Cancelled")),"S4 Bare-PCB Fab",IF(NOT(OR(AG165="Completed",AG165="NA",AG165="Cancelled")),"S5 Assembly",IF(NOT(OR(AL165="Completed",AL165="NA",AL165="Cancelled")),"S6 Bring-up",IF(NOT(OR(AQ165="Completed",AQ165="NA",AQ165="Cancelled")),"S7 BOM Procurement","All Stages Closed"))))))))</f>
        <v/>
      </c>
      <c r="F165" s="32" t="str">
        <f aca="false">IF($C165="","",IF(COUNTIF(M165,"Cancelled")+COUNTIF(R165,"Cancelled")+COUNTIF(W165,"Cancelled")+COUNTIF(AB165,"Cancelled")+COUNTIF(AG165,"Cancelled")+COUNTIF(AL165,"Cancelled")+COUNTIF(AQ165,"Cancelled")&gt;0,"Cancelled",IF(E165="All Stages Closed","Completed",IF(E165="S1 Schematic",M165,IF(E165="S2 PCB Layout",R165,IF(E165="S3 SI &amp; PI",W165,IF(E165="S4 Bare-PCB Fab",AB165,IF(E165="S5 Assembly",AG165,IF(E165="S6 Bring-up",AL165,AQ165)))))))))</f>
        <v/>
      </c>
      <c r="G165" s="33" t="str">
        <f aca="false">IF($C165="","",IF(E165="All Stages Closed","",IF(E165="S1 Schematic",IF(N165="","Not added",N165),IF(E165="S2 PCB Layout",IF(S165="","Not added",S165),IF(E165="S3 SI &amp; PI",IF(X165="","Not added",X165),IF(E165="S4 Bare-PCB Fab",IF(AC165="","Not added",AC165),IF(E165="S5 Assembly",IF(AH165="","Not added",AH165),IF(E165="S6 Bring-up",IF(AM165="","Not added",AM165),IF(AR165="","Not added",AR165)))))))))</f>
        <v/>
      </c>
      <c r="H165" s="32" t="str">
        <f aca="true">IF($C165="","",IF(OR(F165="Completed",F165="Cancelled"),"",IF(NOT(ISNUMBER(G165)),"No date set",IF(TODAY()&gt;G165,TODAY()-G165&amp;" days late",G165-TODAY()&amp;" days left"))))</f>
        <v/>
      </c>
      <c r="I165" s="31" t="str">
        <f aca="false">IF($C165="","",COUNTIF(M165,"Completed")+COUNTIF(R165,"Completed")+COUNTIF(W165,"Completed")+COUNTIF(AB165,"Completed")+COUNTIF(AG165,"Completed")+COUNTIF(AL165,"Completed")+COUNTIF(AQ165,"Completed"))</f>
        <v/>
      </c>
      <c r="J165" s="31" t="str">
        <f aca="false">IF($C165="","",7-(COUNTIF(M165,"NA")+COUNTIF(R165,"NA")+COUNTIF(W165,"NA")+COUNTIF(AB165,"NA")+COUNTIF(AG165,"NA")+COUNTIF(AL165,"NA")+COUNTIF(AQ165,"NA")))</f>
        <v/>
      </c>
      <c r="K165" s="34" t="str">
        <f aca="false">IFERROR(I165/J165,"")</f>
        <v/>
      </c>
      <c r="L165" s="29"/>
      <c r="M165" s="35"/>
      <c r="N165" s="36"/>
      <c r="O165" s="36"/>
      <c r="P165" s="30"/>
      <c r="Q165" s="29"/>
      <c r="R165" s="35"/>
      <c r="S165" s="36"/>
      <c r="T165" s="36"/>
      <c r="U165" s="30"/>
      <c r="V165" s="29"/>
      <c r="W165" s="35"/>
      <c r="X165" s="36"/>
      <c r="Y165" s="36"/>
      <c r="Z165" s="30"/>
      <c r="AA165" s="29"/>
      <c r="AB165" s="35"/>
      <c r="AC165" s="36"/>
      <c r="AD165" s="36"/>
      <c r="AE165" s="30"/>
      <c r="AF165" s="29"/>
      <c r="AG165" s="35"/>
      <c r="AH165" s="36"/>
      <c r="AI165" s="36"/>
      <c r="AJ165" s="30"/>
      <c r="AK165" s="29"/>
      <c r="AL165" s="35"/>
      <c r="AM165" s="36"/>
      <c r="AN165" s="36"/>
      <c r="AO165" s="30"/>
      <c r="AP165" s="29"/>
      <c r="AQ165" s="35"/>
      <c r="AR165" s="36"/>
      <c r="AS165" s="36"/>
      <c r="AT165" s="30"/>
      <c r="AU165" s="29"/>
      <c r="AV165" s="29"/>
      <c r="AW165" s="29"/>
      <c r="AX165" s="37"/>
      <c r="AY165" s="29"/>
      <c r="AZ165" s="38" t="str">
        <f aca="false">IF($C165="","",IF(OR(F165="Completed",F165="Cancelled"),"",IF(AND(OR(F165="On Hold",ISNUMBER(VALUE(LEFT(H165,2)))),AY165=""),"Reason not given","")))</f>
        <v/>
      </c>
      <c r="BA165" s="30"/>
    </row>
    <row r="166" customFormat="false" ht="19.5" hidden="false" customHeight="true" outlineLevel="0" collapsed="false">
      <c r="A166" s="28" t="str">
        <f aca="false">IF($C166="","",COUNTA($C$17:$C166))</f>
        <v/>
      </c>
      <c r="B166" s="29"/>
      <c r="C166" s="30"/>
      <c r="D166" s="29"/>
      <c r="E166" s="31" t="str">
        <f aca="false">IF($C166="","",IF(NOT(OR(M166="Completed",M166="NA",M166="Cancelled")),"S1 Schematic",IF(NOT(OR(R166="Completed",R166="NA",R166="Cancelled")),"S2 PCB Layout",IF(NOT(OR(W166="Completed",W166="NA",W166="Cancelled")),"S3 SI &amp; PI",IF(NOT(OR(AB166="Completed",AB166="NA",AB166="Cancelled")),"S4 Bare-PCB Fab",IF(NOT(OR(AG166="Completed",AG166="NA",AG166="Cancelled")),"S5 Assembly",IF(NOT(OR(AL166="Completed",AL166="NA",AL166="Cancelled")),"S6 Bring-up",IF(NOT(OR(AQ166="Completed",AQ166="NA",AQ166="Cancelled")),"S7 BOM Procurement","All Stages Closed"))))))))</f>
        <v/>
      </c>
      <c r="F166" s="32" t="str">
        <f aca="false">IF($C166="","",IF(COUNTIF(M166,"Cancelled")+COUNTIF(R166,"Cancelled")+COUNTIF(W166,"Cancelled")+COUNTIF(AB166,"Cancelled")+COUNTIF(AG166,"Cancelled")+COUNTIF(AL166,"Cancelled")+COUNTIF(AQ166,"Cancelled")&gt;0,"Cancelled",IF(E166="All Stages Closed","Completed",IF(E166="S1 Schematic",M166,IF(E166="S2 PCB Layout",R166,IF(E166="S3 SI &amp; PI",W166,IF(E166="S4 Bare-PCB Fab",AB166,IF(E166="S5 Assembly",AG166,IF(E166="S6 Bring-up",AL166,AQ166)))))))))</f>
        <v/>
      </c>
      <c r="G166" s="33" t="str">
        <f aca="false">IF($C166="","",IF(E166="All Stages Closed","",IF(E166="S1 Schematic",IF(N166="","Not added",N166),IF(E166="S2 PCB Layout",IF(S166="","Not added",S166),IF(E166="S3 SI &amp; PI",IF(X166="","Not added",X166),IF(E166="S4 Bare-PCB Fab",IF(AC166="","Not added",AC166),IF(E166="S5 Assembly",IF(AH166="","Not added",AH166),IF(E166="S6 Bring-up",IF(AM166="","Not added",AM166),IF(AR166="","Not added",AR166)))))))))</f>
        <v/>
      </c>
      <c r="H166" s="32" t="str">
        <f aca="true">IF($C166="","",IF(OR(F166="Completed",F166="Cancelled"),"",IF(NOT(ISNUMBER(G166)),"No date set",IF(TODAY()&gt;G166,TODAY()-G166&amp;" days late",G166-TODAY()&amp;" days left"))))</f>
        <v/>
      </c>
      <c r="I166" s="31" t="str">
        <f aca="false">IF($C166="","",COUNTIF(M166,"Completed")+COUNTIF(R166,"Completed")+COUNTIF(W166,"Completed")+COUNTIF(AB166,"Completed")+COUNTIF(AG166,"Completed")+COUNTIF(AL166,"Completed")+COUNTIF(AQ166,"Completed"))</f>
        <v/>
      </c>
      <c r="J166" s="31" t="str">
        <f aca="false">IF($C166="","",7-(COUNTIF(M166,"NA")+COUNTIF(R166,"NA")+COUNTIF(W166,"NA")+COUNTIF(AB166,"NA")+COUNTIF(AG166,"NA")+COUNTIF(AL166,"NA")+COUNTIF(AQ166,"NA")))</f>
        <v/>
      </c>
      <c r="K166" s="34" t="str">
        <f aca="false">IFERROR(I166/J166,"")</f>
        <v/>
      </c>
      <c r="L166" s="29"/>
      <c r="M166" s="35"/>
      <c r="N166" s="36"/>
      <c r="O166" s="36"/>
      <c r="P166" s="30"/>
      <c r="Q166" s="29"/>
      <c r="R166" s="35"/>
      <c r="S166" s="36"/>
      <c r="T166" s="36"/>
      <c r="U166" s="30"/>
      <c r="V166" s="29"/>
      <c r="W166" s="35"/>
      <c r="X166" s="36"/>
      <c r="Y166" s="36"/>
      <c r="Z166" s="30"/>
      <c r="AA166" s="29"/>
      <c r="AB166" s="35"/>
      <c r="AC166" s="36"/>
      <c r="AD166" s="36"/>
      <c r="AE166" s="30"/>
      <c r="AF166" s="29"/>
      <c r="AG166" s="35"/>
      <c r="AH166" s="36"/>
      <c r="AI166" s="36"/>
      <c r="AJ166" s="30"/>
      <c r="AK166" s="29"/>
      <c r="AL166" s="35"/>
      <c r="AM166" s="36"/>
      <c r="AN166" s="36"/>
      <c r="AO166" s="30"/>
      <c r="AP166" s="29"/>
      <c r="AQ166" s="35"/>
      <c r="AR166" s="36"/>
      <c r="AS166" s="36"/>
      <c r="AT166" s="30"/>
      <c r="AU166" s="29"/>
      <c r="AV166" s="29"/>
      <c r="AW166" s="29"/>
      <c r="AX166" s="37"/>
      <c r="AY166" s="29"/>
      <c r="AZ166" s="38" t="str">
        <f aca="false">IF($C166="","",IF(OR(F166="Completed",F166="Cancelled"),"",IF(AND(OR(F166="On Hold",ISNUMBER(VALUE(LEFT(H166,2)))),AY166=""),"Reason not given","")))</f>
        <v/>
      </c>
      <c r="BA166" s="30"/>
    </row>
    <row r="167" customFormat="false" ht="19.5" hidden="false" customHeight="true" outlineLevel="0" collapsed="false">
      <c r="A167" s="28" t="str">
        <f aca="false">IF($C167="","",COUNTA($C$17:$C167))</f>
        <v/>
      </c>
      <c r="B167" s="29"/>
      <c r="C167" s="30"/>
      <c r="D167" s="29"/>
      <c r="E167" s="31" t="str">
        <f aca="false">IF($C167="","",IF(NOT(OR(M167="Completed",M167="NA",M167="Cancelled")),"S1 Schematic",IF(NOT(OR(R167="Completed",R167="NA",R167="Cancelled")),"S2 PCB Layout",IF(NOT(OR(W167="Completed",W167="NA",W167="Cancelled")),"S3 SI &amp; PI",IF(NOT(OR(AB167="Completed",AB167="NA",AB167="Cancelled")),"S4 Bare-PCB Fab",IF(NOT(OR(AG167="Completed",AG167="NA",AG167="Cancelled")),"S5 Assembly",IF(NOT(OR(AL167="Completed",AL167="NA",AL167="Cancelled")),"S6 Bring-up",IF(NOT(OR(AQ167="Completed",AQ167="NA",AQ167="Cancelled")),"S7 BOM Procurement","All Stages Closed"))))))))</f>
        <v/>
      </c>
      <c r="F167" s="32" t="str">
        <f aca="false">IF($C167="","",IF(COUNTIF(M167,"Cancelled")+COUNTIF(R167,"Cancelled")+COUNTIF(W167,"Cancelled")+COUNTIF(AB167,"Cancelled")+COUNTIF(AG167,"Cancelled")+COUNTIF(AL167,"Cancelled")+COUNTIF(AQ167,"Cancelled")&gt;0,"Cancelled",IF(E167="All Stages Closed","Completed",IF(E167="S1 Schematic",M167,IF(E167="S2 PCB Layout",R167,IF(E167="S3 SI &amp; PI",W167,IF(E167="S4 Bare-PCB Fab",AB167,IF(E167="S5 Assembly",AG167,IF(E167="S6 Bring-up",AL167,AQ167)))))))))</f>
        <v/>
      </c>
      <c r="G167" s="33" t="str">
        <f aca="false">IF($C167="","",IF(E167="All Stages Closed","",IF(E167="S1 Schematic",IF(N167="","Not added",N167),IF(E167="S2 PCB Layout",IF(S167="","Not added",S167),IF(E167="S3 SI &amp; PI",IF(X167="","Not added",X167),IF(E167="S4 Bare-PCB Fab",IF(AC167="","Not added",AC167),IF(E167="S5 Assembly",IF(AH167="","Not added",AH167),IF(E167="S6 Bring-up",IF(AM167="","Not added",AM167),IF(AR167="","Not added",AR167)))))))))</f>
        <v/>
      </c>
      <c r="H167" s="32" t="str">
        <f aca="true">IF($C167="","",IF(OR(F167="Completed",F167="Cancelled"),"",IF(NOT(ISNUMBER(G167)),"No date set",IF(TODAY()&gt;G167,TODAY()-G167&amp;" days late",G167-TODAY()&amp;" days left"))))</f>
        <v/>
      </c>
      <c r="I167" s="31" t="str">
        <f aca="false">IF($C167="","",COUNTIF(M167,"Completed")+COUNTIF(R167,"Completed")+COUNTIF(W167,"Completed")+COUNTIF(AB167,"Completed")+COUNTIF(AG167,"Completed")+COUNTIF(AL167,"Completed")+COUNTIF(AQ167,"Completed"))</f>
        <v/>
      </c>
      <c r="J167" s="31" t="str">
        <f aca="false">IF($C167="","",7-(COUNTIF(M167,"NA")+COUNTIF(R167,"NA")+COUNTIF(W167,"NA")+COUNTIF(AB167,"NA")+COUNTIF(AG167,"NA")+COUNTIF(AL167,"NA")+COUNTIF(AQ167,"NA")))</f>
        <v/>
      </c>
      <c r="K167" s="34" t="str">
        <f aca="false">IFERROR(I167/J167,"")</f>
        <v/>
      </c>
      <c r="L167" s="29"/>
      <c r="M167" s="35"/>
      <c r="N167" s="36"/>
      <c r="O167" s="36"/>
      <c r="P167" s="30"/>
      <c r="Q167" s="29"/>
      <c r="R167" s="35"/>
      <c r="S167" s="36"/>
      <c r="T167" s="36"/>
      <c r="U167" s="30"/>
      <c r="V167" s="29"/>
      <c r="W167" s="35"/>
      <c r="X167" s="36"/>
      <c r="Y167" s="36"/>
      <c r="Z167" s="30"/>
      <c r="AA167" s="29"/>
      <c r="AB167" s="35"/>
      <c r="AC167" s="36"/>
      <c r="AD167" s="36"/>
      <c r="AE167" s="30"/>
      <c r="AF167" s="29"/>
      <c r="AG167" s="35"/>
      <c r="AH167" s="36"/>
      <c r="AI167" s="36"/>
      <c r="AJ167" s="30"/>
      <c r="AK167" s="29"/>
      <c r="AL167" s="35"/>
      <c r="AM167" s="36"/>
      <c r="AN167" s="36"/>
      <c r="AO167" s="30"/>
      <c r="AP167" s="29"/>
      <c r="AQ167" s="35"/>
      <c r="AR167" s="36"/>
      <c r="AS167" s="36"/>
      <c r="AT167" s="30"/>
      <c r="AU167" s="29"/>
      <c r="AV167" s="29"/>
      <c r="AW167" s="29"/>
      <c r="AX167" s="37"/>
      <c r="AY167" s="29"/>
      <c r="AZ167" s="38" t="str">
        <f aca="false">IF($C167="","",IF(OR(F167="Completed",F167="Cancelled"),"",IF(AND(OR(F167="On Hold",ISNUMBER(VALUE(LEFT(H167,2)))),AY167=""),"Reason not given","")))</f>
        <v/>
      </c>
      <c r="BA167" s="30"/>
    </row>
    <row r="168" customFormat="false" ht="19.5" hidden="false" customHeight="true" outlineLevel="0" collapsed="false">
      <c r="A168" s="28" t="str">
        <f aca="false">IF($C168="","",COUNTA($C$17:$C168))</f>
        <v/>
      </c>
      <c r="B168" s="29"/>
      <c r="C168" s="30"/>
      <c r="D168" s="29"/>
      <c r="E168" s="31" t="str">
        <f aca="false">IF($C168="","",IF(NOT(OR(M168="Completed",M168="NA",M168="Cancelled")),"S1 Schematic",IF(NOT(OR(R168="Completed",R168="NA",R168="Cancelled")),"S2 PCB Layout",IF(NOT(OR(W168="Completed",W168="NA",W168="Cancelled")),"S3 SI &amp; PI",IF(NOT(OR(AB168="Completed",AB168="NA",AB168="Cancelled")),"S4 Bare-PCB Fab",IF(NOT(OR(AG168="Completed",AG168="NA",AG168="Cancelled")),"S5 Assembly",IF(NOT(OR(AL168="Completed",AL168="NA",AL168="Cancelled")),"S6 Bring-up",IF(NOT(OR(AQ168="Completed",AQ168="NA",AQ168="Cancelled")),"S7 BOM Procurement","All Stages Closed"))))))))</f>
        <v/>
      </c>
      <c r="F168" s="32" t="str">
        <f aca="false">IF($C168="","",IF(COUNTIF(M168,"Cancelled")+COUNTIF(R168,"Cancelled")+COUNTIF(W168,"Cancelled")+COUNTIF(AB168,"Cancelled")+COUNTIF(AG168,"Cancelled")+COUNTIF(AL168,"Cancelled")+COUNTIF(AQ168,"Cancelled")&gt;0,"Cancelled",IF(E168="All Stages Closed","Completed",IF(E168="S1 Schematic",M168,IF(E168="S2 PCB Layout",R168,IF(E168="S3 SI &amp; PI",W168,IF(E168="S4 Bare-PCB Fab",AB168,IF(E168="S5 Assembly",AG168,IF(E168="S6 Bring-up",AL168,AQ168)))))))))</f>
        <v/>
      </c>
      <c r="G168" s="33" t="str">
        <f aca="false">IF($C168="","",IF(E168="All Stages Closed","",IF(E168="S1 Schematic",IF(N168="","Not added",N168),IF(E168="S2 PCB Layout",IF(S168="","Not added",S168),IF(E168="S3 SI &amp; PI",IF(X168="","Not added",X168),IF(E168="S4 Bare-PCB Fab",IF(AC168="","Not added",AC168),IF(E168="S5 Assembly",IF(AH168="","Not added",AH168),IF(E168="S6 Bring-up",IF(AM168="","Not added",AM168),IF(AR168="","Not added",AR168)))))))))</f>
        <v/>
      </c>
      <c r="H168" s="32" t="str">
        <f aca="true">IF($C168="","",IF(OR(F168="Completed",F168="Cancelled"),"",IF(NOT(ISNUMBER(G168)),"No date set",IF(TODAY()&gt;G168,TODAY()-G168&amp;" days late",G168-TODAY()&amp;" days left"))))</f>
        <v/>
      </c>
      <c r="I168" s="31" t="str">
        <f aca="false">IF($C168="","",COUNTIF(M168,"Completed")+COUNTIF(R168,"Completed")+COUNTIF(W168,"Completed")+COUNTIF(AB168,"Completed")+COUNTIF(AG168,"Completed")+COUNTIF(AL168,"Completed")+COUNTIF(AQ168,"Completed"))</f>
        <v/>
      </c>
      <c r="J168" s="31" t="str">
        <f aca="false">IF($C168="","",7-(COUNTIF(M168,"NA")+COUNTIF(R168,"NA")+COUNTIF(W168,"NA")+COUNTIF(AB168,"NA")+COUNTIF(AG168,"NA")+COUNTIF(AL168,"NA")+COUNTIF(AQ168,"NA")))</f>
        <v/>
      </c>
      <c r="K168" s="34" t="str">
        <f aca="false">IFERROR(I168/J168,"")</f>
        <v/>
      </c>
      <c r="L168" s="29"/>
      <c r="M168" s="35"/>
      <c r="N168" s="36"/>
      <c r="O168" s="36"/>
      <c r="P168" s="30"/>
      <c r="Q168" s="29"/>
      <c r="R168" s="35"/>
      <c r="S168" s="36"/>
      <c r="T168" s="36"/>
      <c r="U168" s="30"/>
      <c r="V168" s="29"/>
      <c r="W168" s="35"/>
      <c r="X168" s="36"/>
      <c r="Y168" s="36"/>
      <c r="Z168" s="30"/>
      <c r="AA168" s="29"/>
      <c r="AB168" s="35"/>
      <c r="AC168" s="36"/>
      <c r="AD168" s="36"/>
      <c r="AE168" s="30"/>
      <c r="AF168" s="29"/>
      <c r="AG168" s="35"/>
      <c r="AH168" s="36"/>
      <c r="AI168" s="36"/>
      <c r="AJ168" s="30"/>
      <c r="AK168" s="29"/>
      <c r="AL168" s="35"/>
      <c r="AM168" s="36"/>
      <c r="AN168" s="36"/>
      <c r="AO168" s="30"/>
      <c r="AP168" s="29"/>
      <c r="AQ168" s="35"/>
      <c r="AR168" s="36"/>
      <c r="AS168" s="36"/>
      <c r="AT168" s="30"/>
      <c r="AU168" s="29"/>
      <c r="AV168" s="29"/>
      <c r="AW168" s="29"/>
      <c r="AX168" s="37"/>
      <c r="AY168" s="29"/>
      <c r="AZ168" s="38" t="str">
        <f aca="false">IF($C168="","",IF(OR(F168="Completed",F168="Cancelled"),"",IF(AND(OR(F168="On Hold",ISNUMBER(VALUE(LEFT(H168,2)))),AY168=""),"Reason not given","")))</f>
        <v/>
      </c>
      <c r="BA168" s="30"/>
    </row>
    <row r="169" customFormat="false" ht="19.5" hidden="false" customHeight="true" outlineLevel="0" collapsed="false">
      <c r="A169" s="28" t="str">
        <f aca="false">IF($C169="","",COUNTA($C$17:$C169))</f>
        <v/>
      </c>
      <c r="B169" s="29"/>
      <c r="C169" s="30"/>
      <c r="D169" s="29"/>
      <c r="E169" s="31" t="str">
        <f aca="false">IF($C169="","",IF(NOT(OR(M169="Completed",M169="NA",M169="Cancelled")),"S1 Schematic",IF(NOT(OR(R169="Completed",R169="NA",R169="Cancelled")),"S2 PCB Layout",IF(NOT(OR(W169="Completed",W169="NA",W169="Cancelled")),"S3 SI &amp; PI",IF(NOT(OR(AB169="Completed",AB169="NA",AB169="Cancelled")),"S4 Bare-PCB Fab",IF(NOT(OR(AG169="Completed",AG169="NA",AG169="Cancelled")),"S5 Assembly",IF(NOT(OR(AL169="Completed",AL169="NA",AL169="Cancelled")),"S6 Bring-up",IF(NOT(OR(AQ169="Completed",AQ169="NA",AQ169="Cancelled")),"S7 BOM Procurement","All Stages Closed"))))))))</f>
        <v/>
      </c>
      <c r="F169" s="32" t="str">
        <f aca="false">IF($C169="","",IF(COUNTIF(M169,"Cancelled")+COUNTIF(R169,"Cancelled")+COUNTIF(W169,"Cancelled")+COUNTIF(AB169,"Cancelled")+COUNTIF(AG169,"Cancelled")+COUNTIF(AL169,"Cancelled")+COUNTIF(AQ169,"Cancelled")&gt;0,"Cancelled",IF(E169="All Stages Closed","Completed",IF(E169="S1 Schematic",M169,IF(E169="S2 PCB Layout",R169,IF(E169="S3 SI &amp; PI",W169,IF(E169="S4 Bare-PCB Fab",AB169,IF(E169="S5 Assembly",AG169,IF(E169="S6 Bring-up",AL169,AQ169)))))))))</f>
        <v/>
      </c>
      <c r="G169" s="33" t="str">
        <f aca="false">IF($C169="","",IF(E169="All Stages Closed","",IF(E169="S1 Schematic",IF(N169="","Not added",N169),IF(E169="S2 PCB Layout",IF(S169="","Not added",S169),IF(E169="S3 SI &amp; PI",IF(X169="","Not added",X169),IF(E169="S4 Bare-PCB Fab",IF(AC169="","Not added",AC169),IF(E169="S5 Assembly",IF(AH169="","Not added",AH169),IF(E169="S6 Bring-up",IF(AM169="","Not added",AM169),IF(AR169="","Not added",AR169)))))))))</f>
        <v/>
      </c>
      <c r="H169" s="32" t="str">
        <f aca="true">IF($C169="","",IF(OR(F169="Completed",F169="Cancelled"),"",IF(NOT(ISNUMBER(G169)),"No date set",IF(TODAY()&gt;G169,TODAY()-G169&amp;" days late",G169-TODAY()&amp;" days left"))))</f>
        <v/>
      </c>
      <c r="I169" s="31" t="str">
        <f aca="false">IF($C169="","",COUNTIF(M169,"Completed")+COUNTIF(R169,"Completed")+COUNTIF(W169,"Completed")+COUNTIF(AB169,"Completed")+COUNTIF(AG169,"Completed")+COUNTIF(AL169,"Completed")+COUNTIF(AQ169,"Completed"))</f>
        <v/>
      </c>
      <c r="J169" s="31" t="str">
        <f aca="false">IF($C169="","",7-(COUNTIF(M169,"NA")+COUNTIF(R169,"NA")+COUNTIF(W169,"NA")+COUNTIF(AB169,"NA")+COUNTIF(AG169,"NA")+COUNTIF(AL169,"NA")+COUNTIF(AQ169,"NA")))</f>
        <v/>
      </c>
      <c r="K169" s="34" t="str">
        <f aca="false">IFERROR(I169/J169,"")</f>
        <v/>
      </c>
      <c r="L169" s="29"/>
      <c r="M169" s="35"/>
      <c r="N169" s="36"/>
      <c r="O169" s="36"/>
      <c r="P169" s="30"/>
      <c r="Q169" s="29"/>
      <c r="R169" s="35"/>
      <c r="S169" s="36"/>
      <c r="T169" s="36"/>
      <c r="U169" s="30"/>
      <c r="V169" s="29"/>
      <c r="W169" s="35"/>
      <c r="X169" s="36"/>
      <c r="Y169" s="36"/>
      <c r="Z169" s="30"/>
      <c r="AA169" s="29"/>
      <c r="AB169" s="35"/>
      <c r="AC169" s="36"/>
      <c r="AD169" s="36"/>
      <c r="AE169" s="30"/>
      <c r="AF169" s="29"/>
      <c r="AG169" s="35"/>
      <c r="AH169" s="36"/>
      <c r="AI169" s="36"/>
      <c r="AJ169" s="30"/>
      <c r="AK169" s="29"/>
      <c r="AL169" s="35"/>
      <c r="AM169" s="36"/>
      <c r="AN169" s="36"/>
      <c r="AO169" s="30"/>
      <c r="AP169" s="29"/>
      <c r="AQ169" s="35"/>
      <c r="AR169" s="36"/>
      <c r="AS169" s="36"/>
      <c r="AT169" s="30"/>
      <c r="AU169" s="29"/>
      <c r="AV169" s="29"/>
      <c r="AW169" s="29"/>
      <c r="AX169" s="37"/>
      <c r="AY169" s="29"/>
      <c r="AZ169" s="38" t="str">
        <f aca="false">IF($C169="","",IF(OR(F169="Completed",F169="Cancelled"),"",IF(AND(OR(F169="On Hold",ISNUMBER(VALUE(LEFT(H169,2)))),AY169=""),"Reason not given","")))</f>
        <v/>
      </c>
      <c r="BA169" s="30"/>
    </row>
    <row r="170" customFormat="false" ht="19.5" hidden="false" customHeight="true" outlineLevel="0" collapsed="false">
      <c r="A170" s="28" t="str">
        <f aca="false">IF($C170="","",COUNTA($C$17:$C170))</f>
        <v/>
      </c>
      <c r="B170" s="29"/>
      <c r="C170" s="30"/>
      <c r="D170" s="29"/>
      <c r="E170" s="31" t="str">
        <f aca="false">IF($C170="","",IF(NOT(OR(M170="Completed",M170="NA",M170="Cancelled")),"S1 Schematic",IF(NOT(OR(R170="Completed",R170="NA",R170="Cancelled")),"S2 PCB Layout",IF(NOT(OR(W170="Completed",W170="NA",W170="Cancelled")),"S3 SI &amp; PI",IF(NOT(OR(AB170="Completed",AB170="NA",AB170="Cancelled")),"S4 Bare-PCB Fab",IF(NOT(OR(AG170="Completed",AG170="NA",AG170="Cancelled")),"S5 Assembly",IF(NOT(OR(AL170="Completed",AL170="NA",AL170="Cancelled")),"S6 Bring-up",IF(NOT(OR(AQ170="Completed",AQ170="NA",AQ170="Cancelled")),"S7 BOM Procurement","All Stages Closed"))))))))</f>
        <v/>
      </c>
      <c r="F170" s="32" t="str">
        <f aca="false">IF($C170="","",IF(COUNTIF(M170,"Cancelled")+COUNTIF(R170,"Cancelled")+COUNTIF(W170,"Cancelled")+COUNTIF(AB170,"Cancelled")+COUNTIF(AG170,"Cancelled")+COUNTIF(AL170,"Cancelled")+COUNTIF(AQ170,"Cancelled")&gt;0,"Cancelled",IF(E170="All Stages Closed","Completed",IF(E170="S1 Schematic",M170,IF(E170="S2 PCB Layout",R170,IF(E170="S3 SI &amp; PI",W170,IF(E170="S4 Bare-PCB Fab",AB170,IF(E170="S5 Assembly",AG170,IF(E170="S6 Bring-up",AL170,AQ170)))))))))</f>
        <v/>
      </c>
      <c r="G170" s="33" t="str">
        <f aca="false">IF($C170="","",IF(E170="All Stages Closed","",IF(E170="S1 Schematic",IF(N170="","Not added",N170),IF(E170="S2 PCB Layout",IF(S170="","Not added",S170),IF(E170="S3 SI &amp; PI",IF(X170="","Not added",X170),IF(E170="S4 Bare-PCB Fab",IF(AC170="","Not added",AC170),IF(E170="S5 Assembly",IF(AH170="","Not added",AH170),IF(E170="S6 Bring-up",IF(AM170="","Not added",AM170),IF(AR170="","Not added",AR170)))))))))</f>
        <v/>
      </c>
      <c r="H170" s="32" t="str">
        <f aca="true">IF($C170="","",IF(OR(F170="Completed",F170="Cancelled"),"",IF(NOT(ISNUMBER(G170)),"No date set",IF(TODAY()&gt;G170,TODAY()-G170&amp;" days late",G170-TODAY()&amp;" days left"))))</f>
        <v/>
      </c>
      <c r="I170" s="31" t="str">
        <f aca="false">IF($C170="","",COUNTIF(M170,"Completed")+COUNTIF(R170,"Completed")+COUNTIF(W170,"Completed")+COUNTIF(AB170,"Completed")+COUNTIF(AG170,"Completed")+COUNTIF(AL170,"Completed")+COUNTIF(AQ170,"Completed"))</f>
        <v/>
      </c>
      <c r="J170" s="31" t="str">
        <f aca="false">IF($C170="","",7-(COUNTIF(M170,"NA")+COUNTIF(R170,"NA")+COUNTIF(W170,"NA")+COUNTIF(AB170,"NA")+COUNTIF(AG170,"NA")+COUNTIF(AL170,"NA")+COUNTIF(AQ170,"NA")))</f>
        <v/>
      </c>
      <c r="K170" s="34" t="str">
        <f aca="false">IFERROR(I170/J170,"")</f>
        <v/>
      </c>
      <c r="L170" s="29"/>
      <c r="M170" s="35"/>
      <c r="N170" s="36"/>
      <c r="O170" s="36"/>
      <c r="P170" s="30"/>
      <c r="Q170" s="29"/>
      <c r="R170" s="35"/>
      <c r="S170" s="36"/>
      <c r="T170" s="36"/>
      <c r="U170" s="30"/>
      <c r="V170" s="29"/>
      <c r="W170" s="35"/>
      <c r="X170" s="36"/>
      <c r="Y170" s="36"/>
      <c r="Z170" s="30"/>
      <c r="AA170" s="29"/>
      <c r="AB170" s="35"/>
      <c r="AC170" s="36"/>
      <c r="AD170" s="36"/>
      <c r="AE170" s="30"/>
      <c r="AF170" s="29"/>
      <c r="AG170" s="35"/>
      <c r="AH170" s="36"/>
      <c r="AI170" s="36"/>
      <c r="AJ170" s="30"/>
      <c r="AK170" s="29"/>
      <c r="AL170" s="35"/>
      <c r="AM170" s="36"/>
      <c r="AN170" s="36"/>
      <c r="AO170" s="30"/>
      <c r="AP170" s="29"/>
      <c r="AQ170" s="35"/>
      <c r="AR170" s="36"/>
      <c r="AS170" s="36"/>
      <c r="AT170" s="30"/>
      <c r="AU170" s="29"/>
      <c r="AV170" s="29"/>
      <c r="AW170" s="29"/>
      <c r="AX170" s="37"/>
      <c r="AY170" s="29"/>
      <c r="AZ170" s="38" t="str">
        <f aca="false">IF($C170="","",IF(OR(F170="Completed",F170="Cancelled"),"",IF(AND(OR(F170="On Hold",ISNUMBER(VALUE(LEFT(H170,2)))),AY170=""),"Reason not given","")))</f>
        <v/>
      </c>
      <c r="BA170" s="30"/>
    </row>
    <row r="171" customFormat="false" ht="19.5" hidden="false" customHeight="true" outlineLevel="0" collapsed="false">
      <c r="A171" s="28" t="str">
        <f aca="false">IF($C171="","",COUNTA($C$17:$C171))</f>
        <v/>
      </c>
      <c r="B171" s="29"/>
      <c r="C171" s="30"/>
      <c r="D171" s="29"/>
      <c r="E171" s="31" t="str">
        <f aca="false">IF($C171="","",IF(NOT(OR(M171="Completed",M171="NA",M171="Cancelled")),"S1 Schematic",IF(NOT(OR(R171="Completed",R171="NA",R171="Cancelled")),"S2 PCB Layout",IF(NOT(OR(W171="Completed",W171="NA",W171="Cancelled")),"S3 SI &amp; PI",IF(NOT(OR(AB171="Completed",AB171="NA",AB171="Cancelled")),"S4 Bare-PCB Fab",IF(NOT(OR(AG171="Completed",AG171="NA",AG171="Cancelled")),"S5 Assembly",IF(NOT(OR(AL171="Completed",AL171="NA",AL171="Cancelled")),"S6 Bring-up",IF(NOT(OR(AQ171="Completed",AQ171="NA",AQ171="Cancelled")),"S7 BOM Procurement","All Stages Closed"))))))))</f>
        <v/>
      </c>
      <c r="F171" s="32" t="str">
        <f aca="false">IF($C171="","",IF(COUNTIF(M171,"Cancelled")+COUNTIF(R171,"Cancelled")+COUNTIF(W171,"Cancelled")+COUNTIF(AB171,"Cancelled")+COUNTIF(AG171,"Cancelled")+COUNTIF(AL171,"Cancelled")+COUNTIF(AQ171,"Cancelled")&gt;0,"Cancelled",IF(E171="All Stages Closed","Completed",IF(E171="S1 Schematic",M171,IF(E171="S2 PCB Layout",R171,IF(E171="S3 SI &amp; PI",W171,IF(E171="S4 Bare-PCB Fab",AB171,IF(E171="S5 Assembly",AG171,IF(E171="S6 Bring-up",AL171,AQ171)))))))))</f>
        <v/>
      </c>
      <c r="G171" s="33" t="str">
        <f aca="false">IF($C171="","",IF(E171="All Stages Closed","",IF(E171="S1 Schematic",IF(N171="","Not added",N171),IF(E171="S2 PCB Layout",IF(S171="","Not added",S171),IF(E171="S3 SI &amp; PI",IF(X171="","Not added",X171),IF(E171="S4 Bare-PCB Fab",IF(AC171="","Not added",AC171),IF(E171="S5 Assembly",IF(AH171="","Not added",AH171),IF(E171="S6 Bring-up",IF(AM171="","Not added",AM171),IF(AR171="","Not added",AR171)))))))))</f>
        <v/>
      </c>
      <c r="H171" s="32" t="str">
        <f aca="true">IF($C171="","",IF(OR(F171="Completed",F171="Cancelled"),"",IF(NOT(ISNUMBER(G171)),"No date set",IF(TODAY()&gt;G171,TODAY()-G171&amp;" days late",G171-TODAY()&amp;" days left"))))</f>
        <v/>
      </c>
      <c r="I171" s="31" t="str">
        <f aca="false">IF($C171="","",COUNTIF(M171,"Completed")+COUNTIF(R171,"Completed")+COUNTIF(W171,"Completed")+COUNTIF(AB171,"Completed")+COUNTIF(AG171,"Completed")+COUNTIF(AL171,"Completed")+COUNTIF(AQ171,"Completed"))</f>
        <v/>
      </c>
      <c r="J171" s="31" t="str">
        <f aca="false">IF($C171="","",7-(COUNTIF(M171,"NA")+COUNTIF(R171,"NA")+COUNTIF(W171,"NA")+COUNTIF(AB171,"NA")+COUNTIF(AG171,"NA")+COUNTIF(AL171,"NA")+COUNTIF(AQ171,"NA")))</f>
        <v/>
      </c>
      <c r="K171" s="34" t="str">
        <f aca="false">IFERROR(I171/J171,"")</f>
        <v/>
      </c>
      <c r="L171" s="29"/>
      <c r="M171" s="35"/>
      <c r="N171" s="36"/>
      <c r="O171" s="36"/>
      <c r="P171" s="30"/>
      <c r="Q171" s="29"/>
      <c r="R171" s="35"/>
      <c r="S171" s="36"/>
      <c r="T171" s="36"/>
      <c r="U171" s="30"/>
      <c r="V171" s="29"/>
      <c r="W171" s="35"/>
      <c r="X171" s="36"/>
      <c r="Y171" s="36"/>
      <c r="Z171" s="30"/>
      <c r="AA171" s="29"/>
      <c r="AB171" s="35"/>
      <c r="AC171" s="36"/>
      <c r="AD171" s="36"/>
      <c r="AE171" s="30"/>
      <c r="AF171" s="29"/>
      <c r="AG171" s="35"/>
      <c r="AH171" s="36"/>
      <c r="AI171" s="36"/>
      <c r="AJ171" s="30"/>
      <c r="AK171" s="29"/>
      <c r="AL171" s="35"/>
      <c r="AM171" s="36"/>
      <c r="AN171" s="36"/>
      <c r="AO171" s="30"/>
      <c r="AP171" s="29"/>
      <c r="AQ171" s="35"/>
      <c r="AR171" s="36"/>
      <c r="AS171" s="36"/>
      <c r="AT171" s="30"/>
      <c r="AU171" s="29"/>
      <c r="AV171" s="29"/>
      <c r="AW171" s="29"/>
      <c r="AX171" s="37"/>
      <c r="AY171" s="29"/>
      <c r="AZ171" s="38" t="str">
        <f aca="false">IF($C171="","",IF(OR(F171="Completed",F171="Cancelled"),"",IF(AND(OR(F171="On Hold",ISNUMBER(VALUE(LEFT(H171,2)))),AY171=""),"Reason not given","")))</f>
        <v/>
      </c>
      <c r="BA171" s="30"/>
    </row>
    <row r="172" customFormat="false" ht="19.5" hidden="false" customHeight="true" outlineLevel="0" collapsed="false">
      <c r="A172" s="28" t="str">
        <f aca="false">IF($C172="","",COUNTA($C$17:$C172))</f>
        <v/>
      </c>
      <c r="B172" s="29"/>
      <c r="C172" s="30"/>
      <c r="D172" s="29"/>
      <c r="E172" s="31" t="str">
        <f aca="false">IF($C172="","",IF(NOT(OR(M172="Completed",M172="NA",M172="Cancelled")),"S1 Schematic",IF(NOT(OR(R172="Completed",R172="NA",R172="Cancelled")),"S2 PCB Layout",IF(NOT(OR(W172="Completed",W172="NA",W172="Cancelled")),"S3 SI &amp; PI",IF(NOT(OR(AB172="Completed",AB172="NA",AB172="Cancelled")),"S4 Bare-PCB Fab",IF(NOT(OR(AG172="Completed",AG172="NA",AG172="Cancelled")),"S5 Assembly",IF(NOT(OR(AL172="Completed",AL172="NA",AL172="Cancelled")),"S6 Bring-up",IF(NOT(OR(AQ172="Completed",AQ172="NA",AQ172="Cancelled")),"S7 BOM Procurement","All Stages Closed"))))))))</f>
        <v/>
      </c>
      <c r="F172" s="32" t="str">
        <f aca="false">IF($C172="","",IF(COUNTIF(M172,"Cancelled")+COUNTIF(R172,"Cancelled")+COUNTIF(W172,"Cancelled")+COUNTIF(AB172,"Cancelled")+COUNTIF(AG172,"Cancelled")+COUNTIF(AL172,"Cancelled")+COUNTIF(AQ172,"Cancelled")&gt;0,"Cancelled",IF(E172="All Stages Closed","Completed",IF(E172="S1 Schematic",M172,IF(E172="S2 PCB Layout",R172,IF(E172="S3 SI &amp; PI",W172,IF(E172="S4 Bare-PCB Fab",AB172,IF(E172="S5 Assembly",AG172,IF(E172="S6 Bring-up",AL172,AQ172)))))))))</f>
        <v/>
      </c>
      <c r="G172" s="33" t="str">
        <f aca="false">IF($C172="","",IF(E172="All Stages Closed","",IF(E172="S1 Schematic",IF(N172="","Not added",N172),IF(E172="S2 PCB Layout",IF(S172="","Not added",S172),IF(E172="S3 SI &amp; PI",IF(X172="","Not added",X172),IF(E172="S4 Bare-PCB Fab",IF(AC172="","Not added",AC172),IF(E172="S5 Assembly",IF(AH172="","Not added",AH172),IF(E172="S6 Bring-up",IF(AM172="","Not added",AM172),IF(AR172="","Not added",AR172)))))))))</f>
        <v/>
      </c>
      <c r="H172" s="32" t="str">
        <f aca="true">IF($C172="","",IF(OR(F172="Completed",F172="Cancelled"),"",IF(NOT(ISNUMBER(G172)),"No date set",IF(TODAY()&gt;G172,TODAY()-G172&amp;" days late",G172-TODAY()&amp;" days left"))))</f>
        <v/>
      </c>
      <c r="I172" s="31" t="str">
        <f aca="false">IF($C172="","",COUNTIF(M172,"Completed")+COUNTIF(R172,"Completed")+COUNTIF(W172,"Completed")+COUNTIF(AB172,"Completed")+COUNTIF(AG172,"Completed")+COUNTIF(AL172,"Completed")+COUNTIF(AQ172,"Completed"))</f>
        <v/>
      </c>
      <c r="J172" s="31" t="str">
        <f aca="false">IF($C172="","",7-(COUNTIF(M172,"NA")+COUNTIF(R172,"NA")+COUNTIF(W172,"NA")+COUNTIF(AB172,"NA")+COUNTIF(AG172,"NA")+COUNTIF(AL172,"NA")+COUNTIF(AQ172,"NA")))</f>
        <v/>
      </c>
      <c r="K172" s="34" t="str">
        <f aca="false">IFERROR(I172/J172,"")</f>
        <v/>
      </c>
      <c r="L172" s="29"/>
      <c r="M172" s="35"/>
      <c r="N172" s="36"/>
      <c r="O172" s="36"/>
      <c r="P172" s="30"/>
      <c r="Q172" s="29"/>
      <c r="R172" s="35"/>
      <c r="S172" s="36"/>
      <c r="T172" s="36"/>
      <c r="U172" s="30"/>
      <c r="V172" s="29"/>
      <c r="W172" s="35"/>
      <c r="X172" s="36"/>
      <c r="Y172" s="36"/>
      <c r="Z172" s="30"/>
      <c r="AA172" s="29"/>
      <c r="AB172" s="35"/>
      <c r="AC172" s="36"/>
      <c r="AD172" s="36"/>
      <c r="AE172" s="30"/>
      <c r="AF172" s="29"/>
      <c r="AG172" s="35"/>
      <c r="AH172" s="36"/>
      <c r="AI172" s="36"/>
      <c r="AJ172" s="30"/>
      <c r="AK172" s="29"/>
      <c r="AL172" s="35"/>
      <c r="AM172" s="36"/>
      <c r="AN172" s="36"/>
      <c r="AO172" s="30"/>
      <c r="AP172" s="29"/>
      <c r="AQ172" s="35"/>
      <c r="AR172" s="36"/>
      <c r="AS172" s="36"/>
      <c r="AT172" s="30"/>
      <c r="AU172" s="29"/>
      <c r="AV172" s="29"/>
      <c r="AW172" s="29"/>
      <c r="AX172" s="37"/>
      <c r="AY172" s="29"/>
      <c r="AZ172" s="38" t="str">
        <f aca="false">IF($C172="","",IF(OR(F172="Completed",F172="Cancelled"),"",IF(AND(OR(F172="On Hold",ISNUMBER(VALUE(LEFT(H172,2)))),AY172=""),"Reason not given","")))</f>
        <v/>
      </c>
      <c r="BA172" s="30"/>
    </row>
    <row r="173" customFormat="false" ht="19.5" hidden="false" customHeight="true" outlineLevel="0" collapsed="false">
      <c r="A173" s="28" t="str">
        <f aca="false">IF($C173="","",COUNTA($C$17:$C173))</f>
        <v/>
      </c>
      <c r="B173" s="29"/>
      <c r="C173" s="30"/>
      <c r="D173" s="29"/>
      <c r="E173" s="31" t="str">
        <f aca="false">IF($C173="","",IF(NOT(OR(M173="Completed",M173="NA",M173="Cancelled")),"S1 Schematic",IF(NOT(OR(R173="Completed",R173="NA",R173="Cancelled")),"S2 PCB Layout",IF(NOT(OR(W173="Completed",W173="NA",W173="Cancelled")),"S3 SI &amp; PI",IF(NOT(OR(AB173="Completed",AB173="NA",AB173="Cancelled")),"S4 Bare-PCB Fab",IF(NOT(OR(AG173="Completed",AG173="NA",AG173="Cancelled")),"S5 Assembly",IF(NOT(OR(AL173="Completed",AL173="NA",AL173="Cancelled")),"S6 Bring-up",IF(NOT(OR(AQ173="Completed",AQ173="NA",AQ173="Cancelled")),"S7 BOM Procurement","All Stages Closed"))))))))</f>
        <v/>
      </c>
      <c r="F173" s="32" t="str">
        <f aca="false">IF($C173="","",IF(COUNTIF(M173,"Cancelled")+COUNTIF(R173,"Cancelled")+COUNTIF(W173,"Cancelled")+COUNTIF(AB173,"Cancelled")+COUNTIF(AG173,"Cancelled")+COUNTIF(AL173,"Cancelled")+COUNTIF(AQ173,"Cancelled")&gt;0,"Cancelled",IF(E173="All Stages Closed","Completed",IF(E173="S1 Schematic",M173,IF(E173="S2 PCB Layout",R173,IF(E173="S3 SI &amp; PI",W173,IF(E173="S4 Bare-PCB Fab",AB173,IF(E173="S5 Assembly",AG173,IF(E173="S6 Bring-up",AL173,AQ173)))))))))</f>
        <v/>
      </c>
      <c r="G173" s="33" t="str">
        <f aca="false">IF($C173="","",IF(E173="All Stages Closed","",IF(E173="S1 Schematic",IF(N173="","Not added",N173),IF(E173="S2 PCB Layout",IF(S173="","Not added",S173),IF(E173="S3 SI &amp; PI",IF(X173="","Not added",X173),IF(E173="S4 Bare-PCB Fab",IF(AC173="","Not added",AC173),IF(E173="S5 Assembly",IF(AH173="","Not added",AH173),IF(E173="S6 Bring-up",IF(AM173="","Not added",AM173),IF(AR173="","Not added",AR173)))))))))</f>
        <v/>
      </c>
      <c r="H173" s="32" t="str">
        <f aca="true">IF($C173="","",IF(OR(F173="Completed",F173="Cancelled"),"",IF(NOT(ISNUMBER(G173)),"No date set",IF(TODAY()&gt;G173,TODAY()-G173&amp;" days late",G173-TODAY()&amp;" days left"))))</f>
        <v/>
      </c>
      <c r="I173" s="31" t="str">
        <f aca="false">IF($C173="","",COUNTIF(M173,"Completed")+COUNTIF(R173,"Completed")+COUNTIF(W173,"Completed")+COUNTIF(AB173,"Completed")+COUNTIF(AG173,"Completed")+COUNTIF(AL173,"Completed")+COUNTIF(AQ173,"Completed"))</f>
        <v/>
      </c>
      <c r="J173" s="31" t="str">
        <f aca="false">IF($C173="","",7-(COUNTIF(M173,"NA")+COUNTIF(R173,"NA")+COUNTIF(W173,"NA")+COUNTIF(AB173,"NA")+COUNTIF(AG173,"NA")+COUNTIF(AL173,"NA")+COUNTIF(AQ173,"NA")))</f>
        <v/>
      </c>
      <c r="K173" s="34" t="str">
        <f aca="false">IFERROR(I173/J173,"")</f>
        <v/>
      </c>
      <c r="L173" s="29"/>
      <c r="M173" s="35"/>
      <c r="N173" s="36"/>
      <c r="O173" s="36"/>
      <c r="P173" s="30"/>
      <c r="Q173" s="29"/>
      <c r="R173" s="35"/>
      <c r="S173" s="36"/>
      <c r="T173" s="36"/>
      <c r="U173" s="30"/>
      <c r="V173" s="29"/>
      <c r="W173" s="35"/>
      <c r="X173" s="36"/>
      <c r="Y173" s="36"/>
      <c r="Z173" s="30"/>
      <c r="AA173" s="29"/>
      <c r="AB173" s="35"/>
      <c r="AC173" s="36"/>
      <c r="AD173" s="36"/>
      <c r="AE173" s="30"/>
      <c r="AF173" s="29"/>
      <c r="AG173" s="35"/>
      <c r="AH173" s="36"/>
      <c r="AI173" s="36"/>
      <c r="AJ173" s="30"/>
      <c r="AK173" s="29"/>
      <c r="AL173" s="35"/>
      <c r="AM173" s="36"/>
      <c r="AN173" s="36"/>
      <c r="AO173" s="30"/>
      <c r="AP173" s="29"/>
      <c r="AQ173" s="35"/>
      <c r="AR173" s="36"/>
      <c r="AS173" s="36"/>
      <c r="AT173" s="30"/>
      <c r="AU173" s="29"/>
      <c r="AV173" s="29"/>
      <c r="AW173" s="29"/>
      <c r="AX173" s="37"/>
      <c r="AY173" s="29"/>
      <c r="AZ173" s="38" t="str">
        <f aca="false">IF($C173="","",IF(OR(F173="Completed",F173="Cancelled"),"",IF(AND(OR(F173="On Hold",ISNUMBER(VALUE(LEFT(H173,2)))),AY173=""),"Reason not given","")))</f>
        <v/>
      </c>
      <c r="BA173" s="30"/>
    </row>
    <row r="174" customFormat="false" ht="19.5" hidden="false" customHeight="true" outlineLevel="0" collapsed="false">
      <c r="A174" s="28" t="str">
        <f aca="false">IF($C174="","",COUNTA($C$17:$C174))</f>
        <v/>
      </c>
      <c r="B174" s="29"/>
      <c r="C174" s="30"/>
      <c r="D174" s="29"/>
      <c r="E174" s="31" t="str">
        <f aca="false">IF($C174="","",IF(NOT(OR(M174="Completed",M174="NA",M174="Cancelled")),"S1 Schematic",IF(NOT(OR(R174="Completed",R174="NA",R174="Cancelled")),"S2 PCB Layout",IF(NOT(OR(W174="Completed",W174="NA",W174="Cancelled")),"S3 SI &amp; PI",IF(NOT(OR(AB174="Completed",AB174="NA",AB174="Cancelled")),"S4 Bare-PCB Fab",IF(NOT(OR(AG174="Completed",AG174="NA",AG174="Cancelled")),"S5 Assembly",IF(NOT(OR(AL174="Completed",AL174="NA",AL174="Cancelled")),"S6 Bring-up",IF(NOT(OR(AQ174="Completed",AQ174="NA",AQ174="Cancelled")),"S7 BOM Procurement","All Stages Closed"))))))))</f>
        <v/>
      </c>
      <c r="F174" s="32" t="str">
        <f aca="false">IF($C174="","",IF(COUNTIF(M174,"Cancelled")+COUNTIF(R174,"Cancelled")+COUNTIF(W174,"Cancelled")+COUNTIF(AB174,"Cancelled")+COUNTIF(AG174,"Cancelled")+COUNTIF(AL174,"Cancelled")+COUNTIF(AQ174,"Cancelled")&gt;0,"Cancelled",IF(E174="All Stages Closed","Completed",IF(E174="S1 Schematic",M174,IF(E174="S2 PCB Layout",R174,IF(E174="S3 SI &amp; PI",W174,IF(E174="S4 Bare-PCB Fab",AB174,IF(E174="S5 Assembly",AG174,IF(E174="S6 Bring-up",AL174,AQ174)))))))))</f>
        <v/>
      </c>
      <c r="G174" s="33" t="str">
        <f aca="false">IF($C174="","",IF(E174="All Stages Closed","",IF(E174="S1 Schematic",IF(N174="","Not added",N174),IF(E174="S2 PCB Layout",IF(S174="","Not added",S174),IF(E174="S3 SI &amp; PI",IF(X174="","Not added",X174),IF(E174="S4 Bare-PCB Fab",IF(AC174="","Not added",AC174),IF(E174="S5 Assembly",IF(AH174="","Not added",AH174),IF(E174="S6 Bring-up",IF(AM174="","Not added",AM174),IF(AR174="","Not added",AR174)))))))))</f>
        <v/>
      </c>
      <c r="H174" s="32" t="str">
        <f aca="true">IF($C174="","",IF(OR(F174="Completed",F174="Cancelled"),"",IF(NOT(ISNUMBER(G174)),"No date set",IF(TODAY()&gt;G174,TODAY()-G174&amp;" days late",G174-TODAY()&amp;" days left"))))</f>
        <v/>
      </c>
      <c r="I174" s="31" t="str">
        <f aca="false">IF($C174="","",COUNTIF(M174,"Completed")+COUNTIF(R174,"Completed")+COUNTIF(W174,"Completed")+COUNTIF(AB174,"Completed")+COUNTIF(AG174,"Completed")+COUNTIF(AL174,"Completed")+COUNTIF(AQ174,"Completed"))</f>
        <v/>
      </c>
      <c r="J174" s="31" t="str">
        <f aca="false">IF($C174="","",7-(COUNTIF(M174,"NA")+COUNTIF(R174,"NA")+COUNTIF(W174,"NA")+COUNTIF(AB174,"NA")+COUNTIF(AG174,"NA")+COUNTIF(AL174,"NA")+COUNTIF(AQ174,"NA")))</f>
        <v/>
      </c>
      <c r="K174" s="34" t="str">
        <f aca="false">IFERROR(I174/J174,"")</f>
        <v/>
      </c>
      <c r="L174" s="29"/>
      <c r="M174" s="35"/>
      <c r="N174" s="36"/>
      <c r="O174" s="36"/>
      <c r="P174" s="30"/>
      <c r="Q174" s="29"/>
      <c r="R174" s="35"/>
      <c r="S174" s="36"/>
      <c r="T174" s="36"/>
      <c r="U174" s="30"/>
      <c r="V174" s="29"/>
      <c r="W174" s="35"/>
      <c r="X174" s="36"/>
      <c r="Y174" s="36"/>
      <c r="Z174" s="30"/>
      <c r="AA174" s="29"/>
      <c r="AB174" s="35"/>
      <c r="AC174" s="36"/>
      <c r="AD174" s="36"/>
      <c r="AE174" s="30"/>
      <c r="AF174" s="29"/>
      <c r="AG174" s="35"/>
      <c r="AH174" s="36"/>
      <c r="AI174" s="36"/>
      <c r="AJ174" s="30"/>
      <c r="AK174" s="29"/>
      <c r="AL174" s="35"/>
      <c r="AM174" s="36"/>
      <c r="AN174" s="36"/>
      <c r="AO174" s="30"/>
      <c r="AP174" s="29"/>
      <c r="AQ174" s="35"/>
      <c r="AR174" s="36"/>
      <c r="AS174" s="36"/>
      <c r="AT174" s="30"/>
      <c r="AU174" s="29"/>
      <c r="AV174" s="29"/>
      <c r="AW174" s="29"/>
      <c r="AX174" s="37"/>
      <c r="AY174" s="29"/>
      <c r="AZ174" s="38" t="str">
        <f aca="false">IF($C174="","",IF(OR(F174="Completed",F174="Cancelled"),"",IF(AND(OR(F174="On Hold",ISNUMBER(VALUE(LEFT(H174,2)))),AY174=""),"Reason not given","")))</f>
        <v/>
      </c>
      <c r="BA174" s="30"/>
    </row>
    <row r="175" customFormat="false" ht="19.5" hidden="false" customHeight="true" outlineLevel="0" collapsed="false">
      <c r="A175" s="28" t="str">
        <f aca="false">IF($C175="","",COUNTA($C$17:$C175))</f>
        <v/>
      </c>
      <c r="B175" s="29"/>
      <c r="C175" s="30"/>
      <c r="D175" s="29"/>
      <c r="E175" s="31" t="str">
        <f aca="false">IF($C175="","",IF(NOT(OR(M175="Completed",M175="NA",M175="Cancelled")),"S1 Schematic",IF(NOT(OR(R175="Completed",R175="NA",R175="Cancelled")),"S2 PCB Layout",IF(NOT(OR(W175="Completed",W175="NA",W175="Cancelled")),"S3 SI &amp; PI",IF(NOT(OR(AB175="Completed",AB175="NA",AB175="Cancelled")),"S4 Bare-PCB Fab",IF(NOT(OR(AG175="Completed",AG175="NA",AG175="Cancelled")),"S5 Assembly",IF(NOT(OR(AL175="Completed",AL175="NA",AL175="Cancelled")),"S6 Bring-up",IF(NOT(OR(AQ175="Completed",AQ175="NA",AQ175="Cancelled")),"S7 BOM Procurement","All Stages Closed"))))))))</f>
        <v/>
      </c>
      <c r="F175" s="32" t="str">
        <f aca="false">IF($C175="","",IF(COUNTIF(M175,"Cancelled")+COUNTIF(R175,"Cancelled")+COUNTIF(W175,"Cancelled")+COUNTIF(AB175,"Cancelled")+COUNTIF(AG175,"Cancelled")+COUNTIF(AL175,"Cancelled")+COUNTIF(AQ175,"Cancelled")&gt;0,"Cancelled",IF(E175="All Stages Closed","Completed",IF(E175="S1 Schematic",M175,IF(E175="S2 PCB Layout",R175,IF(E175="S3 SI &amp; PI",W175,IF(E175="S4 Bare-PCB Fab",AB175,IF(E175="S5 Assembly",AG175,IF(E175="S6 Bring-up",AL175,AQ175)))))))))</f>
        <v/>
      </c>
      <c r="G175" s="33" t="str">
        <f aca="false">IF($C175="","",IF(E175="All Stages Closed","",IF(E175="S1 Schematic",IF(N175="","Not added",N175),IF(E175="S2 PCB Layout",IF(S175="","Not added",S175),IF(E175="S3 SI &amp; PI",IF(X175="","Not added",X175),IF(E175="S4 Bare-PCB Fab",IF(AC175="","Not added",AC175),IF(E175="S5 Assembly",IF(AH175="","Not added",AH175),IF(E175="S6 Bring-up",IF(AM175="","Not added",AM175),IF(AR175="","Not added",AR175)))))))))</f>
        <v/>
      </c>
      <c r="H175" s="32" t="str">
        <f aca="true">IF($C175="","",IF(OR(F175="Completed",F175="Cancelled"),"",IF(NOT(ISNUMBER(G175)),"No date set",IF(TODAY()&gt;G175,TODAY()-G175&amp;" days late",G175-TODAY()&amp;" days left"))))</f>
        <v/>
      </c>
      <c r="I175" s="31" t="str">
        <f aca="false">IF($C175="","",COUNTIF(M175,"Completed")+COUNTIF(R175,"Completed")+COUNTIF(W175,"Completed")+COUNTIF(AB175,"Completed")+COUNTIF(AG175,"Completed")+COUNTIF(AL175,"Completed")+COUNTIF(AQ175,"Completed"))</f>
        <v/>
      </c>
      <c r="J175" s="31" t="str">
        <f aca="false">IF($C175="","",7-(COUNTIF(M175,"NA")+COUNTIF(R175,"NA")+COUNTIF(W175,"NA")+COUNTIF(AB175,"NA")+COUNTIF(AG175,"NA")+COUNTIF(AL175,"NA")+COUNTIF(AQ175,"NA")))</f>
        <v/>
      </c>
      <c r="K175" s="34" t="str">
        <f aca="false">IFERROR(I175/J175,"")</f>
        <v/>
      </c>
      <c r="L175" s="29"/>
      <c r="M175" s="35"/>
      <c r="N175" s="36"/>
      <c r="O175" s="36"/>
      <c r="P175" s="30"/>
      <c r="Q175" s="29"/>
      <c r="R175" s="35"/>
      <c r="S175" s="36"/>
      <c r="T175" s="36"/>
      <c r="U175" s="30"/>
      <c r="V175" s="29"/>
      <c r="W175" s="35"/>
      <c r="X175" s="36"/>
      <c r="Y175" s="36"/>
      <c r="Z175" s="30"/>
      <c r="AA175" s="29"/>
      <c r="AB175" s="35"/>
      <c r="AC175" s="36"/>
      <c r="AD175" s="36"/>
      <c r="AE175" s="30"/>
      <c r="AF175" s="29"/>
      <c r="AG175" s="35"/>
      <c r="AH175" s="36"/>
      <c r="AI175" s="36"/>
      <c r="AJ175" s="30"/>
      <c r="AK175" s="29"/>
      <c r="AL175" s="35"/>
      <c r="AM175" s="36"/>
      <c r="AN175" s="36"/>
      <c r="AO175" s="30"/>
      <c r="AP175" s="29"/>
      <c r="AQ175" s="35"/>
      <c r="AR175" s="36"/>
      <c r="AS175" s="36"/>
      <c r="AT175" s="30"/>
      <c r="AU175" s="29"/>
      <c r="AV175" s="29"/>
      <c r="AW175" s="29"/>
      <c r="AX175" s="37"/>
      <c r="AY175" s="29"/>
      <c r="AZ175" s="38" t="str">
        <f aca="false">IF($C175="","",IF(OR(F175="Completed",F175="Cancelled"),"",IF(AND(OR(F175="On Hold",ISNUMBER(VALUE(LEFT(H175,2)))),AY175=""),"Reason not given","")))</f>
        <v/>
      </c>
      <c r="BA175" s="30"/>
    </row>
    <row r="176" customFormat="false" ht="19.5" hidden="false" customHeight="true" outlineLevel="0" collapsed="false">
      <c r="A176" s="28" t="str">
        <f aca="false">IF($C176="","",COUNTA($C$17:$C176))</f>
        <v/>
      </c>
      <c r="B176" s="29"/>
      <c r="C176" s="30"/>
      <c r="D176" s="29"/>
      <c r="E176" s="31" t="str">
        <f aca="false">IF($C176="","",IF(NOT(OR(M176="Completed",M176="NA",M176="Cancelled")),"S1 Schematic",IF(NOT(OR(R176="Completed",R176="NA",R176="Cancelled")),"S2 PCB Layout",IF(NOT(OR(W176="Completed",W176="NA",W176="Cancelled")),"S3 SI &amp; PI",IF(NOT(OR(AB176="Completed",AB176="NA",AB176="Cancelled")),"S4 Bare-PCB Fab",IF(NOT(OR(AG176="Completed",AG176="NA",AG176="Cancelled")),"S5 Assembly",IF(NOT(OR(AL176="Completed",AL176="NA",AL176="Cancelled")),"S6 Bring-up",IF(NOT(OR(AQ176="Completed",AQ176="NA",AQ176="Cancelled")),"S7 BOM Procurement","All Stages Closed"))))))))</f>
        <v/>
      </c>
      <c r="F176" s="32" t="str">
        <f aca="false">IF($C176="","",IF(COUNTIF(M176,"Cancelled")+COUNTIF(R176,"Cancelled")+COUNTIF(W176,"Cancelled")+COUNTIF(AB176,"Cancelled")+COUNTIF(AG176,"Cancelled")+COUNTIF(AL176,"Cancelled")+COUNTIF(AQ176,"Cancelled")&gt;0,"Cancelled",IF(E176="All Stages Closed","Completed",IF(E176="S1 Schematic",M176,IF(E176="S2 PCB Layout",R176,IF(E176="S3 SI &amp; PI",W176,IF(E176="S4 Bare-PCB Fab",AB176,IF(E176="S5 Assembly",AG176,IF(E176="S6 Bring-up",AL176,AQ176)))))))))</f>
        <v/>
      </c>
      <c r="G176" s="33" t="str">
        <f aca="false">IF($C176="","",IF(E176="All Stages Closed","",IF(E176="S1 Schematic",IF(N176="","Not added",N176),IF(E176="S2 PCB Layout",IF(S176="","Not added",S176),IF(E176="S3 SI &amp; PI",IF(X176="","Not added",X176),IF(E176="S4 Bare-PCB Fab",IF(AC176="","Not added",AC176),IF(E176="S5 Assembly",IF(AH176="","Not added",AH176),IF(E176="S6 Bring-up",IF(AM176="","Not added",AM176),IF(AR176="","Not added",AR176)))))))))</f>
        <v/>
      </c>
      <c r="H176" s="32" t="str">
        <f aca="true">IF($C176="","",IF(OR(F176="Completed",F176="Cancelled"),"",IF(NOT(ISNUMBER(G176)),"No date set",IF(TODAY()&gt;G176,TODAY()-G176&amp;" days late",G176-TODAY()&amp;" days left"))))</f>
        <v/>
      </c>
      <c r="I176" s="31" t="str">
        <f aca="false">IF($C176="","",COUNTIF(M176,"Completed")+COUNTIF(R176,"Completed")+COUNTIF(W176,"Completed")+COUNTIF(AB176,"Completed")+COUNTIF(AG176,"Completed")+COUNTIF(AL176,"Completed")+COUNTIF(AQ176,"Completed"))</f>
        <v/>
      </c>
      <c r="J176" s="31" t="str">
        <f aca="false">IF($C176="","",7-(COUNTIF(M176,"NA")+COUNTIF(R176,"NA")+COUNTIF(W176,"NA")+COUNTIF(AB176,"NA")+COUNTIF(AG176,"NA")+COUNTIF(AL176,"NA")+COUNTIF(AQ176,"NA")))</f>
        <v/>
      </c>
      <c r="K176" s="34" t="str">
        <f aca="false">IFERROR(I176/J176,"")</f>
        <v/>
      </c>
      <c r="L176" s="29"/>
      <c r="M176" s="35"/>
      <c r="N176" s="36"/>
      <c r="O176" s="36"/>
      <c r="P176" s="30"/>
      <c r="Q176" s="29"/>
      <c r="R176" s="35"/>
      <c r="S176" s="36"/>
      <c r="T176" s="36"/>
      <c r="U176" s="30"/>
      <c r="V176" s="29"/>
      <c r="W176" s="35"/>
      <c r="X176" s="36"/>
      <c r="Y176" s="36"/>
      <c r="Z176" s="30"/>
      <c r="AA176" s="29"/>
      <c r="AB176" s="35"/>
      <c r="AC176" s="36"/>
      <c r="AD176" s="36"/>
      <c r="AE176" s="30"/>
      <c r="AF176" s="29"/>
      <c r="AG176" s="35"/>
      <c r="AH176" s="36"/>
      <c r="AI176" s="36"/>
      <c r="AJ176" s="30"/>
      <c r="AK176" s="29"/>
      <c r="AL176" s="35"/>
      <c r="AM176" s="36"/>
      <c r="AN176" s="36"/>
      <c r="AO176" s="30"/>
      <c r="AP176" s="29"/>
      <c r="AQ176" s="35"/>
      <c r="AR176" s="36"/>
      <c r="AS176" s="36"/>
      <c r="AT176" s="30"/>
      <c r="AU176" s="29"/>
      <c r="AV176" s="29"/>
      <c r="AW176" s="29"/>
      <c r="AX176" s="37"/>
      <c r="AY176" s="29"/>
      <c r="AZ176" s="38" t="str">
        <f aca="false">IF($C176="","",IF(OR(F176="Completed",F176="Cancelled"),"",IF(AND(OR(F176="On Hold",ISNUMBER(VALUE(LEFT(H176,2)))),AY176=""),"Reason not given","")))</f>
        <v/>
      </c>
      <c r="BA176" s="30"/>
    </row>
    <row r="177" customFormat="false" ht="19.5" hidden="false" customHeight="true" outlineLevel="0" collapsed="false">
      <c r="A177" s="28" t="str">
        <f aca="false">IF($C177="","",COUNTA($C$17:$C177))</f>
        <v/>
      </c>
      <c r="B177" s="29"/>
      <c r="C177" s="30"/>
      <c r="D177" s="29"/>
      <c r="E177" s="31" t="str">
        <f aca="false">IF($C177="","",IF(NOT(OR(M177="Completed",M177="NA",M177="Cancelled")),"S1 Schematic",IF(NOT(OR(R177="Completed",R177="NA",R177="Cancelled")),"S2 PCB Layout",IF(NOT(OR(W177="Completed",W177="NA",W177="Cancelled")),"S3 SI &amp; PI",IF(NOT(OR(AB177="Completed",AB177="NA",AB177="Cancelled")),"S4 Bare-PCB Fab",IF(NOT(OR(AG177="Completed",AG177="NA",AG177="Cancelled")),"S5 Assembly",IF(NOT(OR(AL177="Completed",AL177="NA",AL177="Cancelled")),"S6 Bring-up",IF(NOT(OR(AQ177="Completed",AQ177="NA",AQ177="Cancelled")),"S7 BOM Procurement","All Stages Closed"))))))))</f>
        <v/>
      </c>
      <c r="F177" s="32" t="str">
        <f aca="false">IF($C177="","",IF(COUNTIF(M177,"Cancelled")+COUNTIF(R177,"Cancelled")+COUNTIF(W177,"Cancelled")+COUNTIF(AB177,"Cancelled")+COUNTIF(AG177,"Cancelled")+COUNTIF(AL177,"Cancelled")+COUNTIF(AQ177,"Cancelled")&gt;0,"Cancelled",IF(E177="All Stages Closed","Completed",IF(E177="S1 Schematic",M177,IF(E177="S2 PCB Layout",R177,IF(E177="S3 SI &amp; PI",W177,IF(E177="S4 Bare-PCB Fab",AB177,IF(E177="S5 Assembly",AG177,IF(E177="S6 Bring-up",AL177,AQ177)))))))))</f>
        <v/>
      </c>
      <c r="G177" s="33" t="str">
        <f aca="false">IF($C177="","",IF(E177="All Stages Closed","",IF(E177="S1 Schematic",IF(N177="","Not added",N177),IF(E177="S2 PCB Layout",IF(S177="","Not added",S177),IF(E177="S3 SI &amp; PI",IF(X177="","Not added",X177),IF(E177="S4 Bare-PCB Fab",IF(AC177="","Not added",AC177),IF(E177="S5 Assembly",IF(AH177="","Not added",AH177),IF(E177="S6 Bring-up",IF(AM177="","Not added",AM177),IF(AR177="","Not added",AR177)))))))))</f>
        <v/>
      </c>
      <c r="H177" s="32" t="str">
        <f aca="true">IF($C177="","",IF(OR(F177="Completed",F177="Cancelled"),"",IF(NOT(ISNUMBER(G177)),"No date set",IF(TODAY()&gt;G177,TODAY()-G177&amp;" days late",G177-TODAY()&amp;" days left"))))</f>
        <v/>
      </c>
      <c r="I177" s="31" t="str">
        <f aca="false">IF($C177="","",COUNTIF(M177,"Completed")+COUNTIF(R177,"Completed")+COUNTIF(W177,"Completed")+COUNTIF(AB177,"Completed")+COUNTIF(AG177,"Completed")+COUNTIF(AL177,"Completed")+COUNTIF(AQ177,"Completed"))</f>
        <v/>
      </c>
      <c r="J177" s="31" t="str">
        <f aca="false">IF($C177="","",7-(COUNTIF(M177,"NA")+COUNTIF(R177,"NA")+COUNTIF(W177,"NA")+COUNTIF(AB177,"NA")+COUNTIF(AG177,"NA")+COUNTIF(AL177,"NA")+COUNTIF(AQ177,"NA")))</f>
        <v/>
      </c>
      <c r="K177" s="34" t="str">
        <f aca="false">IFERROR(I177/J177,"")</f>
        <v/>
      </c>
      <c r="L177" s="29"/>
      <c r="M177" s="35"/>
      <c r="N177" s="36"/>
      <c r="O177" s="36"/>
      <c r="P177" s="30"/>
      <c r="Q177" s="29"/>
      <c r="R177" s="35"/>
      <c r="S177" s="36"/>
      <c r="T177" s="36"/>
      <c r="U177" s="30"/>
      <c r="V177" s="29"/>
      <c r="W177" s="35"/>
      <c r="X177" s="36"/>
      <c r="Y177" s="36"/>
      <c r="Z177" s="30"/>
      <c r="AA177" s="29"/>
      <c r="AB177" s="35"/>
      <c r="AC177" s="36"/>
      <c r="AD177" s="36"/>
      <c r="AE177" s="30"/>
      <c r="AF177" s="29"/>
      <c r="AG177" s="35"/>
      <c r="AH177" s="36"/>
      <c r="AI177" s="36"/>
      <c r="AJ177" s="30"/>
      <c r="AK177" s="29"/>
      <c r="AL177" s="35"/>
      <c r="AM177" s="36"/>
      <c r="AN177" s="36"/>
      <c r="AO177" s="30"/>
      <c r="AP177" s="29"/>
      <c r="AQ177" s="35"/>
      <c r="AR177" s="36"/>
      <c r="AS177" s="36"/>
      <c r="AT177" s="30"/>
      <c r="AU177" s="29"/>
      <c r="AV177" s="29"/>
      <c r="AW177" s="29"/>
      <c r="AX177" s="37"/>
      <c r="AY177" s="29"/>
      <c r="AZ177" s="38" t="str">
        <f aca="false">IF($C177="","",IF(OR(F177="Completed",F177="Cancelled"),"",IF(AND(OR(F177="On Hold",ISNUMBER(VALUE(LEFT(H177,2)))),AY177=""),"Reason not given","")))</f>
        <v/>
      </c>
      <c r="BA177" s="30"/>
    </row>
    <row r="178" customFormat="false" ht="19.5" hidden="false" customHeight="true" outlineLevel="0" collapsed="false">
      <c r="A178" s="28" t="str">
        <f aca="false">IF($C178="","",COUNTA($C$17:$C178))</f>
        <v/>
      </c>
      <c r="B178" s="29"/>
      <c r="C178" s="30"/>
      <c r="D178" s="29"/>
      <c r="E178" s="31" t="str">
        <f aca="false">IF($C178="","",IF(NOT(OR(M178="Completed",M178="NA",M178="Cancelled")),"S1 Schematic",IF(NOT(OR(R178="Completed",R178="NA",R178="Cancelled")),"S2 PCB Layout",IF(NOT(OR(W178="Completed",W178="NA",W178="Cancelled")),"S3 SI &amp; PI",IF(NOT(OR(AB178="Completed",AB178="NA",AB178="Cancelled")),"S4 Bare-PCB Fab",IF(NOT(OR(AG178="Completed",AG178="NA",AG178="Cancelled")),"S5 Assembly",IF(NOT(OR(AL178="Completed",AL178="NA",AL178="Cancelled")),"S6 Bring-up",IF(NOT(OR(AQ178="Completed",AQ178="NA",AQ178="Cancelled")),"S7 BOM Procurement","All Stages Closed"))))))))</f>
        <v/>
      </c>
      <c r="F178" s="32" t="str">
        <f aca="false">IF($C178="","",IF(COUNTIF(M178,"Cancelled")+COUNTIF(R178,"Cancelled")+COUNTIF(W178,"Cancelled")+COUNTIF(AB178,"Cancelled")+COUNTIF(AG178,"Cancelled")+COUNTIF(AL178,"Cancelled")+COUNTIF(AQ178,"Cancelled")&gt;0,"Cancelled",IF(E178="All Stages Closed","Completed",IF(E178="S1 Schematic",M178,IF(E178="S2 PCB Layout",R178,IF(E178="S3 SI &amp; PI",W178,IF(E178="S4 Bare-PCB Fab",AB178,IF(E178="S5 Assembly",AG178,IF(E178="S6 Bring-up",AL178,AQ178)))))))))</f>
        <v/>
      </c>
      <c r="G178" s="33" t="str">
        <f aca="false">IF($C178="","",IF(E178="All Stages Closed","",IF(E178="S1 Schematic",IF(N178="","Not added",N178),IF(E178="S2 PCB Layout",IF(S178="","Not added",S178),IF(E178="S3 SI &amp; PI",IF(X178="","Not added",X178),IF(E178="S4 Bare-PCB Fab",IF(AC178="","Not added",AC178),IF(E178="S5 Assembly",IF(AH178="","Not added",AH178),IF(E178="S6 Bring-up",IF(AM178="","Not added",AM178),IF(AR178="","Not added",AR178)))))))))</f>
        <v/>
      </c>
      <c r="H178" s="32" t="str">
        <f aca="true">IF($C178="","",IF(OR(F178="Completed",F178="Cancelled"),"",IF(NOT(ISNUMBER(G178)),"No date set",IF(TODAY()&gt;G178,TODAY()-G178&amp;" days late",G178-TODAY()&amp;" days left"))))</f>
        <v/>
      </c>
      <c r="I178" s="31" t="str">
        <f aca="false">IF($C178="","",COUNTIF(M178,"Completed")+COUNTIF(R178,"Completed")+COUNTIF(W178,"Completed")+COUNTIF(AB178,"Completed")+COUNTIF(AG178,"Completed")+COUNTIF(AL178,"Completed")+COUNTIF(AQ178,"Completed"))</f>
        <v/>
      </c>
      <c r="J178" s="31" t="str">
        <f aca="false">IF($C178="","",7-(COUNTIF(M178,"NA")+COUNTIF(R178,"NA")+COUNTIF(W178,"NA")+COUNTIF(AB178,"NA")+COUNTIF(AG178,"NA")+COUNTIF(AL178,"NA")+COUNTIF(AQ178,"NA")))</f>
        <v/>
      </c>
      <c r="K178" s="34" t="str">
        <f aca="false">IFERROR(I178/J178,"")</f>
        <v/>
      </c>
      <c r="L178" s="29"/>
      <c r="M178" s="35"/>
      <c r="N178" s="36"/>
      <c r="O178" s="36"/>
      <c r="P178" s="30"/>
      <c r="Q178" s="29"/>
      <c r="R178" s="35"/>
      <c r="S178" s="36"/>
      <c r="T178" s="36"/>
      <c r="U178" s="30"/>
      <c r="V178" s="29"/>
      <c r="W178" s="35"/>
      <c r="X178" s="36"/>
      <c r="Y178" s="36"/>
      <c r="Z178" s="30"/>
      <c r="AA178" s="29"/>
      <c r="AB178" s="35"/>
      <c r="AC178" s="36"/>
      <c r="AD178" s="36"/>
      <c r="AE178" s="30"/>
      <c r="AF178" s="29"/>
      <c r="AG178" s="35"/>
      <c r="AH178" s="36"/>
      <c r="AI178" s="36"/>
      <c r="AJ178" s="30"/>
      <c r="AK178" s="29"/>
      <c r="AL178" s="35"/>
      <c r="AM178" s="36"/>
      <c r="AN178" s="36"/>
      <c r="AO178" s="30"/>
      <c r="AP178" s="29"/>
      <c r="AQ178" s="35"/>
      <c r="AR178" s="36"/>
      <c r="AS178" s="36"/>
      <c r="AT178" s="30"/>
      <c r="AU178" s="29"/>
      <c r="AV178" s="29"/>
      <c r="AW178" s="29"/>
      <c r="AX178" s="37"/>
      <c r="AY178" s="29"/>
      <c r="AZ178" s="38" t="str">
        <f aca="false">IF($C178="","",IF(OR(F178="Completed",F178="Cancelled"),"",IF(AND(OR(F178="On Hold",ISNUMBER(VALUE(LEFT(H178,2)))),AY178=""),"Reason not given","")))</f>
        <v/>
      </c>
      <c r="BA178" s="30"/>
    </row>
    <row r="179" customFormat="false" ht="19.5" hidden="false" customHeight="true" outlineLevel="0" collapsed="false">
      <c r="A179" s="28" t="str">
        <f aca="false">IF($C179="","",COUNTA($C$17:$C179))</f>
        <v/>
      </c>
      <c r="B179" s="29"/>
      <c r="C179" s="30"/>
      <c r="D179" s="29"/>
      <c r="E179" s="31" t="str">
        <f aca="false">IF($C179="","",IF(NOT(OR(M179="Completed",M179="NA",M179="Cancelled")),"S1 Schematic",IF(NOT(OR(R179="Completed",R179="NA",R179="Cancelled")),"S2 PCB Layout",IF(NOT(OR(W179="Completed",W179="NA",W179="Cancelled")),"S3 SI &amp; PI",IF(NOT(OR(AB179="Completed",AB179="NA",AB179="Cancelled")),"S4 Bare-PCB Fab",IF(NOT(OR(AG179="Completed",AG179="NA",AG179="Cancelled")),"S5 Assembly",IF(NOT(OR(AL179="Completed",AL179="NA",AL179="Cancelled")),"S6 Bring-up",IF(NOT(OR(AQ179="Completed",AQ179="NA",AQ179="Cancelled")),"S7 BOM Procurement","All Stages Closed"))))))))</f>
        <v/>
      </c>
      <c r="F179" s="32" t="str">
        <f aca="false">IF($C179="","",IF(COUNTIF(M179,"Cancelled")+COUNTIF(R179,"Cancelled")+COUNTIF(W179,"Cancelled")+COUNTIF(AB179,"Cancelled")+COUNTIF(AG179,"Cancelled")+COUNTIF(AL179,"Cancelled")+COUNTIF(AQ179,"Cancelled")&gt;0,"Cancelled",IF(E179="All Stages Closed","Completed",IF(E179="S1 Schematic",M179,IF(E179="S2 PCB Layout",R179,IF(E179="S3 SI &amp; PI",W179,IF(E179="S4 Bare-PCB Fab",AB179,IF(E179="S5 Assembly",AG179,IF(E179="S6 Bring-up",AL179,AQ179)))))))))</f>
        <v/>
      </c>
      <c r="G179" s="33" t="str">
        <f aca="false">IF($C179="","",IF(E179="All Stages Closed","",IF(E179="S1 Schematic",IF(N179="","Not added",N179),IF(E179="S2 PCB Layout",IF(S179="","Not added",S179),IF(E179="S3 SI &amp; PI",IF(X179="","Not added",X179),IF(E179="S4 Bare-PCB Fab",IF(AC179="","Not added",AC179),IF(E179="S5 Assembly",IF(AH179="","Not added",AH179),IF(E179="S6 Bring-up",IF(AM179="","Not added",AM179),IF(AR179="","Not added",AR179)))))))))</f>
        <v/>
      </c>
      <c r="H179" s="32" t="str">
        <f aca="true">IF($C179="","",IF(OR(F179="Completed",F179="Cancelled"),"",IF(NOT(ISNUMBER(G179)),"No date set",IF(TODAY()&gt;G179,TODAY()-G179&amp;" days late",G179-TODAY()&amp;" days left"))))</f>
        <v/>
      </c>
      <c r="I179" s="31" t="str">
        <f aca="false">IF($C179="","",COUNTIF(M179,"Completed")+COUNTIF(R179,"Completed")+COUNTIF(W179,"Completed")+COUNTIF(AB179,"Completed")+COUNTIF(AG179,"Completed")+COUNTIF(AL179,"Completed")+COUNTIF(AQ179,"Completed"))</f>
        <v/>
      </c>
      <c r="J179" s="31" t="str">
        <f aca="false">IF($C179="","",7-(COUNTIF(M179,"NA")+COUNTIF(R179,"NA")+COUNTIF(W179,"NA")+COUNTIF(AB179,"NA")+COUNTIF(AG179,"NA")+COUNTIF(AL179,"NA")+COUNTIF(AQ179,"NA")))</f>
        <v/>
      </c>
      <c r="K179" s="34" t="str">
        <f aca="false">IFERROR(I179/J179,"")</f>
        <v/>
      </c>
      <c r="L179" s="29"/>
      <c r="M179" s="35"/>
      <c r="N179" s="36"/>
      <c r="O179" s="36"/>
      <c r="P179" s="30"/>
      <c r="Q179" s="29"/>
      <c r="R179" s="35"/>
      <c r="S179" s="36"/>
      <c r="T179" s="36"/>
      <c r="U179" s="30"/>
      <c r="V179" s="29"/>
      <c r="W179" s="35"/>
      <c r="X179" s="36"/>
      <c r="Y179" s="36"/>
      <c r="Z179" s="30"/>
      <c r="AA179" s="29"/>
      <c r="AB179" s="35"/>
      <c r="AC179" s="36"/>
      <c r="AD179" s="36"/>
      <c r="AE179" s="30"/>
      <c r="AF179" s="29"/>
      <c r="AG179" s="35"/>
      <c r="AH179" s="36"/>
      <c r="AI179" s="36"/>
      <c r="AJ179" s="30"/>
      <c r="AK179" s="29"/>
      <c r="AL179" s="35"/>
      <c r="AM179" s="36"/>
      <c r="AN179" s="36"/>
      <c r="AO179" s="30"/>
      <c r="AP179" s="29"/>
      <c r="AQ179" s="35"/>
      <c r="AR179" s="36"/>
      <c r="AS179" s="36"/>
      <c r="AT179" s="30"/>
      <c r="AU179" s="29"/>
      <c r="AV179" s="29"/>
      <c r="AW179" s="29"/>
      <c r="AX179" s="37"/>
      <c r="AY179" s="29"/>
      <c r="AZ179" s="38" t="str">
        <f aca="false">IF($C179="","",IF(OR(F179="Completed",F179="Cancelled"),"",IF(AND(OR(F179="On Hold",ISNUMBER(VALUE(LEFT(H179,2)))),AY179=""),"Reason not given","")))</f>
        <v/>
      </c>
      <c r="BA179" s="30"/>
    </row>
    <row r="180" customFormat="false" ht="19.5" hidden="false" customHeight="true" outlineLevel="0" collapsed="false">
      <c r="A180" s="28" t="str">
        <f aca="false">IF($C180="","",COUNTA($C$17:$C180))</f>
        <v/>
      </c>
      <c r="B180" s="29"/>
      <c r="C180" s="30"/>
      <c r="D180" s="29"/>
      <c r="E180" s="31" t="str">
        <f aca="false">IF($C180="","",IF(NOT(OR(M180="Completed",M180="NA",M180="Cancelled")),"S1 Schematic",IF(NOT(OR(R180="Completed",R180="NA",R180="Cancelled")),"S2 PCB Layout",IF(NOT(OR(W180="Completed",W180="NA",W180="Cancelled")),"S3 SI &amp; PI",IF(NOT(OR(AB180="Completed",AB180="NA",AB180="Cancelled")),"S4 Bare-PCB Fab",IF(NOT(OR(AG180="Completed",AG180="NA",AG180="Cancelled")),"S5 Assembly",IF(NOT(OR(AL180="Completed",AL180="NA",AL180="Cancelled")),"S6 Bring-up",IF(NOT(OR(AQ180="Completed",AQ180="NA",AQ180="Cancelled")),"S7 BOM Procurement","All Stages Closed"))))))))</f>
        <v/>
      </c>
      <c r="F180" s="32" t="str">
        <f aca="false">IF($C180="","",IF(COUNTIF(M180,"Cancelled")+COUNTIF(R180,"Cancelled")+COUNTIF(W180,"Cancelled")+COUNTIF(AB180,"Cancelled")+COUNTIF(AG180,"Cancelled")+COUNTIF(AL180,"Cancelled")+COUNTIF(AQ180,"Cancelled")&gt;0,"Cancelled",IF(E180="All Stages Closed","Completed",IF(E180="S1 Schematic",M180,IF(E180="S2 PCB Layout",R180,IF(E180="S3 SI &amp; PI",W180,IF(E180="S4 Bare-PCB Fab",AB180,IF(E180="S5 Assembly",AG180,IF(E180="S6 Bring-up",AL180,AQ180)))))))))</f>
        <v/>
      </c>
      <c r="G180" s="33" t="str">
        <f aca="false">IF($C180="","",IF(E180="All Stages Closed","",IF(E180="S1 Schematic",IF(N180="","Not added",N180),IF(E180="S2 PCB Layout",IF(S180="","Not added",S180),IF(E180="S3 SI &amp; PI",IF(X180="","Not added",X180),IF(E180="S4 Bare-PCB Fab",IF(AC180="","Not added",AC180),IF(E180="S5 Assembly",IF(AH180="","Not added",AH180),IF(E180="S6 Bring-up",IF(AM180="","Not added",AM180),IF(AR180="","Not added",AR180)))))))))</f>
        <v/>
      </c>
      <c r="H180" s="32" t="str">
        <f aca="true">IF($C180="","",IF(OR(F180="Completed",F180="Cancelled"),"",IF(NOT(ISNUMBER(G180)),"No date set",IF(TODAY()&gt;G180,TODAY()-G180&amp;" days late",G180-TODAY()&amp;" days left"))))</f>
        <v/>
      </c>
      <c r="I180" s="31" t="str">
        <f aca="false">IF($C180="","",COUNTIF(M180,"Completed")+COUNTIF(R180,"Completed")+COUNTIF(W180,"Completed")+COUNTIF(AB180,"Completed")+COUNTIF(AG180,"Completed")+COUNTIF(AL180,"Completed")+COUNTIF(AQ180,"Completed"))</f>
        <v/>
      </c>
      <c r="J180" s="31" t="str">
        <f aca="false">IF($C180="","",7-(COUNTIF(M180,"NA")+COUNTIF(R180,"NA")+COUNTIF(W180,"NA")+COUNTIF(AB180,"NA")+COUNTIF(AG180,"NA")+COUNTIF(AL180,"NA")+COUNTIF(AQ180,"NA")))</f>
        <v/>
      </c>
      <c r="K180" s="34" t="str">
        <f aca="false">IFERROR(I180/J180,"")</f>
        <v/>
      </c>
      <c r="L180" s="29"/>
      <c r="M180" s="35"/>
      <c r="N180" s="36"/>
      <c r="O180" s="36"/>
      <c r="P180" s="30"/>
      <c r="Q180" s="29"/>
      <c r="R180" s="35"/>
      <c r="S180" s="36"/>
      <c r="T180" s="36"/>
      <c r="U180" s="30"/>
      <c r="V180" s="29"/>
      <c r="W180" s="35"/>
      <c r="X180" s="36"/>
      <c r="Y180" s="36"/>
      <c r="Z180" s="30"/>
      <c r="AA180" s="29"/>
      <c r="AB180" s="35"/>
      <c r="AC180" s="36"/>
      <c r="AD180" s="36"/>
      <c r="AE180" s="30"/>
      <c r="AF180" s="29"/>
      <c r="AG180" s="35"/>
      <c r="AH180" s="36"/>
      <c r="AI180" s="36"/>
      <c r="AJ180" s="30"/>
      <c r="AK180" s="29"/>
      <c r="AL180" s="35"/>
      <c r="AM180" s="36"/>
      <c r="AN180" s="36"/>
      <c r="AO180" s="30"/>
      <c r="AP180" s="29"/>
      <c r="AQ180" s="35"/>
      <c r="AR180" s="36"/>
      <c r="AS180" s="36"/>
      <c r="AT180" s="30"/>
      <c r="AU180" s="29"/>
      <c r="AV180" s="29"/>
      <c r="AW180" s="29"/>
      <c r="AX180" s="37"/>
      <c r="AY180" s="29"/>
      <c r="AZ180" s="38" t="str">
        <f aca="false">IF($C180="","",IF(OR(F180="Completed",F180="Cancelled"),"",IF(AND(OR(F180="On Hold",ISNUMBER(VALUE(LEFT(H180,2)))),AY180=""),"Reason not given","")))</f>
        <v/>
      </c>
      <c r="BA180" s="30"/>
    </row>
    <row r="181" customFormat="false" ht="19.5" hidden="false" customHeight="true" outlineLevel="0" collapsed="false">
      <c r="A181" s="28" t="str">
        <f aca="false">IF($C181="","",COUNTA($C$17:$C181))</f>
        <v/>
      </c>
      <c r="B181" s="29"/>
      <c r="C181" s="30"/>
      <c r="D181" s="29"/>
      <c r="E181" s="31" t="str">
        <f aca="false">IF($C181="","",IF(NOT(OR(M181="Completed",M181="NA",M181="Cancelled")),"S1 Schematic",IF(NOT(OR(R181="Completed",R181="NA",R181="Cancelled")),"S2 PCB Layout",IF(NOT(OR(W181="Completed",W181="NA",W181="Cancelled")),"S3 SI &amp; PI",IF(NOT(OR(AB181="Completed",AB181="NA",AB181="Cancelled")),"S4 Bare-PCB Fab",IF(NOT(OR(AG181="Completed",AG181="NA",AG181="Cancelled")),"S5 Assembly",IF(NOT(OR(AL181="Completed",AL181="NA",AL181="Cancelled")),"S6 Bring-up",IF(NOT(OR(AQ181="Completed",AQ181="NA",AQ181="Cancelled")),"S7 BOM Procurement","All Stages Closed"))))))))</f>
        <v/>
      </c>
      <c r="F181" s="32" t="str">
        <f aca="false">IF($C181="","",IF(COUNTIF(M181,"Cancelled")+COUNTIF(R181,"Cancelled")+COUNTIF(W181,"Cancelled")+COUNTIF(AB181,"Cancelled")+COUNTIF(AG181,"Cancelled")+COUNTIF(AL181,"Cancelled")+COUNTIF(AQ181,"Cancelled")&gt;0,"Cancelled",IF(E181="All Stages Closed","Completed",IF(E181="S1 Schematic",M181,IF(E181="S2 PCB Layout",R181,IF(E181="S3 SI &amp; PI",W181,IF(E181="S4 Bare-PCB Fab",AB181,IF(E181="S5 Assembly",AG181,IF(E181="S6 Bring-up",AL181,AQ181)))))))))</f>
        <v/>
      </c>
      <c r="G181" s="33" t="str">
        <f aca="false">IF($C181="","",IF(E181="All Stages Closed","",IF(E181="S1 Schematic",IF(N181="","Not added",N181),IF(E181="S2 PCB Layout",IF(S181="","Not added",S181),IF(E181="S3 SI &amp; PI",IF(X181="","Not added",X181),IF(E181="S4 Bare-PCB Fab",IF(AC181="","Not added",AC181),IF(E181="S5 Assembly",IF(AH181="","Not added",AH181),IF(E181="S6 Bring-up",IF(AM181="","Not added",AM181),IF(AR181="","Not added",AR181)))))))))</f>
        <v/>
      </c>
      <c r="H181" s="32" t="str">
        <f aca="true">IF($C181="","",IF(OR(F181="Completed",F181="Cancelled"),"",IF(NOT(ISNUMBER(G181)),"No date set",IF(TODAY()&gt;G181,TODAY()-G181&amp;" days late",G181-TODAY()&amp;" days left"))))</f>
        <v/>
      </c>
      <c r="I181" s="31" t="str">
        <f aca="false">IF($C181="","",COUNTIF(M181,"Completed")+COUNTIF(R181,"Completed")+COUNTIF(W181,"Completed")+COUNTIF(AB181,"Completed")+COUNTIF(AG181,"Completed")+COUNTIF(AL181,"Completed")+COUNTIF(AQ181,"Completed"))</f>
        <v/>
      </c>
      <c r="J181" s="31" t="str">
        <f aca="false">IF($C181="","",7-(COUNTIF(M181,"NA")+COUNTIF(R181,"NA")+COUNTIF(W181,"NA")+COUNTIF(AB181,"NA")+COUNTIF(AG181,"NA")+COUNTIF(AL181,"NA")+COUNTIF(AQ181,"NA")))</f>
        <v/>
      </c>
      <c r="K181" s="34" t="str">
        <f aca="false">IFERROR(I181/J181,"")</f>
        <v/>
      </c>
      <c r="L181" s="29"/>
      <c r="M181" s="35"/>
      <c r="N181" s="36"/>
      <c r="O181" s="36"/>
      <c r="P181" s="30"/>
      <c r="Q181" s="29"/>
      <c r="R181" s="35"/>
      <c r="S181" s="36"/>
      <c r="T181" s="36"/>
      <c r="U181" s="30"/>
      <c r="V181" s="29"/>
      <c r="W181" s="35"/>
      <c r="X181" s="36"/>
      <c r="Y181" s="36"/>
      <c r="Z181" s="30"/>
      <c r="AA181" s="29"/>
      <c r="AB181" s="35"/>
      <c r="AC181" s="36"/>
      <c r="AD181" s="36"/>
      <c r="AE181" s="30"/>
      <c r="AF181" s="29"/>
      <c r="AG181" s="35"/>
      <c r="AH181" s="36"/>
      <c r="AI181" s="36"/>
      <c r="AJ181" s="30"/>
      <c r="AK181" s="29"/>
      <c r="AL181" s="35"/>
      <c r="AM181" s="36"/>
      <c r="AN181" s="36"/>
      <c r="AO181" s="30"/>
      <c r="AP181" s="29"/>
      <c r="AQ181" s="35"/>
      <c r="AR181" s="36"/>
      <c r="AS181" s="36"/>
      <c r="AT181" s="30"/>
      <c r="AU181" s="29"/>
      <c r="AV181" s="29"/>
      <c r="AW181" s="29"/>
      <c r="AX181" s="37"/>
      <c r="AY181" s="29"/>
      <c r="AZ181" s="38" t="str">
        <f aca="false">IF($C181="","",IF(OR(F181="Completed",F181="Cancelled"),"",IF(AND(OR(F181="On Hold",ISNUMBER(VALUE(LEFT(H181,2)))),AY181=""),"Reason not given","")))</f>
        <v/>
      </c>
      <c r="BA181" s="30"/>
    </row>
    <row r="182" customFormat="false" ht="19.5" hidden="false" customHeight="true" outlineLevel="0" collapsed="false">
      <c r="A182" s="28" t="str">
        <f aca="false">IF($C182="","",COUNTA($C$17:$C182))</f>
        <v/>
      </c>
      <c r="B182" s="29"/>
      <c r="C182" s="30"/>
      <c r="D182" s="29"/>
      <c r="E182" s="31" t="str">
        <f aca="false">IF($C182="","",IF(NOT(OR(M182="Completed",M182="NA",M182="Cancelled")),"S1 Schematic",IF(NOT(OR(R182="Completed",R182="NA",R182="Cancelled")),"S2 PCB Layout",IF(NOT(OR(W182="Completed",W182="NA",W182="Cancelled")),"S3 SI &amp; PI",IF(NOT(OR(AB182="Completed",AB182="NA",AB182="Cancelled")),"S4 Bare-PCB Fab",IF(NOT(OR(AG182="Completed",AG182="NA",AG182="Cancelled")),"S5 Assembly",IF(NOT(OR(AL182="Completed",AL182="NA",AL182="Cancelled")),"S6 Bring-up",IF(NOT(OR(AQ182="Completed",AQ182="NA",AQ182="Cancelled")),"S7 BOM Procurement","All Stages Closed"))))))))</f>
        <v/>
      </c>
      <c r="F182" s="32" t="str">
        <f aca="false">IF($C182="","",IF(COUNTIF(M182,"Cancelled")+COUNTIF(R182,"Cancelled")+COUNTIF(W182,"Cancelled")+COUNTIF(AB182,"Cancelled")+COUNTIF(AG182,"Cancelled")+COUNTIF(AL182,"Cancelled")+COUNTIF(AQ182,"Cancelled")&gt;0,"Cancelled",IF(E182="All Stages Closed","Completed",IF(E182="S1 Schematic",M182,IF(E182="S2 PCB Layout",R182,IF(E182="S3 SI &amp; PI",W182,IF(E182="S4 Bare-PCB Fab",AB182,IF(E182="S5 Assembly",AG182,IF(E182="S6 Bring-up",AL182,AQ182)))))))))</f>
        <v/>
      </c>
      <c r="G182" s="33" t="str">
        <f aca="false">IF($C182="","",IF(E182="All Stages Closed","",IF(E182="S1 Schematic",IF(N182="","Not added",N182),IF(E182="S2 PCB Layout",IF(S182="","Not added",S182),IF(E182="S3 SI &amp; PI",IF(X182="","Not added",X182),IF(E182="S4 Bare-PCB Fab",IF(AC182="","Not added",AC182),IF(E182="S5 Assembly",IF(AH182="","Not added",AH182),IF(E182="S6 Bring-up",IF(AM182="","Not added",AM182),IF(AR182="","Not added",AR182)))))))))</f>
        <v/>
      </c>
      <c r="H182" s="32" t="str">
        <f aca="true">IF($C182="","",IF(OR(F182="Completed",F182="Cancelled"),"",IF(NOT(ISNUMBER(G182)),"No date set",IF(TODAY()&gt;G182,TODAY()-G182&amp;" days late",G182-TODAY()&amp;" days left"))))</f>
        <v/>
      </c>
      <c r="I182" s="31" t="str">
        <f aca="false">IF($C182="","",COUNTIF(M182,"Completed")+COUNTIF(R182,"Completed")+COUNTIF(W182,"Completed")+COUNTIF(AB182,"Completed")+COUNTIF(AG182,"Completed")+COUNTIF(AL182,"Completed")+COUNTIF(AQ182,"Completed"))</f>
        <v/>
      </c>
      <c r="J182" s="31" t="str">
        <f aca="false">IF($C182="","",7-(COUNTIF(M182,"NA")+COUNTIF(R182,"NA")+COUNTIF(W182,"NA")+COUNTIF(AB182,"NA")+COUNTIF(AG182,"NA")+COUNTIF(AL182,"NA")+COUNTIF(AQ182,"NA")))</f>
        <v/>
      </c>
      <c r="K182" s="34" t="str">
        <f aca="false">IFERROR(I182/J182,"")</f>
        <v/>
      </c>
      <c r="L182" s="29"/>
      <c r="M182" s="35"/>
      <c r="N182" s="36"/>
      <c r="O182" s="36"/>
      <c r="P182" s="30"/>
      <c r="Q182" s="29"/>
      <c r="R182" s="35"/>
      <c r="S182" s="36"/>
      <c r="T182" s="36"/>
      <c r="U182" s="30"/>
      <c r="V182" s="29"/>
      <c r="W182" s="35"/>
      <c r="X182" s="36"/>
      <c r="Y182" s="36"/>
      <c r="Z182" s="30"/>
      <c r="AA182" s="29"/>
      <c r="AB182" s="35"/>
      <c r="AC182" s="36"/>
      <c r="AD182" s="36"/>
      <c r="AE182" s="30"/>
      <c r="AF182" s="29"/>
      <c r="AG182" s="35"/>
      <c r="AH182" s="36"/>
      <c r="AI182" s="36"/>
      <c r="AJ182" s="30"/>
      <c r="AK182" s="29"/>
      <c r="AL182" s="35"/>
      <c r="AM182" s="36"/>
      <c r="AN182" s="36"/>
      <c r="AO182" s="30"/>
      <c r="AP182" s="29"/>
      <c r="AQ182" s="35"/>
      <c r="AR182" s="36"/>
      <c r="AS182" s="36"/>
      <c r="AT182" s="30"/>
      <c r="AU182" s="29"/>
      <c r="AV182" s="29"/>
      <c r="AW182" s="29"/>
      <c r="AX182" s="37"/>
      <c r="AY182" s="29"/>
      <c r="AZ182" s="38" t="str">
        <f aca="false">IF($C182="","",IF(OR(F182="Completed",F182="Cancelled"),"",IF(AND(OR(F182="On Hold",ISNUMBER(VALUE(LEFT(H182,2)))),AY182=""),"Reason not given","")))</f>
        <v/>
      </c>
      <c r="BA182" s="30"/>
    </row>
    <row r="183" customFormat="false" ht="19.5" hidden="false" customHeight="true" outlineLevel="0" collapsed="false">
      <c r="A183" s="28" t="str">
        <f aca="false">IF($C183="","",COUNTA($C$17:$C183))</f>
        <v/>
      </c>
      <c r="B183" s="29"/>
      <c r="C183" s="30"/>
      <c r="D183" s="29"/>
      <c r="E183" s="31" t="str">
        <f aca="false">IF($C183="","",IF(NOT(OR(M183="Completed",M183="NA",M183="Cancelled")),"S1 Schematic",IF(NOT(OR(R183="Completed",R183="NA",R183="Cancelled")),"S2 PCB Layout",IF(NOT(OR(W183="Completed",W183="NA",W183="Cancelled")),"S3 SI &amp; PI",IF(NOT(OR(AB183="Completed",AB183="NA",AB183="Cancelled")),"S4 Bare-PCB Fab",IF(NOT(OR(AG183="Completed",AG183="NA",AG183="Cancelled")),"S5 Assembly",IF(NOT(OR(AL183="Completed",AL183="NA",AL183="Cancelled")),"S6 Bring-up",IF(NOT(OR(AQ183="Completed",AQ183="NA",AQ183="Cancelled")),"S7 BOM Procurement","All Stages Closed"))))))))</f>
        <v/>
      </c>
      <c r="F183" s="32" t="str">
        <f aca="false">IF($C183="","",IF(COUNTIF(M183,"Cancelled")+COUNTIF(R183,"Cancelled")+COUNTIF(W183,"Cancelled")+COUNTIF(AB183,"Cancelled")+COUNTIF(AG183,"Cancelled")+COUNTIF(AL183,"Cancelled")+COUNTIF(AQ183,"Cancelled")&gt;0,"Cancelled",IF(E183="All Stages Closed","Completed",IF(E183="S1 Schematic",M183,IF(E183="S2 PCB Layout",R183,IF(E183="S3 SI &amp; PI",W183,IF(E183="S4 Bare-PCB Fab",AB183,IF(E183="S5 Assembly",AG183,IF(E183="S6 Bring-up",AL183,AQ183)))))))))</f>
        <v/>
      </c>
      <c r="G183" s="33" t="str">
        <f aca="false">IF($C183="","",IF(E183="All Stages Closed","",IF(E183="S1 Schematic",IF(N183="","Not added",N183),IF(E183="S2 PCB Layout",IF(S183="","Not added",S183),IF(E183="S3 SI &amp; PI",IF(X183="","Not added",X183),IF(E183="S4 Bare-PCB Fab",IF(AC183="","Not added",AC183),IF(E183="S5 Assembly",IF(AH183="","Not added",AH183),IF(E183="S6 Bring-up",IF(AM183="","Not added",AM183),IF(AR183="","Not added",AR183)))))))))</f>
        <v/>
      </c>
      <c r="H183" s="32" t="str">
        <f aca="true">IF($C183="","",IF(OR(F183="Completed",F183="Cancelled"),"",IF(NOT(ISNUMBER(G183)),"No date set",IF(TODAY()&gt;G183,TODAY()-G183&amp;" days late",G183-TODAY()&amp;" days left"))))</f>
        <v/>
      </c>
      <c r="I183" s="31" t="str">
        <f aca="false">IF($C183="","",COUNTIF(M183,"Completed")+COUNTIF(R183,"Completed")+COUNTIF(W183,"Completed")+COUNTIF(AB183,"Completed")+COUNTIF(AG183,"Completed")+COUNTIF(AL183,"Completed")+COUNTIF(AQ183,"Completed"))</f>
        <v/>
      </c>
      <c r="J183" s="31" t="str">
        <f aca="false">IF($C183="","",7-(COUNTIF(M183,"NA")+COUNTIF(R183,"NA")+COUNTIF(W183,"NA")+COUNTIF(AB183,"NA")+COUNTIF(AG183,"NA")+COUNTIF(AL183,"NA")+COUNTIF(AQ183,"NA")))</f>
        <v/>
      </c>
      <c r="K183" s="34" t="str">
        <f aca="false">IFERROR(I183/J183,"")</f>
        <v/>
      </c>
      <c r="L183" s="29"/>
      <c r="M183" s="35"/>
      <c r="N183" s="36"/>
      <c r="O183" s="36"/>
      <c r="P183" s="30"/>
      <c r="Q183" s="29"/>
      <c r="R183" s="35"/>
      <c r="S183" s="36"/>
      <c r="T183" s="36"/>
      <c r="U183" s="30"/>
      <c r="V183" s="29"/>
      <c r="W183" s="35"/>
      <c r="X183" s="36"/>
      <c r="Y183" s="36"/>
      <c r="Z183" s="30"/>
      <c r="AA183" s="29"/>
      <c r="AB183" s="35"/>
      <c r="AC183" s="36"/>
      <c r="AD183" s="36"/>
      <c r="AE183" s="30"/>
      <c r="AF183" s="29"/>
      <c r="AG183" s="35"/>
      <c r="AH183" s="36"/>
      <c r="AI183" s="36"/>
      <c r="AJ183" s="30"/>
      <c r="AK183" s="29"/>
      <c r="AL183" s="35"/>
      <c r="AM183" s="36"/>
      <c r="AN183" s="36"/>
      <c r="AO183" s="30"/>
      <c r="AP183" s="29"/>
      <c r="AQ183" s="35"/>
      <c r="AR183" s="36"/>
      <c r="AS183" s="36"/>
      <c r="AT183" s="30"/>
      <c r="AU183" s="29"/>
      <c r="AV183" s="29"/>
      <c r="AW183" s="29"/>
      <c r="AX183" s="37"/>
      <c r="AY183" s="29"/>
      <c r="AZ183" s="38" t="str">
        <f aca="false">IF($C183="","",IF(OR(F183="Completed",F183="Cancelled"),"",IF(AND(OR(F183="On Hold",ISNUMBER(VALUE(LEFT(H183,2)))),AY183=""),"Reason not given","")))</f>
        <v/>
      </c>
      <c r="BA183" s="30"/>
    </row>
    <row r="184" customFormat="false" ht="19.5" hidden="false" customHeight="true" outlineLevel="0" collapsed="false">
      <c r="A184" s="28" t="str">
        <f aca="false">IF($C184="","",COUNTA($C$17:$C184))</f>
        <v/>
      </c>
      <c r="B184" s="29"/>
      <c r="C184" s="30"/>
      <c r="D184" s="29"/>
      <c r="E184" s="31" t="str">
        <f aca="false">IF($C184="","",IF(NOT(OR(M184="Completed",M184="NA",M184="Cancelled")),"S1 Schematic",IF(NOT(OR(R184="Completed",R184="NA",R184="Cancelled")),"S2 PCB Layout",IF(NOT(OR(W184="Completed",W184="NA",W184="Cancelled")),"S3 SI &amp; PI",IF(NOT(OR(AB184="Completed",AB184="NA",AB184="Cancelled")),"S4 Bare-PCB Fab",IF(NOT(OR(AG184="Completed",AG184="NA",AG184="Cancelled")),"S5 Assembly",IF(NOT(OR(AL184="Completed",AL184="NA",AL184="Cancelled")),"S6 Bring-up",IF(NOT(OR(AQ184="Completed",AQ184="NA",AQ184="Cancelled")),"S7 BOM Procurement","All Stages Closed"))))))))</f>
        <v/>
      </c>
      <c r="F184" s="32" t="str">
        <f aca="false">IF($C184="","",IF(COUNTIF(M184,"Cancelled")+COUNTIF(R184,"Cancelled")+COUNTIF(W184,"Cancelled")+COUNTIF(AB184,"Cancelled")+COUNTIF(AG184,"Cancelled")+COUNTIF(AL184,"Cancelled")+COUNTIF(AQ184,"Cancelled")&gt;0,"Cancelled",IF(E184="All Stages Closed","Completed",IF(E184="S1 Schematic",M184,IF(E184="S2 PCB Layout",R184,IF(E184="S3 SI &amp; PI",W184,IF(E184="S4 Bare-PCB Fab",AB184,IF(E184="S5 Assembly",AG184,IF(E184="S6 Bring-up",AL184,AQ184)))))))))</f>
        <v/>
      </c>
      <c r="G184" s="33" t="str">
        <f aca="false">IF($C184="","",IF(E184="All Stages Closed","",IF(E184="S1 Schematic",IF(N184="","Not added",N184),IF(E184="S2 PCB Layout",IF(S184="","Not added",S184),IF(E184="S3 SI &amp; PI",IF(X184="","Not added",X184),IF(E184="S4 Bare-PCB Fab",IF(AC184="","Not added",AC184),IF(E184="S5 Assembly",IF(AH184="","Not added",AH184),IF(E184="S6 Bring-up",IF(AM184="","Not added",AM184),IF(AR184="","Not added",AR184)))))))))</f>
        <v/>
      </c>
      <c r="H184" s="32" t="str">
        <f aca="true">IF($C184="","",IF(OR(F184="Completed",F184="Cancelled"),"",IF(NOT(ISNUMBER(G184)),"No date set",IF(TODAY()&gt;G184,TODAY()-G184&amp;" days late",G184-TODAY()&amp;" days left"))))</f>
        <v/>
      </c>
      <c r="I184" s="31" t="str">
        <f aca="false">IF($C184="","",COUNTIF(M184,"Completed")+COUNTIF(R184,"Completed")+COUNTIF(W184,"Completed")+COUNTIF(AB184,"Completed")+COUNTIF(AG184,"Completed")+COUNTIF(AL184,"Completed")+COUNTIF(AQ184,"Completed"))</f>
        <v/>
      </c>
      <c r="J184" s="31" t="str">
        <f aca="false">IF($C184="","",7-(COUNTIF(M184,"NA")+COUNTIF(R184,"NA")+COUNTIF(W184,"NA")+COUNTIF(AB184,"NA")+COUNTIF(AG184,"NA")+COUNTIF(AL184,"NA")+COUNTIF(AQ184,"NA")))</f>
        <v/>
      </c>
      <c r="K184" s="34" t="str">
        <f aca="false">IFERROR(I184/J184,"")</f>
        <v/>
      </c>
      <c r="L184" s="29"/>
      <c r="M184" s="35"/>
      <c r="N184" s="36"/>
      <c r="O184" s="36"/>
      <c r="P184" s="30"/>
      <c r="Q184" s="29"/>
      <c r="R184" s="35"/>
      <c r="S184" s="36"/>
      <c r="T184" s="36"/>
      <c r="U184" s="30"/>
      <c r="V184" s="29"/>
      <c r="W184" s="35"/>
      <c r="X184" s="36"/>
      <c r="Y184" s="36"/>
      <c r="Z184" s="30"/>
      <c r="AA184" s="29"/>
      <c r="AB184" s="35"/>
      <c r="AC184" s="36"/>
      <c r="AD184" s="36"/>
      <c r="AE184" s="30"/>
      <c r="AF184" s="29"/>
      <c r="AG184" s="35"/>
      <c r="AH184" s="36"/>
      <c r="AI184" s="36"/>
      <c r="AJ184" s="30"/>
      <c r="AK184" s="29"/>
      <c r="AL184" s="35"/>
      <c r="AM184" s="36"/>
      <c r="AN184" s="36"/>
      <c r="AO184" s="30"/>
      <c r="AP184" s="29"/>
      <c r="AQ184" s="35"/>
      <c r="AR184" s="36"/>
      <c r="AS184" s="36"/>
      <c r="AT184" s="30"/>
      <c r="AU184" s="29"/>
      <c r="AV184" s="29"/>
      <c r="AW184" s="29"/>
      <c r="AX184" s="37"/>
      <c r="AY184" s="29"/>
      <c r="AZ184" s="38" t="str">
        <f aca="false">IF($C184="","",IF(OR(F184="Completed",F184="Cancelled"),"",IF(AND(OR(F184="On Hold",ISNUMBER(VALUE(LEFT(H184,2)))),AY184=""),"Reason not given","")))</f>
        <v/>
      </c>
      <c r="BA184" s="30"/>
    </row>
    <row r="185" customFormat="false" ht="19.5" hidden="false" customHeight="true" outlineLevel="0" collapsed="false">
      <c r="A185" s="28" t="str">
        <f aca="false">IF($C185="","",COUNTA($C$17:$C185))</f>
        <v/>
      </c>
      <c r="B185" s="29"/>
      <c r="C185" s="30"/>
      <c r="D185" s="29"/>
      <c r="E185" s="31" t="str">
        <f aca="false">IF($C185="","",IF(NOT(OR(M185="Completed",M185="NA",M185="Cancelled")),"S1 Schematic",IF(NOT(OR(R185="Completed",R185="NA",R185="Cancelled")),"S2 PCB Layout",IF(NOT(OR(W185="Completed",W185="NA",W185="Cancelled")),"S3 SI &amp; PI",IF(NOT(OR(AB185="Completed",AB185="NA",AB185="Cancelled")),"S4 Bare-PCB Fab",IF(NOT(OR(AG185="Completed",AG185="NA",AG185="Cancelled")),"S5 Assembly",IF(NOT(OR(AL185="Completed",AL185="NA",AL185="Cancelled")),"S6 Bring-up",IF(NOT(OR(AQ185="Completed",AQ185="NA",AQ185="Cancelled")),"S7 BOM Procurement","All Stages Closed"))))))))</f>
        <v/>
      </c>
      <c r="F185" s="32" t="str">
        <f aca="false">IF($C185="","",IF(COUNTIF(M185,"Cancelled")+COUNTIF(R185,"Cancelled")+COUNTIF(W185,"Cancelled")+COUNTIF(AB185,"Cancelled")+COUNTIF(AG185,"Cancelled")+COUNTIF(AL185,"Cancelled")+COUNTIF(AQ185,"Cancelled")&gt;0,"Cancelled",IF(E185="All Stages Closed","Completed",IF(E185="S1 Schematic",M185,IF(E185="S2 PCB Layout",R185,IF(E185="S3 SI &amp; PI",W185,IF(E185="S4 Bare-PCB Fab",AB185,IF(E185="S5 Assembly",AG185,IF(E185="S6 Bring-up",AL185,AQ185)))))))))</f>
        <v/>
      </c>
      <c r="G185" s="33" t="str">
        <f aca="false">IF($C185="","",IF(E185="All Stages Closed","",IF(E185="S1 Schematic",IF(N185="","Not added",N185),IF(E185="S2 PCB Layout",IF(S185="","Not added",S185),IF(E185="S3 SI &amp; PI",IF(X185="","Not added",X185),IF(E185="S4 Bare-PCB Fab",IF(AC185="","Not added",AC185),IF(E185="S5 Assembly",IF(AH185="","Not added",AH185),IF(E185="S6 Bring-up",IF(AM185="","Not added",AM185),IF(AR185="","Not added",AR185)))))))))</f>
        <v/>
      </c>
      <c r="H185" s="32" t="str">
        <f aca="true">IF($C185="","",IF(OR(F185="Completed",F185="Cancelled"),"",IF(NOT(ISNUMBER(G185)),"No date set",IF(TODAY()&gt;G185,TODAY()-G185&amp;" days late",G185-TODAY()&amp;" days left"))))</f>
        <v/>
      </c>
      <c r="I185" s="31" t="str">
        <f aca="false">IF($C185="","",COUNTIF(M185,"Completed")+COUNTIF(R185,"Completed")+COUNTIF(W185,"Completed")+COUNTIF(AB185,"Completed")+COUNTIF(AG185,"Completed")+COUNTIF(AL185,"Completed")+COUNTIF(AQ185,"Completed"))</f>
        <v/>
      </c>
      <c r="J185" s="31" t="str">
        <f aca="false">IF($C185="","",7-(COUNTIF(M185,"NA")+COUNTIF(R185,"NA")+COUNTIF(W185,"NA")+COUNTIF(AB185,"NA")+COUNTIF(AG185,"NA")+COUNTIF(AL185,"NA")+COUNTIF(AQ185,"NA")))</f>
        <v/>
      </c>
      <c r="K185" s="34" t="str">
        <f aca="false">IFERROR(I185/J185,"")</f>
        <v/>
      </c>
      <c r="L185" s="29"/>
      <c r="M185" s="35"/>
      <c r="N185" s="36"/>
      <c r="O185" s="36"/>
      <c r="P185" s="30"/>
      <c r="Q185" s="29"/>
      <c r="R185" s="35"/>
      <c r="S185" s="36"/>
      <c r="T185" s="36"/>
      <c r="U185" s="30"/>
      <c r="V185" s="29"/>
      <c r="W185" s="35"/>
      <c r="X185" s="36"/>
      <c r="Y185" s="36"/>
      <c r="Z185" s="30"/>
      <c r="AA185" s="29"/>
      <c r="AB185" s="35"/>
      <c r="AC185" s="36"/>
      <c r="AD185" s="36"/>
      <c r="AE185" s="30"/>
      <c r="AF185" s="29"/>
      <c r="AG185" s="35"/>
      <c r="AH185" s="36"/>
      <c r="AI185" s="36"/>
      <c r="AJ185" s="30"/>
      <c r="AK185" s="29"/>
      <c r="AL185" s="35"/>
      <c r="AM185" s="36"/>
      <c r="AN185" s="36"/>
      <c r="AO185" s="30"/>
      <c r="AP185" s="29"/>
      <c r="AQ185" s="35"/>
      <c r="AR185" s="36"/>
      <c r="AS185" s="36"/>
      <c r="AT185" s="30"/>
      <c r="AU185" s="29"/>
      <c r="AV185" s="29"/>
      <c r="AW185" s="29"/>
      <c r="AX185" s="37"/>
      <c r="AY185" s="29"/>
      <c r="AZ185" s="38" t="str">
        <f aca="false">IF($C185="","",IF(OR(F185="Completed",F185="Cancelled"),"",IF(AND(OR(F185="On Hold",ISNUMBER(VALUE(LEFT(H185,2)))),AY185=""),"Reason not given","")))</f>
        <v/>
      </c>
      <c r="BA185" s="30"/>
    </row>
    <row r="186" customFormat="false" ht="19.5" hidden="false" customHeight="true" outlineLevel="0" collapsed="false">
      <c r="A186" s="28" t="str">
        <f aca="false">IF($C186="","",COUNTA($C$17:$C186))</f>
        <v/>
      </c>
      <c r="B186" s="29"/>
      <c r="C186" s="30"/>
      <c r="D186" s="29"/>
      <c r="E186" s="31" t="str">
        <f aca="false">IF($C186="","",IF(NOT(OR(M186="Completed",M186="NA",M186="Cancelled")),"S1 Schematic",IF(NOT(OR(R186="Completed",R186="NA",R186="Cancelled")),"S2 PCB Layout",IF(NOT(OR(W186="Completed",W186="NA",W186="Cancelled")),"S3 SI &amp; PI",IF(NOT(OR(AB186="Completed",AB186="NA",AB186="Cancelled")),"S4 Bare-PCB Fab",IF(NOT(OR(AG186="Completed",AG186="NA",AG186="Cancelled")),"S5 Assembly",IF(NOT(OR(AL186="Completed",AL186="NA",AL186="Cancelled")),"S6 Bring-up",IF(NOT(OR(AQ186="Completed",AQ186="NA",AQ186="Cancelled")),"S7 BOM Procurement","All Stages Closed"))))))))</f>
        <v/>
      </c>
      <c r="F186" s="32" t="str">
        <f aca="false">IF($C186="","",IF(COUNTIF(M186,"Cancelled")+COUNTIF(R186,"Cancelled")+COUNTIF(W186,"Cancelled")+COUNTIF(AB186,"Cancelled")+COUNTIF(AG186,"Cancelled")+COUNTIF(AL186,"Cancelled")+COUNTIF(AQ186,"Cancelled")&gt;0,"Cancelled",IF(E186="All Stages Closed","Completed",IF(E186="S1 Schematic",M186,IF(E186="S2 PCB Layout",R186,IF(E186="S3 SI &amp; PI",W186,IF(E186="S4 Bare-PCB Fab",AB186,IF(E186="S5 Assembly",AG186,IF(E186="S6 Bring-up",AL186,AQ186)))))))))</f>
        <v/>
      </c>
      <c r="G186" s="33" t="str">
        <f aca="false">IF($C186="","",IF(E186="All Stages Closed","",IF(E186="S1 Schematic",IF(N186="","Not added",N186),IF(E186="S2 PCB Layout",IF(S186="","Not added",S186),IF(E186="S3 SI &amp; PI",IF(X186="","Not added",X186),IF(E186="S4 Bare-PCB Fab",IF(AC186="","Not added",AC186),IF(E186="S5 Assembly",IF(AH186="","Not added",AH186),IF(E186="S6 Bring-up",IF(AM186="","Not added",AM186),IF(AR186="","Not added",AR186)))))))))</f>
        <v/>
      </c>
      <c r="H186" s="32" t="str">
        <f aca="true">IF($C186="","",IF(OR(F186="Completed",F186="Cancelled"),"",IF(NOT(ISNUMBER(G186)),"No date set",IF(TODAY()&gt;G186,TODAY()-G186&amp;" days late",G186-TODAY()&amp;" days left"))))</f>
        <v/>
      </c>
      <c r="I186" s="31" t="str">
        <f aca="false">IF($C186="","",COUNTIF(M186,"Completed")+COUNTIF(R186,"Completed")+COUNTIF(W186,"Completed")+COUNTIF(AB186,"Completed")+COUNTIF(AG186,"Completed")+COUNTIF(AL186,"Completed")+COUNTIF(AQ186,"Completed"))</f>
        <v/>
      </c>
      <c r="J186" s="31" t="str">
        <f aca="false">IF($C186="","",7-(COUNTIF(M186,"NA")+COUNTIF(R186,"NA")+COUNTIF(W186,"NA")+COUNTIF(AB186,"NA")+COUNTIF(AG186,"NA")+COUNTIF(AL186,"NA")+COUNTIF(AQ186,"NA")))</f>
        <v/>
      </c>
      <c r="K186" s="34" t="str">
        <f aca="false">IFERROR(I186/J186,"")</f>
        <v/>
      </c>
      <c r="L186" s="29"/>
      <c r="M186" s="35"/>
      <c r="N186" s="36"/>
      <c r="O186" s="36"/>
      <c r="P186" s="30"/>
      <c r="Q186" s="29"/>
      <c r="R186" s="35"/>
      <c r="S186" s="36"/>
      <c r="T186" s="36"/>
      <c r="U186" s="30"/>
      <c r="V186" s="29"/>
      <c r="W186" s="35"/>
      <c r="X186" s="36"/>
      <c r="Y186" s="36"/>
      <c r="Z186" s="30"/>
      <c r="AA186" s="29"/>
      <c r="AB186" s="35"/>
      <c r="AC186" s="36"/>
      <c r="AD186" s="36"/>
      <c r="AE186" s="30"/>
      <c r="AF186" s="29"/>
      <c r="AG186" s="35"/>
      <c r="AH186" s="36"/>
      <c r="AI186" s="36"/>
      <c r="AJ186" s="30"/>
      <c r="AK186" s="29"/>
      <c r="AL186" s="35"/>
      <c r="AM186" s="36"/>
      <c r="AN186" s="36"/>
      <c r="AO186" s="30"/>
      <c r="AP186" s="29"/>
      <c r="AQ186" s="35"/>
      <c r="AR186" s="36"/>
      <c r="AS186" s="36"/>
      <c r="AT186" s="30"/>
      <c r="AU186" s="29"/>
      <c r="AV186" s="29"/>
      <c r="AW186" s="29"/>
      <c r="AX186" s="37"/>
      <c r="AY186" s="29"/>
      <c r="AZ186" s="38" t="str">
        <f aca="false">IF($C186="","",IF(OR(F186="Completed",F186="Cancelled"),"",IF(AND(OR(F186="On Hold",ISNUMBER(VALUE(LEFT(H186,2)))),AY186=""),"Reason not given","")))</f>
        <v/>
      </c>
      <c r="BA186" s="30"/>
    </row>
    <row r="187" customFormat="false" ht="19.5" hidden="false" customHeight="true" outlineLevel="0" collapsed="false">
      <c r="A187" s="28" t="str">
        <f aca="false">IF($C187="","",COUNTA($C$17:$C187))</f>
        <v/>
      </c>
      <c r="B187" s="29"/>
      <c r="C187" s="30"/>
      <c r="D187" s="29"/>
      <c r="E187" s="31" t="str">
        <f aca="false">IF($C187="","",IF(NOT(OR(M187="Completed",M187="NA",M187="Cancelled")),"S1 Schematic",IF(NOT(OR(R187="Completed",R187="NA",R187="Cancelled")),"S2 PCB Layout",IF(NOT(OR(W187="Completed",W187="NA",W187="Cancelled")),"S3 SI &amp; PI",IF(NOT(OR(AB187="Completed",AB187="NA",AB187="Cancelled")),"S4 Bare-PCB Fab",IF(NOT(OR(AG187="Completed",AG187="NA",AG187="Cancelled")),"S5 Assembly",IF(NOT(OR(AL187="Completed",AL187="NA",AL187="Cancelled")),"S6 Bring-up",IF(NOT(OR(AQ187="Completed",AQ187="NA",AQ187="Cancelled")),"S7 BOM Procurement","All Stages Closed"))))))))</f>
        <v/>
      </c>
      <c r="F187" s="32" t="str">
        <f aca="false">IF($C187="","",IF(COUNTIF(M187,"Cancelled")+COUNTIF(R187,"Cancelled")+COUNTIF(W187,"Cancelled")+COUNTIF(AB187,"Cancelled")+COUNTIF(AG187,"Cancelled")+COUNTIF(AL187,"Cancelled")+COUNTIF(AQ187,"Cancelled")&gt;0,"Cancelled",IF(E187="All Stages Closed","Completed",IF(E187="S1 Schematic",M187,IF(E187="S2 PCB Layout",R187,IF(E187="S3 SI &amp; PI",W187,IF(E187="S4 Bare-PCB Fab",AB187,IF(E187="S5 Assembly",AG187,IF(E187="S6 Bring-up",AL187,AQ187)))))))))</f>
        <v/>
      </c>
      <c r="G187" s="33" t="str">
        <f aca="false">IF($C187="","",IF(E187="All Stages Closed","",IF(E187="S1 Schematic",IF(N187="","Not added",N187),IF(E187="S2 PCB Layout",IF(S187="","Not added",S187),IF(E187="S3 SI &amp; PI",IF(X187="","Not added",X187),IF(E187="S4 Bare-PCB Fab",IF(AC187="","Not added",AC187),IF(E187="S5 Assembly",IF(AH187="","Not added",AH187),IF(E187="S6 Bring-up",IF(AM187="","Not added",AM187),IF(AR187="","Not added",AR187)))))))))</f>
        <v/>
      </c>
      <c r="H187" s="32" t="str">
        <f aca="true">IF($C187="","",IF(OR(F187="Completed",F187="Cancelled"),"",IF(NOT(ISNUMBER(G187)),"No date set",IF(TODAY()&gt;G187,TODAY()-G187&amp;" days late",G187-TODAY()&amp;" days left"))))</f>
        <v/>
      </c>
      <c r="I187" s="31" t="str">
        <f aca="false">IF($C187="","",COUNTIF(M187,"Completed")+COUNTIF(R187,"Completed")+COUNTIF(W187,"Completed")+COUNTIF(AB187,"Completed")+COUNTIF(AG187,"Completed")+COUNTIF(AL187,"Completed")+COUNTIF(AQ187,"Completed"))</f>
        <v/>
      </c>
      <c r="J187" s="31" t="str">
        <f aca="false">IF($C187="","",7-(COUNTIF(M187,"NA")+COUNTIF(R187,"NA")+COUNTIF(W187,"NA")+COUNTIF(AB187,"NA")+COUNTIF(AG187,"NA")+COUNTIF(AL187,"NA")+COUNTIF(AQ187,"NA")))</f>
        <v/>
      </c>
      <c r="K187" s="34" t="str">
        <f aca="false">IFERROR(I187/J187,"")</f>
        <v/>
      </c>
      <c r="L187" s="29"/>
      <c r="M187" s="35"/>
      <c r="N187" s="36"/>
      <c r="O187" s="36"/>
      <c r="P187" s="30"/>
      <c r="Q187" s="29"/>
      <c r="R187" s="35"/>
      <c r="S187" s="36"/>
      <c r="T187" s="36"/>
      <c r="U187" s="30"/>
      <c r="V187" s="29"/>
      <c r="W187" s="35"/>
      <c r="X187" s="36"/>
      <c r="Y187" s="36"/>
      <c r="Z187" s="30"/>
      <c r="AA187" s="29"/>
      <c r="AB187" s="35"/>
      <c r="AC187" s="36"/>
      <c r="AD187" s="36"/>
      <c r="AE187" s="30"/>
      <c r="AF187" s="29"/>
      <c r="AG187" s="35"/>
      <c r="AH187" s="36"/>
      <c r="AI187" s="36"/>
      <c r="AJ187" s="30"/>
      <c r="AK187" s="29"/>
      <c r="AL187" s="35"/>
      <c r="AM187" s="36"/>
      <c r="AN187" s="36"/>
      <c r="AO187" s="30"/>
      <c r="AP187" s="29"/>
      <c r="AQ187" s="35"/>
      <c r="AR187" s="36"/>
      <c r="AS187" s="36"/>
      <c r="AT187" s="30"/>
      <c r="AU187" s="29"/>
      <c r="AV187" s="29"/>
      <c r="AW187" s="29"/>
      <c r="AX187" s="37"/>
      <c r="AY187" s="29"/>
      <c r="AZ187" s="38" t="str">
        <f aca="false">IF($C187="","",IF(OR(F187="Completed",F187="Cancelled"),"",IF(AND(OR(F187="On Hold",ISNUMBER(VALUE(LEFT(H187,2)))),AY187=""),"Reason not given","")))</f>
        <v/>
      </c>
      <c r="BA187" s="30"/>
    </row>
    <row r="188" customFormat="false" ht="19.5" hidden="false" customHeight="true" outlineLevel="0" collapsed="false">
      <c r="A188" s="28" t="str">
        <f aca="false">IF($C188="","",COUNTA($C$17:$C188))</f>
        <v/>
      </c>
      <c r="B188" s="29"/>
      <c r="C188" s="30"/>
      <c r="D188" s="29"/>
      <c r="E188" s="31" t="str">
        <f aca="false">IF($C188="","",IF(NOT(OR(M188="Completed",M188="NA",M188="Cancelled")),"S1 Schematic",IF(NOT(OR(R188="Completed",R188="NA",R188="Cancelled")),"S2 PCB Layout",IF(NOT(OR(W188="Completed",W188="NA",W188="Cancelled")),"S3 SI &amp; PI",IF(NOT(OR(AB188="Completed",AB188="NA",AB188="Cancelled")),"S4 Bare-PCB Fab",IF(NOT(OR(AG188="Completed",AG188="NA",AG188="Cancelled")),"S5 Assembly",IF(NOT(OR(AL188="Completed",AL188="NA",AL188="Cancelled")),"S6 Bring-up",IF(NOT(OR(AQ188="Completed",AQ188="NA",AQ188="Cancelled")),"S7 BOM Procurement","All Stages Closed"))))))))</f>
        <v/>
      </c>
      <c r="F188" s="32" t="str">
        <f aca="false">IF($C188="","",IF(COUNTIF(M188,"Cancelled")+COUNTIF(R188,"Cancelled")+COUNTIF(W188,"Cancelled")+COUNTIF(AB188,"Cancelled")+COUNTIF(AG188,"Cancelled")+COUNTIF(AL188,"Cancelled")+COUNTIF(AQ188,"Cancelled")&gt;0,"Cancelled",IF(E188="All Stages Closed","Completed",IF(E188="S1 Schematic",M188,IF(E188="S2 PCB Layout",R188,IF(E188="S3 SI &amp; PI",W188,IF(E188="S4 Bare-PCB Fab",AB188,IF(E188="S5 Assembly",AG188,IF(E188="S6 Bring-up",AL188,AQ188)))))))))</f>
        <v/>
      </c>
      <c r="G188" s="33" t="str">
        <f aca="false">IF($C188="","",IF(E188="All Stages Closed","",IF(E188="S1 Schematic",IF(N188="","Not added",N188),IF(E188="S2 PCB Layout",IF(S188="","Not added",S188),IF(E188="S3 SI &amp; PI",IF(X188="","Not added",X188),IF(E188="S4 Bare-PCB Fab",IF(AC188="","Not added",AC188),IF(E188="S5 Assembly",IF(AH188="","Not added",AH188),IF(E188="S6 Bring-up",IF(AM188="","Not added",AM188),IF(AR188="","Not added",AR188)))))))))</f>
        <v/>
      </c>
      <c r="H188" s="32" t="str">
        <f aca="true">IF($C188="","",IF(OR(F188="Completed",F188="Cancelled"),"",IF(NOT(ISNUMBER(G188)),"No date set",IF(TODAY()&gt;G188,TODAY()-G188&amp;" days late",G188-TODAY()&amp;" days left"))))</f>
        <v/>
      </c>
      <c r="I188" s="31" t="str">
        <f aca="false">IF($C188="","",COUNTIF(M188,"Completed")+COUNTIF(R188,"Completed")+COUNTIF(W188,"Completed")+COUNTIF(AB188,"Completed")+COUNTIF(AG188,"Completed")+COUNTIF(AL188,"Completed")+COUNTIF(AQ188,"Completed"))</f>
        <v/>
      </c>
      <c r="J188" s="31" t="str">
        <f aca="false">IF($C188="","",7-(COUNTIF(M188,"NA")+COUNTIF(R188,"NA")+COUNTIF(W188,"NA")+COUNTIF(AB188,"NA")+COUNTIF(AG188,"NA")+COUNTIF(AL188,"NA")+COUNTIF(AQ188,"NA")))</f>
        <v/>
      </c>
      <c r="K188" s="34" t="str">
        <f aca="false">IFERROR(I188/J188,"")</f>
        <v/>
      </c>
      <c r="L188" s="29"/>
      <c r="M188" s="35"/>
      <c r="N188" s="36"/>
      <c r="O188" s="36"/>
      <c r="P188" s="30"/>
      <c r="Q188" s="29"/>
      <c r="R188" s="35"/>
      <c r="S188" s="36"/>
      <c r="T188" s="36"/>
      <c r="U188" s="30"/>
      <c r="V188" s="29"/>
      <c r="W188" s="35"/>
      <c r="X188" s="36"/>
      <c r="Y188" s="36"/>
      <c r="Z188" s="30"/>
      <c r="AA188" s="29"/>
      <c r="AB188" s="35"/>
      <c r="AC188" s="36"/>
      <c r="AD188" s="36"/>
      <c r="AE188" s="30"/>
      <c r="AF188" s="29"/>
      <c r="AG188" s="35"/>
      <c r="AH188" s="36"/>
      <c r="AI188" s="36"/>
      <c r="AJ188" s="30"/>
      <c r="AK188" s="29"/>
      <c r="AL188" s="35"/>
      <c r="AM188" s="36"/>
      <c r="AN188" s="36"/>
      <c r="AO188" s="30"/>
      <c r="AP188" s="29"/>
      <c r="AQ188" s="35"/>
      <c r="AR188" s="36"/>
      <c r="AS188" s="36"/>
      <c r="AT188" s="30"/>
      <c r="AU188" s="29"/>
      <c r="AV188" s="29"/>
      <c r="AW188" s="29"/>
      <c r="AX188" s="37"/>
      <c r="AY188" s="29"/>
      <c r="AZ188" s="38" t="str">
        <f aca="false">IF($C188="","",IF(OR(F188="Completed",F188="Cancelled"),"",IF(AND(OR(F188="On Hold",ISNUMBER(VALUE(LEFT(H188,2)))),AY188=""),"Reason not given","")))</f>
        <v/>
      </c>
      <c r="BA188" s="30"/>
    </row>
    <row r="189" customFormat="false" ht="19.5" hidden="false" customHeight="true" outlineLevel="0" collapsed="false">
      <c r="A189" s="28" t="str">
        <f aca="false">IF($C189="","",COUNTA($C$17:$C189))</f>
        <v/>
      </c>
      <c r="B189" s="29"/>
      <c r="C189" s="30"/>
      <c r="D189" s="29"/>
      <c r="E189" s="31" t="str">
        <f aca="false">IF($C189="","",IF(NOT(OR(M189="Completed",M189="NA",M189="Cancelled")),"S1 Schematic",IF(NOT(OR(R189="Completed",R189="NA",R189="Cancelled")),"S2 PCB Layout",IF(NOT(OR(W189="Completed",W189="NA",W189="Cancelled")),"S3 SI &amp; PI",IF(NOT(OR(AB189="Completed",AB189="NA",AB189="Cancelled")),"S4 Bare-PCB Fab",IF(NOT(OR(AG189="Completed",AG189="NA",AG189="Cancelled")),"S5 Assembly",IF(NOT(OR(AL189="Completed",AL189="NA",AL189="Cancelled")),"S6 Bring-up",IF(NOT(OR(AQ189="Completed",AQ189="NA",AQ189="Cancelled")),"S7 BOM Procurement","All Stages Closed"))))))))</f>
        <v/>
      </c>
      <c r="F189" s="32" t="str">
        <f aca="false">IF($C189="","",IF(COUNTIF(M189,"Cancelled")+COUNTIF(R189,"Cancelled")+COUNTIF(W189,"Cancelled")+COUNTIF(AB189,"Cancelled")+COUNTIF(AG189,"Cancelled")+COUNTIF(AL189,"Cancelled")+COUNTIF(AQ189,"Cancelled")&gt;0,"Cancelled",IF(E189="All Stages Closed","Completed",IF(E189="S1 Schematic",M189,IF(E189="S2 PCB Layout",R189,IF(E189="S3 SI &amp; PI",W189,IF(E189="S4 Bare-PCB Fab",AB189,IF(E189="S5 Assembly",AG189,IF(E189="S6 Bring-up",AL189,AQ189)))))))))</f>
        <v/>
      </c>
      <c r="G189" s="33" t="str">
        <f aca="false">IF($C189="","",IF(E189="All Stages Closed","",IF(E189="S1 Schematic",IF(N189="","Not added",N189),IF(E189="S2 PCB Layout",IF(S189="","Not added",S189),IF(E189="S3 SI &amp; PI",IF(X189="","Not added",X189),IF(E189="S4 Bare-PCB Fab",IF(AC189="","Not added",AC189),IF(E189="S5 Assembly",IF(AH189="","Not added",AH189),IF(E189="S6 Bring-up",IF(AM189="","Not added",AM189),IF(AR189="","Not added",AR189)))))))))</f>
        <v/>
      </c>
      <c r="H189" s="32" t="str">
        <f aca="true">IF($C189="","",IF(OR(F189="Completed",F189="Cancelled"),"",IF(NOT(ISNUMBER(G189)),"No date set",IF(TODAY()&gt;G189,TODAY()-G189&amp;" days late",G189-TODAY()&amp;" days left"))))</f>
        <v/>
      </c>
      <c r="I189" s="31" t="str">
        <f aca="false">IF($C189="","",COUNTIF(M189,"Completed")+COUNTIF(R189,"Completed")+COUNTIF(W189,"Completed")+COUNTIF(AB189,"Completed")+COUNTIF(AG189,"Completed")+COUNTIF(AL189,"Completed")+COUNTIF(AQ189,"Completed"))</f>
        <v/>
      </c>
      <c r="J189" s="31" t="str">
        <f aca="false">IF($C189="","",7-(COUNTIF(M189,"NA")+COUNTIF(R189,"NA")+COUNTIF(W189,"NA")+COUNTIF(AB189,"NA")+COUNTIF(AG189,"NA")+COUNTIF(AL189,"NA")+COUNTIF(AQ189,"NA")))</f>
        <v/>
      </c>
      <c r="K189" s="34" t="str">
        <f aca="false">IFERROR(I189/J189,"")</f>
        <v/>
      </c>
      <c r="L189" s="29"/>
      <c r="M189" s="35"/>
      <c r="N189" s="36"/>
      <c r="O189" s="36"/>
      <c r="P189" s="30"/>
      <c r="Q189" s="29"/>
      <c r="R189" s="35"/>
      <c r="S189" s="36"/>
      <c r="T189" s="36"/>
      <c r="U189" s="30"/>
      <c r="V189" s="29"/>
      <c r="W189" s="35"/>
      <c r="X189" s="36"/>
      <c r="Y189" s="36"/>
      <c r="Z189" s="30"/>
      <c r="AA189" s="29"/>
      <c r="AB189" s="35"/>
      <c r="AC189" s="36"/>
      <c r="AD189" s="36"/>
      <c r="AE189" s="30"/>
      <c r="AF189" s="29"/>
      <c r="AG189" s="35"/>
      <c r="AH189" s="36"/>
      <c r="AI189" s="36"/>
      <c r="AJ189" s="30"/>
      <c r="AK189" s="29"/>
      <c r="AL189" s="35"/>
      <c r="AM189" s="36"/>
      <c r="AN189" s="36"/>
      <c r="AO189" s="30"/>
      <c r="AP189" s="29"/>
      <c r="AQ189" s="35"/>
      <c r="AR189" s="36"/>
      <c r="AS189" s="36"/>
      <c r="AT189" s="30"/>
      <c r="AU189" s="29"/>
      <c r="AV189" s="29"/>
      <c r="AW189" s="29"/>
      <c r="AX189" s="37"/>
      <c r="AY189" s="29"/>
      <c r="AZ189" s="38" t="str">
        <f aca="false">IF($C189="","",IF(OR(F189="Completed",F189="Cancelled"),"",IF(AND(OR(F189="On Hold",ISNUMBER(VALUE(LEFT(H189,2)))),AY189=""),"Reason not given","")))</f>
        <v/>
      </c>
      <c r="BA189" s="30"/>
    </row>
    <row r="190" customFormat="false" ht="19.5" hidden="false" customHeight="true" outlineLevel="0" collapsed="false">
      <c r="A190" s="28" t="str">
        <f aca="false">IF($C190="","",COUNTA($C$17:$C190))</f>
        <v/>
      </c>
      <c r="B190" s="29"/>
      <c r="C190" s="30"/>
      <c r="D190" s="29"/>
      <c r="E190" s="31" t="str">
        <f aca="false">IF($C190="","",IF(NOT(OR(M190="Completed",M190="NA",M190="Cancelled")),"S1 Schematic",IF(NOT(OR(R190="Completed",R190="NA",R190="Cancelled")),"S2 PCB Layout",IF(NOT(OR(W190="Completed",W190="NA",W190="Cancelled")),"S3 SI &amp; PI",IF(NOT(OR(AB190="Completed",AB190="NA",AB190="Cancelled")),"S4 Bare-PCB Fab",IF(NOT(OR(AG190="Completed",AG190="NA",AG190="Cancelled")),"S5 Assembly",IF(NOT(OR(AL190="Completed",AL190="NA",AL190="Cancelled")),"S6 Bring-up",IF(NOT(OR(AQ190="Completed",AQ190="NA",AQ190="Cancelled")),"S7 BOM Procurement","All Stages Closed"))))))))</f>
        <v/>
      </c>
      <c r="F190" s="32" t="str">
        <f aca="false">IF($C190="","",IF(COUNTIF(M190,"Cancelled")+COUNTIF(R190,"Cancelled")+COUNTIF(W190,"Cancelled")+COUNTIF(AB190,"Cancelled")+COUNTIF(AG190,"Cancelled")+COUNTIF(AL190,"Cancelled")+COUNTIF(AQ190,"Cancelled")&gt;0,"Cancelled",IF(E190="All Stages Closed","Completed",IF(E190="S1 Schematic",M190,IF(E190="S2 PCB Layout",R190,IF(E190="S3 SI &amp; PI",W190,IF(E190="S4 Bare-PCB Fab",AB190,IF(E190="S5 Assembly",AG190,IF(E190="S6 Bring-up",AL190,AQ190)))))))))</f>
        <v/>
      </c>
      <c r="G190" s="33" t="str">
        <f aca="false">IF($C190="","",IF(E190="All Stages Closed","",IF(E190="S1 Schematic",IF(N190="","Not added",N190),IF(E190="S2 PCB Layout",IF(S190="","Not added",S190),IF(E190="S3 SI &amp; PI",IF(X190="","Not added",X190),IF(E190="S4 Bare-PCB Fab",IF(AC190="","Not added",AC190),IF(E190="S5 Assembly",IF(AH190="","Not added",AH190),IF(E190="S6 Bring-up",IF(AM190="","Not added",AM190),IF(AR190="","Not added",AR190)))))))))</f>
        <v/>
      </c>
      <c r="H190" s="32" t="str">
        <f aca="true">IF($C190="","",IF(OR(F190="Completed",F190="Cancelled"),"",IF(NOT(ISNUMBER(G190)),"No date set",IF(TODAY()&gt;G190,TODAY()-G190&amp;" days late",G190-TODAY()&amp;" days left"))))</f>
        <v/>
      </c>
      <c r="I190" s="31" t="str">
        <f aca="false">IF($C190="","",COUNTIF(M190,"Completed")+COUNTIF(R190,"Completed")+COUNTIF(W190,"Completed")+COUNTIF(AB190,"Completed")+COUNTIF(AG190,"Completed")+COUNTIF(AL190,"Completed")+COUNTIF(AQ190,"Completed"))</f>
        <v/>
      </c>
      <c r="J190" s="31" t="str">
        <f aca="false">IF($C190="","",7-(COUNTIF(M190,"NA")+COUNTIF(R190,"NA")+COUNTIF(W190,"NA")+COUNTIF(AB190,"NA")+COUNTIF(AG190,"NA")+COUNTIF(AL190,"NA")+COUNTIF(AQ190,"NA")))</f>
        <v/>
      </c>
      <c r="K190" s="34" t="str">
        <f aca="false">IFERROR(I190/J190,"")</f>
        <v/>
      </c>
      <c r="L190" s="29"/>
      <c r="M190" s="35"/>
      <c r="N190" s="36"/>
      <c r="O190" s="36"/>
      <c r="P190" s="30"/>
      <c r="Q190" s="29"/>
      <c r="R190" s="35"/>
      <c r="S190" s="36"/>
      <c r="T190" s="36"/>
      <c r="U190" s="30"/>
      <c r="V190" s="29"/>
      <c r="W190" s="35"/>
      <c r="X190" s="36"/>
      <c r="Y190" s="36"/>
      <c r="Z190" s="30"/>
      <c r="AA190" s="29"/>
      <c r="AB190" s="35"/>
      <c r="AC190" s="36"/>
      <c r="AD190" s="36"/>
      <c r="AE190" s="30"/>
      <c r="AF190" s="29"/>
      <c r="AG190" s="35"/>
      <c r="AH190" s="36"/>
      <c r="AI190" s="36"/>
      <c r="AJ190" s="30"/>
      <c r="AK190" s="29"/>
      <c r="AL190" s="35"/>
      <c r="AM190" s="36"/>
      <c r="AN190" s="36"/>
      <c r="AO190" s="30"/>
      <c r="AP190" s="29"/>
      <c r="AQ190" s="35"/>
      <c r="AR190" s="36"/>
      <c r="AS190" s="36"/>
      <c r="AT190" s="30"/>
      <c r="AU190" s="29"/>
      <c r="AV190" s="29"/>
      <c r="AW190" s="29"/>
      <c r="AX190" s="37"/>
      <c r="AY190" s="29"/>
      <c r="AZ190" s="38" t="str">
        <f aca="false">IF($C190="","",IF(OR(F190="Completed",F190="Cancelled"),"",IF(AND(OR(F190="On Hold",ISNUMBER(VALUE(LEFT(H190,2)))),AY190=""),"Reason not given","")))</f>
        <v/>
      </c>
      <c r="BA190" s="30"/>
    </row>
    <row r="191" customFormat="false" ht="19.5" hidden="false" customHeight="true" outlineLevel="0" collapsed="false">
      <c r="A191" s="28" t="str">
        <f aca="false">IF($C191="","",COUNTA($C$17:$C191))</f>
        <v/>
      </c>
      <c r="B191" s="29"/>
      <c r="C191" s="30"/>
      <c r="D191" s="29"/>
      <c r="E191" s="31" t="str">
        <f aca="false">IF($C191="","",IF(NOT(OR(M191="Completed",M191="NA",M191="Cancelled")),"S1 Schematic",IF(NOT(OR(R191="Completed",R191="NA",R191="Cancelled")),"S2 PCB Layout",IF(NOT(OR(W191="Completed",W191="NA",W191="Cancelled")),"S3 SI &amp; PI",IF(NOT(OR(AB191="Completed",AB191="NA",AB191="Cancelled")),"S4 Bare-PCB Fab",IF(NOT(OR(AG191="Completed",AG191="NA",AG191="Cancelled")),"S5 Assembly",IF(NOT(OR(AL191="Completed",AL191="NA",AL191="Cancelled")),"S6 Bring-up",IF(NOT(OR(AQ191="Completed",AQ191="NA",AQ191="Cancelled")),"S7 BOM Procurement","All Stages Closed"))))))))</f>
        <v/>
      </c>
      <c r="F191" s="32" t="str">
        <f aca="false">IF($C191="","",IF(COUNTIF(M191,"Cancelled")+COUNTIF(R191,"Cancelled")+COUNTIF(W191,"Cancelled")+COUNTIF(AB191,"Cancelled")+COUNTIF(AG191,"Cancelled")+COUNTIF(AL191,"Cancelled")+COUNTIF(AQ191,"Cancelled")&gt;0,"Cancelled",IF(E191="All Stages Closed","Completed",IF(E191="S1 Schematic",M191,IF(E191="S2 PCB Layout",R191,IF(E191="S3 SI &amp; PI",W191,IF(E191="S4 Bare-PCB Fab",AB191,IF(E191="S5 Assembly",AG191,IF(E191="S6 Bring-up",AL191,AQ191)))))))))</f>
        <v/>
      </c>
      <c r="G191" s="33" t="str">
        <f aca="false">IF($C191="","",IF(E191="All Stages Closed","",IF(E191="S1 Schematic",IF(N191="","Not added",N191),IF(E191="S2 PCB Layout",IF(S191="","Not added",S191),IF(E191="S3 SI &amp; PI",IF(X191="","Not added",X191),IF(E191="S4 Bare-PCB Fab",IF(AC191="","Not added",AC191),IF(E191="S5 Assembly",IF(AH191="","Not added",AH191),IF(E191="S6 Bring-up",IF(AM191="","Not added",AM191),IF(AR191="","Not added",AR191)))))))))</f>
        <v/>
      </c>
      <c r="H191" s="32" t="str">
        <f aca="true">IF($C191="","",IF(OR(F191="Completed",F191="Cancelled"),"",IF(NOT(ISNUMBER(G191)),"No date set",IF(TODAY()&gt;G191,TODAY()-G191&amp;" days late",G191-TODAY()&amp;" days left"))))</f>
        <v/>
      </c>
      <c r="I191" s="31" t="str">
        <f aca="false">IF($C191="","",COUNTIF(M191,"Completed")+COUNTIF(R191,"Completed")+COUNTIF(W191,"Completed")+COUNTIF(AB191,"Completed")+COUNTIF(AG191,"Completed")+COUNTIF(AL191,"Completed")+COUNTIF(AQ191,"Completed"))</f>
        <v/>
      </c>
      <c r="J191" s="31" t="str">
        <f aca="false">IF($C191="","",7-(COUNTIF(M191,"NA")+COUNTIF(R191,"NA")+COUNTIF(W191,"NA")+COUNTIF(AB191,"NA")+COUNTIF(AG191,"NA")+COUNTIF(AL191,"NA")+COUNTIF(AQ191,"NA")))</f>
        <v/>
      </c>
      <c r="K191" s="34" t="str">
        <f aca="false">IFERROR(I191/J191,"")</f>
        <v/>
      </c>
      <c r="L191" s="29"/>
      <c r="M191" s="35"/>
      <c r="N191" s="36"/>
      <c r="O191" s="36"/>
      <c r="P191" s="30"/>
      <c r="Q191" s="29"/>
      <c r="R191" s="35"/>
      <c r="S191" s="36"/>
      <c r="T191" s="36"/>
      <c r="U191" s="30"/>
      <c r="V191" s="29"/>
      <c r="W191" s="35"/>
      <c r="X191" s="36"/>
      <c r="Y191" s="36"/>
      <c r="Z191" s="30"/>
      <c r="AA191" s="29"/>
      <c r="AB191" s="35"/>
      <c r="AC191" s="36"/>
      <c r="AD191" s="36"/>
      <c r="AE191" s="30"/>
      <c r="AF191" s="29"/>
      <c r="AG191" s="35"/>
      <c r="AH191" s="36"/>
      <c r="AI191" s="36"/>
      <c r="AJ191" s="30"/>
      <c r="AK191" s="29"/>
      <c r="AL191" s="35"/>
      <c r="AM191" s="36"/>
      <c r="AN191" s="36"/>
      <c r="AO191" s="30"/>
      <c r="AP191" s="29"/>
      <c r="AQ191" s="35"/>
      <c r="AR191" s="36"/>
      <c r="AS191" s="36"/>
      <c r="AT191" s="30"/>
      <c r="AU191" s="29"/>
      <c r="AV191" s="29"/>
      <c r="AW191" s="29"/>
      <c r="AX191" s="37"/>
      <c r="AY191" s="29"/>
      <c r="AZ191" s="38" t="str">
        <f aca="false">IF($C191="","",IF(OR(F191="Completed",F191="Cancelled"),"",IF(AND(OR(F191="On Hold",ISNUMBER(VALUE(LEFT(H191,2)))),AY191=""),"Reason not given","")))</f>
        <v/>
      </c>
      <c r="BA191" s="30"/>
    </row>
    <row r="192" customFormat="false" ht="19.5" hidden="false" customHeight="true" outlineLevel="0" collapsed="false">
      <c r="A192" s="28" t="str">
        <f aca="false">IF($C192="","",COUNTA($C$17:$C192))</f>
        <v/>
      </c>
      <c r="B192" s="29"/>
      <c r="C192" s="30"/>
      <c r="D192" s="29"/>
      <c r="E192" s="31" t="str">
        <f aca="false">IF($C192="","",IF(NOT(OR(M192="Completed",M192="NA",M192="Cancelled")),"S1 Schematic",IF(NOT(OR(R192="Completed",R192="NA",R192="Cancelled")),"S2 PCB Layout",IF(NOT(OR(W192="Completed",W192="NA",W192="Cancelled")),"S3 SI &amp; PI",IF(NOT(OR(AB192="Completed",AB192="NA",AB192="Cancelled")),"S4 Bare-PCB Fab",IF(NOT(OR(AG192="Completed",AG192="NA",AG192="Cancelled")),"S5 Assembly",IF(NOT(OR(AL192="Completed",AL192="NA",AL192="Cancelled")),"S6 Bring-up",IF(NOT(OR(AQ192="Completed",AQ192="NA",AQ192="Cancelled")),"S7 BOM Procurement","All Stages Closed"))))))))</f>
        <v/>
      </c>
      <c r="F192" s="32" t="str">
        <f aca="false">IF($C192="","",IF(COUNTIF(M192,"Cancelled")+COUNTIF(R192,"Cancelled")+COUNTIF(W192,"Cancelled")+COUNTIF(AB192,"Cancelled")+COUNTIF(AG192,"Cancelled")+COUNTIF(AL192,"Cancelled")+COUNTIF(AQ192,"Cancelled")&gt;0,"Cancelled",IF(E192="All Stages Closed","Completed",IF(E192="S1 Schematic",M192,IF(E192="S2 PCB Layout",R192,IF(E192="S3 SI &amp; PI",W192,IF(E192="S4 Bare-PCB Fab",AB192,IF(E192="S5 Assembly",AG192,IF(E192="S6 Bring-up",AL192,AQ192)))))))))</f>
        <v/>
      </c>
      <c r="G192" s="33" t="str">
        <f aca="false">IF($C192="","",IF(E192="All Stages Closed","",IF(E192="S1 Schematic",IF(N192="","Not added",N192),IF(E192="S2 PCB Layout",IF(S192="","Not added",S192),IF(E192="S3 SI &amp; PI",IF(X192="","Not added",X192),IF(E192="S4 Bare-PCB Fab",IF(AC192="","Not added",AC192),IF(E192="S5 Assembly",IF(AH192="","Not added",AH192),IF(E192="S6 Bring-up",IF(AM192="","Not added",AM192),IF(AR192="","Not added",AR192)))))))))</f>
        <v/>
      </c>
      <c r="H192" s="32" t="str">
        <f aca="true">IF($C192="","",IF(OR(F192="Completed",F192="Cancelled"),"",IF(NOT(ISNUMBER(G192)),"No date set",IF(TODAY()&gt;G192,TODAY()-G192&amp;" days late",G192-TODAY()&amp;" days left"))))</f>
        <v/>
      </c>
      <c r="I192" s="31" t="str">
        <f aca="false">IF($C192="","",COUNTIF(M192,"Completed")+COUNTIF(R192,"Completed")+COUNTIF(W192,"Completed")+COUNTIF(AB192,"Completed")+COUNTIF(AG192,"Completed")+COUNTIF(AL192,"Completed")+COUNTIF(AQ192,"Completed"))</f>
        <v/>
      </c>
      <c r="J192" s="31" t="str">
        <f aca="false">IF($C192="","",7-(COUNTIF(M192,"NA")+COUNTIF(R192,"NA")+COUNTIF(W192,"NA")+COUNTIF(AB192,"NA")+COUNTIF(AG192,"NA")+COUNTIF(AL192,"NA")+COUNTIF(AQ192,"NA")))</f>
        <v/>
      </c>
      <c r="K192" s="34" t="str">
        <f aca="false">IFERROR(I192/J192,"")</f>
        <v/>
      </c>
      <c r="L192" s="29"/>
      <c r="M192" s="35"/>
      <c r="N192" s="36"/>
      <c r="O192" s="36"/>
      <c r="P192" s="30"/>
      <c r="Q192" s="29"/>
      <c r="R192" s="35"/>
      <c r="S192" s="36"/>
      <c r="T192" s="36"/>
      <c r="U192" s="30"/>
      <c r="V192" s="29"/>
      <c r="W192" s="35"/>
      <c r="X192" s="36"/>
      <c r="Y192" s="36"/>
      <c r="Z192" s="30"/>
      <c r="AA192" s="29"/>
      <c r="AB192" s="35"/>
      <c r="AC192" s="36"/>
      <c r="AD192" s="36"/>
      <c r="AE192" s="30"/>
      <c r="AF192" s="29"/>
      <c r="AG192" s="35"/>
      <c r="AH192" s="36"/>
      <c r="AI192" s="36"/>
      <c r="AJ192" s="30"/>
      <c r="AK192" s="29"/>
      <c r="AL192" s="35"/>
      <c r="AM192" s="36"/>
      <c r="AN192" s="36"/>
      <c r="AO192" s="30"/>
      <c r="AP192" s="29"/>
      <c r="AQ192" s="35"/>
      <c r="AR192" s="36"/>
      <c r="AS192" s="36"/>
      <c r="AT192" s="30"/>
      <c r="AU192" s="29"/>
      <c r="AV192" s="29"/>
      <c r="AW192" s="29"/>
      <c r="AX192" s="37"/>
      <c r="AY192" s="29"/>
      <c r="AZ192" s="38" t="str">
        <f aca="false">IF($C192="","",IF(OR(F192="Completed",F192="Cancelled"),"",IF(AND(OR(F192="On Hold",ISNUMBER(VALUE(LEFT(H192,2)))),AY192=""),"Reason not given","")))</f>
        <v/>
      </c>
      <c r="BA192" s="30"/>
    </row>
    <row r="193" customFormat="false" ht="19.5" hidden="false" customHeight="true" outlineLevel="0" collapsed="false">
      <c r="A193" s="28" t="str">
        <f aca="false">IF($C193="","",COUNTA($C$17:$C193))</f>
        <v/>
      </c>
      <c r="B193" s="29"/>
      <c r="C193" s="30"/>
      <c r="D193" s="29"/>
      <c r="E193" s="31" t="str">
        <f aca="false">IF($C193="","",IF(NOT(OR(M193="Completed",M193="NA",M193="Cancelled")),"S1 Schematic",IF(NOT(OR(R193="Completed",R193="NA",R193="Cancelled")),"S2 PCB Layout",IF(NOT(OR(W193="Completed",W193="NA",W193="Cancelled")),"S3 SI &amp; PI",IF(NOT(OR(AB193="Completed",AB193="NA",AB193="Cancelled")),"S4 Bare-PCB Fab",IF(NOT(OR(AG193="Completed",AG193="NA",AG193="Cancelled")),"S5 Assembly",IF(NOT(OR(AL193="Completed",AL193="NA",AL193="Cancelled")),"S6 Bring-up",IF(NOT(OR(AQ193="Completed",AQ193="NA",AQ193="Cancelled")),"S7 BOM Procurement","All Stages Closed"))))))))</f>
        <v/>
      </c>
      <c r="F193" s="32" t="str">
        <f aca="false">IF($C193="","",IF(COUNTIF(M193,"Cancelled")+COUNTIF(R193,"Cancelled")+COUNTIF(W193,"Cancelled")+COUNTIF(AB193,"Cancelled")+COUNTIF(AG193,"Cancelled")+COUNTIF(AL193,"Cancelled")+COUNTIF(AQ193,"Cancelled")&gt;0,"Cancelled",IF(E193="All Stages Closed","Completed",IF(E193="S1 Schematic",M193,IF(E193="S2 PCB Layout",R193,IF(E193="S3 SI &amp; PI",W193,IF(E193="S4 Bare-PCB Fab",AB193,IF(E193="S5 Assembly",AG193,IF(E193="S6 Bring-up",AL193,AQ193)))))))))</f>
        <v/>
      </c>
      <c r="G193" s="33" t="str">
        <f aca="false">IF($C193="","",IF(E193="All Stages Closed","",IF(E193="S1 Schematic",IF(N193="","Not added",N193),IF(E193="S2 PCB Layout",IF(S193="","Not added",S193),IF(E193="S3 SI &amp; PI",IF(X193="","Not added",X193),IF(E193="S4 Bare-PCB Fab",IF(AC193="","Not added",AC193),IF(E193="S5 Assembly",IF(AH193="","Not added",AH193),IF(E193="S6 Bring-up",IF(AM193="","Not added",AM193),IF(AR193="","Not added",AR193)))))))))</f>
        <v/>
      </c>
      <c r="H193" s="32" t="str">
        <f aca="true">IF($C193="","",IF(OR(F193="Completed",F193="Cancelled"),"",IF(NOT(ISNUMBER(G193)),"No date set",IF(TODAY()&gt;G193,TODAY()-G193&amp;" days late",G193-TODAY()&amp;" days left"))))</f>
        <v/>
      </c>
      <c r="I193" s="31" t="str">
        <f aca="false">IF($C193="","",COUNTIF(M193,"Completed")+COUNTIF(R193,"Completed")+COUNTIF(W193,"Completed")+COUNTIF(AB193,"Completed")+COUNTIF(AG193,"Completed")+COUNTIF(AL193,"Completed")+COUNTIF(AQ193,"Completed"))</f>
        <v/>
      </c>
      <c r="J193" s="31" t="str">
        <f aca="false">IF($C193="","",7-(COUNTIF(M193,"NA")+COUNTIF(R193,"NA")+COUNTIF(W193,"NA")+COUNTIF(AB193,"NA")+COUNTIF(AG193,"NA")+COUNTIF(AL193,"NA")+COUNTIF(AQ193,"NA")))</f>
        <v/>
      </c>
      <c r="K193" s="34" t="str">
        <f aca="false">IFERROR(I193/J193,"")</f>
        <v/>
      </c>
      <c r="L193" s="29"/>
      <c r="M193" s="35"/>
      <c r="N193" s="36"/>
      <c r="O193" s="36"/>
      <c r="P193" s="30"/>
      <c r="Q193" s="29"/>
      <c r="R193" s="35"/>
      <c r="S193" s="36"/>
      <c r="T193" s="36"/>
      <c r="U193" s="30"/>
      <c r="V193" s="29"/>
      <c r="W193" s="35"/>
      <c r="X193" s="36"/>
      <c r="Y193" s="36"/>
      <c r="Z193" s="30"/>
      <c r="AA193" s="29"/>
      <c r="AB193" s="35"/>
      <c r="AC193" s="36"/>
      <c r="AD193" s="36"/>
      <c r="AE193" s="30"/>
      <c r="AF193" s="29"/>
      <c r="AG193" s="35"/>
      <c r="AH193" s="36"/>
      <c r="AI193" s="36"/>
      <c r="AJ193" s="30"/>
      <c r="AK193" s="29"/>
      <c r="AL193" s="35"/>
      <c r="AM193" s="36"/>
      <c r="AN193" s="36"/>
      <c r="AO193" s="30"/>
      <c r="AP193" s="29"/>
      <c r="AQ193" s="35"/>
      <c r="AR193" s="36"/>
      <c r="AS193" s="36"/>
      <c r="AT193" s="30"/>
      <c r="AU193" s="29"/>
      <c r="AV193" s="29"/>
      <c r="AW193" s="29"/>
      <c r="AX193" s="37"/>
      <c r="AY193" s="29"/>
      <c r="AZ193" s="38" t="str">
        <f aca="false">IF($C193="","",IF(OR(F193="Completed",F193="Cancelled"),"",IF(AND(OR(F193="On Hold",ISNUMBER(VALUE(LEFT(H193,2)))),AY193=""),"Reason not given","")))</f>
        <v/>
      </c>
      <c r="BA193" s="30"/>
    </row>
    <row r="194" customFormat="false" ht="19.5" hidden="false" customHeight="true" outlineLevel="0" collapsed="false">
      <c r="A194" s="28" t="str">
        <f aca="false">IF($C194="","",COUNTA($C$17:$C194))</f>
        <v/>
      </c>
      <c r="B194" s="29"/>
      <c r="C194" s="30"/>
      <c r="D194" s="29"/>
      <c r="E194" s="31" t="str">
        <f aca="false">IF($C194="","",IF(NOT(OR(M194="Completed",M194="NA",M194="Cancelled")),"S1 Schematic",IF(NOT(OR(R194="Completed",R194="NA",R194="Cancelled")),"S2 PCB Layout",IF(NOT(OR(W194="Completed",W194="NA",W194="Cancelled")),"S3 SI &amp; PI",IF(NOT(OR(AB194="Completed",AB194="NA",AB194="Cancelled")),"S4 Bare-PCB Fab",IF(NOT(OR(AG194="Completed",AG194="NA",AG194="Cancelled")),"S5 Assembly",IF(NOT(OR(AL194="Completed",AL194="NA",AL194="Cancelled")),"S6 Bring-up",IF(NOT(OR(AQ194="Completed",AQ194="NA",AQ194="Cancelled")),"S7 BOM Procurement","All Stages Closed"))))))))</f>
        <v/>
      </c>
      <c r="F194" s="32" t="str">
        <f aca="false">IF($C194="","",IF(COUNTIF(M194,"Cancelled")+COUNTIF(R194,"Cancelled")+COUNTIF(W194,"Cancelled")+COUNTIF(AB194,"Cancelled")+COUNTIF(AG194,"Cancelled")+COUNTIF(AL194,"Cancelled")+COUNTIF(AQ194,"Cancelled")&gt;0,"Cancelled",IF(E194="All Stages Closed","Completed",IF(E194="S1 Schematic",M194,IF(E194="S2 PCB Layout",R194,IF(E194="S3 SI &amp; PI",W194,IF(E194="S4 Bare-PCB Fab",AB194,IF(E194="S5 Assembly",AG194,IF(E194="S6 Bring-up",AL194,AQ194)))))))))</f>
        <v/>
      </c>
      <c r="G194" s="33" t="str">
        <f aca="false">IF($C194="","",IF(E194="All Stages Closed","",IF(E194="S1 Schematic",IF(N194="","Not added",N194),IF(E194="S2 PCB Layout",IF(S194="","Not added",S194),IF(E194="S3 SI &amp; PI",IF(X194="","Not added",X194),IF(E194="S4 Bare-PCB Fab",IF(AC194="","Not added",AC194),IF(E194="S5 Assembly",IF(AH194="","Not added",AH194),IF(E194="S6 Bring-up",IF(AM194="","Not added",AM194),IF(AR194="","Not added",AR194)))))))))</f>
        <v/>
      </c>
      <c r="H194" s="32" t="str">
        <f aca="true">IF($C194="","",IF(OR(F194="Completed",F194="Cancelled"),"",IF(NOT(ISNUMBER(G194)),"No date set",IF(TODAY()&gt;G194,TODAY()-G194&amp;" days late",G194-TODAY()&amp;" days left"))))</f>
        <v/>
      </c>
      <c r="I194" s="31" t="str">
        <f aca="false">IF($C194="","",COUNTIF(M194,"Completed")+COUNTIF(R194,"Completed")+COUNTIF(W194,"Completed")+COUNTIF(AB194,"Completed")+COUNTIF(AG194,"Completed")+COUNTIF(AL194,"Completed")+COUNTIF(AQ194,"Completed"))</f>
        <v/>
      </c>
      <c r="J194" s="31" t="str">
        <f aca="false">IF($C194="","",7-(COUNTIF(M194,"NA")+COUNTIF(R194,"NA")+COUNTIF(W194,"NA")+COUNTIF(AB194,"NA")+COUNTIF(AG194,"NA")+COUNTIF(AL194,"NA")+COUNTIF(AQ194,"NA")))</f>
        <v/>
      </c>
      <c r="K194" s="34" t="str">
        <f aca="false">IFERROR(I194/J194,"")</f>
        <v/>
      </c>
      <c r="L194" s="29"/>
      <c r="M194" s="35"/>
      <c r="N194" s="36"/>
      <c r="O194" s="36"/>
      <c r="P194" s="30"/>
      <c r="Q194" s="29"/>
      <c r="R194" s="35"/>
      <c r="S194" s="36"/>
      <c r="T194" s="36"/>
      <c r="U194" s="30"/>
      <c r="V194" s="29"/>
      <c r="W194" s="35"/>
      <c r="X194" s="36"/>
      <c r="Y194" s="36"/>
      <c r="Z194" s="30"/>
      <c r="AA194" s="29"/>
      <c r="AB194" s="35"/>
      <c r="AC194" s="36"/>
      <c r="AD194" s="36"/>
      <c r="AE194" s="30"/>
      <c r="AF194" s="29"/>
      <c r="AG194" s="35"/>
      <c r="AH194" s="36"/>
      <c r="AI194" s="36"/>
      <c r="AJ194" s="30"/>
      <c r="AK194" s="29"/>
      <c r="AL194" s="35"/>
      <c r="AM194" s="36"/>
      <c r="AN194" s="36"/>
      <c r="AO194" s="30"/>
      <c r="AP194" s="29"/>
      <c r="AQ194" s="35"/>
      <c r="AR194" s="36"/>
      <c r="AS194" s="36"/>
      <c r="AT194" s="30"/>
      <c r="AU194" s="29"/>
      <c r="AV194" s="29"/>
      <c r="AW194" s="29"/>
      <c r="AX194" s="37"/>
      <c r="AY194" s="29"/>
      <c r="AZ194" s="38" t="str">
        <f aca="false">IF($C194="","",IF(OR(F194="Completed",F194="Cancelled"),"",IF(AND(OR(F194="On Hold",ISNUMBER(VALUE(LEFT(H194,2)))),AY194=""),"Reason not given","")))</f>
        <v/>
      </c>
      <c r="BA194" s="30"/>
    </row>
    <row r="195" customFormat="false" ht="19.5" hidden="false" customHeight="true" outlineLevel="0" collapsed="false">
      <c r="A195" s="28" t="str">
        <f aca="false">IF($C195="","",COUNTA($C$17:$C195))</f>
        <v/>
      </c>
      <c r="B195" s="29"/>
      <c r="C195" s="30"/>
      <c r="D195" s="29"/>
      <c r="E195" s="31" t="str">
        <f aca="false">IF($C195="","",IF(NOT(OR(M195="Completed",M195="NA",M195="Cancelled")),"S1 Schematic",IF(NOT(OR(R195="Completed",R195="NA",R195="Cancelled")),"S2 PCB Layout",IF(NOT(OR(W195="Completed",W195="NA",W195="Cancelled")),"S3 SI &amp; PI",IF(NOT(OR(AB195="Completed",AB195="NA",AB195="Cancelled")),"S4 Bare-PCB Fab",IF(NOT(OR(AG195="Completed",AG195="NA",AG195="Cancelled")),"S5 Assembly",IF(NOT(OR(AL195="Completed",AL195="NA",AL195="Cancelled")),"S6 Bring-up",IF(NOT(OR(AQ195="Completed",AQ195="NA",AQ195="Cancelled")),"S7 BOM Procurement","All Stages Closed"))))))))</f>
        <v/>
      </c>
      <c r="F195" s="32" t="str">
        <f aca="false">IF($C195="","",IF(COUNTIF(M195,"Cancelled")+COUNTIF(R195,"Cancelled")+COUNTIF(W195,"Cancelled")+COUNTIF(AB195,"Cancelled")+COUNTIF(AG195,"Cancelled")+COUNTIF(AL195,"Cancelled")+COUNTIF(AQ195,"Cancelled")&gt;0,"Cancelled",IF(E195="All Stages Closed","Completed",IF(E195="S1 Schematic",M195,IF(E195="S2 PCB Layout",R195,IF(E195="S3 SI &amp; PI",W195,IF(E195="S4 Bare-PCB Fab",AB195,IF(E195="S5 Assembly",AG195,IF(E195="S6 Bring-up",AL195,AQ195)))))))))</f>
        <v/>
      </c>
      <c r="G195" s="33" t="str">
        <f aca="false">IF($C195="","",IF(E195="All Stages Closed","",IF(E195="S1 Schematic",IF(N195="","Not added",N195),IF(E195="S2 PCB Layout",IF(S195="","Not added",S195),IF(E195="S3 SI &amp; PI",IF(X195="","Not added",X195),IF(E195="S4 Bare-PCB Fab",IF(AC195="","Not added",AC195),IF(E195="S5 Assembly",IF(AH195="","Not added",AH195),IF(E195="S6 Bring-up",IF(AM195="","Not added",AM195),IF(AR195="","Not added",AR195)))))))))</f>
        <v/>
      </c>
      <c r="H195" s="32" t="str">
        <f aca="true">IF($C195="","",IF(OR(F195="Completed",F195="Cancelled"),"",IF(NOT(ISNUMBER(G195)),"No date set",IF(TODAY()&gt;G195,TODAY()-G195&amp;" days late",G195-TODAY()&amp;" days left"))))</f>
        <v/>
      </c>
      <c r="I195" s="31" t="str">
        <f aca="false">IF($C195="","",COUNTIF(M195,"Completed")+COUNTIF(R195,"Completed")+COUNTIF(W195,"Completed")+COUNTIF(AB195,"Completed")+COUNTIF(AG195,"Completed")+COUNTIF(AL195,"Completed")+COUNTIF(AQ195,"Completed"))</f>
        <v/>
      </c>
      <c r="J195" s="31" t="str">
        <f aca="false">IF($C195="","",7-(COUNTIF(M195,"NA")+COUNTIF(R195,"NA")+COUNTIF(W195,"NA")+COUNTIF(AB195,"NA")+COUNTIF(AG195,"NA")+COUNTIF(AL195,"NA")+COUNTIF(AQ195,"NA")))</f>
        <v/>
      </c>
      <c r="K195" s="34" t="str">
        <f aca="false">IFERROR(I195/J195,"")</f>
        <v/>
      </c>
      <c r="L195" s="29"/>
      <c r="M195" s="35"/>
      <c r="N195" s="36"/>
      <c r="O195" s="36"/>
      <c r="P195" s="30"/>
      <c r="Q195" s="29"/>
      <c r="R195" s="35"/>
      <c r="S195" s="36"/>
      <c r="T195" s="36"/>
      <c r="U195" s="30"/>
      <c r="V195" s="29"/>
      <c r="W195" s="35"/>
      <c r="X195" s="36"/>
      <c r="Y195" s="36"/>
      <c r="Z195" s="30"/>
      <c r="AA195" s="29"/>
      <c r="AB195" s="35"/>
      <c r="AC195" s="36"/>
      <c r="AD195" s="36"/>
      <c r="AE195" s="30"/>
      <c r="AF195" s="29"/>
      <c r="AG195" s="35"/>
      <c r="AH195" s="36"/>
      <c r="AI195" s="36"/>
      <c r="AJ195" s="30"/>
      <c r="AK195" s="29"/>
      <c r="AL195" s="35"/>
      <c r="AM195" s="36"/>
      <c r="AN195" s="36"/>
      <c r="AO195" s="30"/>
      <c r="AP195" s="29"/>
      <c r="AQ195" s="35"/>
      <c r="AR195" s="36"/>
      <c r="AS195" s="36"/>
      <c r="AT195" s="30"/>
      <c r="AU195" s="29"/>
      <c r="AV195" s="29"/>
      <c r="AW195" s="29"/>
      <c r="AX195" s="37"/>
      <c r="AY195" s="29"/>
      <c r="AZ195" s="38" t="str">
        <f aca="false">IF($C195="","",IF(OR(F195="Completed",F195="Cancelled"),"",IF(AND(OR(F195="On Hold",ISNUMBER(VALUE(LEFT(H195,2)))),AY195=""),"Reason not given","")))</f>
        <v/>
      </c>
      <c r="BA195" s="30"/>
    </row>
    <row r="196" customFormat="false" ht="19.5" hidden="false" customHeight="true" outlineLevel="0" collapsed="false">
      <c r="A196" s="28" t="str">
        <f aca="false">IF($C196="","",COUNTA($C$17:$C196))</f>
        <v/>
      </c>
      <c r="B196" s="29"/>
      <c r="C196" s="30"/>
      <c r="D196" s="29"/>
      <c r="E196" s="31" t="str">
        <f aca="false">IF($C196="","",IF(NOT(OR(M196="Completed",M196="NA",M196="Cancelled")),"S1 Schematic",IF(NOT(OR(R196="Completed",R196="NA",R196="Cancelled")),"S2 PCB Layout",IF(NOT(OR(W196="Completed",W196="NA",W196="Cancelled")),"S3 SI &amp; PI",IF(NOT(OR(AB196="Completed",AB196="NA",AB196="Cancelled")),"S4 Bare-PCB Fab",IF(NOT(OR(AG196="Completed",AG196="NA",AG196="Cancelled")),"S5 Assembly",IF(NOT(OR(AL196="Completed",AL196="NA",AL196="Cancelled")),"S6 Bring-up",IF(NOT(OR(AQ196="Completed",AQ196="NA",AQ196="Cancelled")),"S7 BOM Procurement","All Stages Closed"))))))))</f>
        <v/>
      </c>
      <c r="F196" s="32" t="str">
        <f aca="false">IF($C196="","",IF(COUNTIF(M196,"Cancelled")+COUNTIF(R196,"Cancelled")+COUNTIF(W196,"Cancelled")+COUNTIF(AB196,"Cancelled")+COUNTIF(AG196,"Cancelled")+COUNTIF(AL196,"Cancelled")+COUNTIF(AQ196,"Cancelled")&gt;0,"Cancelled",IF(E196="All Stages Closed","Completed",IF(E196="S1 Schematic",M196,IF(E196="S2 PCB Layout",R196,IF(E196="S3 SI &amp; PI",W196,IF(E196="S4 Bare-PCB Fab",AB196,IF(E196="S5 Assembly",AG196,IF(E196="S6 Bring-up",AL196,AQ196)))))))))</f>
        <v/>
      </c>
      <c r="G196" s="33" t="str">
        <f aca="false">IF($C196="","",IF(E196="All Stages Closed","",IF(E196="S1 Schematic",IF(N196="","Not added",N196),IF(E196="S2 PCB Layout",IF(S196="","Not added",S196),IF(E196="S3 SI &amp; PI",IF(X196="","Not added",X196),IF(E196="S4 Bare-PCB Fab",IF(AC196="","Not added",AC196),IF(E196="S5 Assembly",IF(AH196="","Not added",AH196),IF(E196="S6 Bring-up",IF(AM196="","Not added",AM196),IF(AR196="","Not added",AR196)))))))))</f>
        <v/>
      </c>
      <c r="H196" s="32" t="str">
        <f aca="true">IF($C196="","",IF(OR(F196="Completed",F196="Cancelled"),"",IF(NOT(ISNUMBER(G196)),"No date set",IF(TODAY()&gt;G196,TODAY()-G196&amp;" days late",G196-TODAY()&amp;" days left"))))</f>
        <v/>
      </c>
      <c r="I196" s="31" t="str">
        <f aca="false">IF($C196="","",COUNTIF(M196,"Completed")+COUNTIF(R196,"Completed")+COUNTIF(W196,"Completed")+COUNTIF(AB196,"Completed")+COUNTIF(AG196,"Completed")+COUNTIF(AL196,"Completed")+COUNTIF(AQ196,"Completed"))</f>
        <v/>
      </c>
      <c r="J196" s="31" t="str">
        <f aca="false">IF($C196="","",7-(COUNTIF(M196,"NA")+COUNTIF(R196,"NA")+COUNTIF(W196,"NA")+COUNTIF(AB196,"NA")+COUNTIF(AG196,"NA")+COUNTIF(AL196,"NA")+COUNTIF(AQ196,"NA")))</f>
        <v/>
      </c>
      <c r="K196" s="34" t="str">
        <f aca="false">IFERROR(I196/J196,"")</f>
        <v/>
      </c>
      <c r="L196" s="29"/>
      <c r="M196" s="35"/>
      <c r="N196" s="36"/>
      <c r="O196" s="36"/>
      <c r="P196" s="30"/>
      <c r="Q196" s="29"/>
      <c r="R196" s="35"/>
      <c r="S196" s="36"/>
      <c r="T196" s="36"/>
      <c r="U196" s="30"/>
      <c r="V196" s="29"/>
      <c r="W196" s="35"/>
      <c r="X196" s="36"/>
      <c r="Y196" s="36"/>
      <c r="Z196" s="30"/>
      <c r="AA196" s="29"/>
      <c r="AB196" s="35"/>
      <c r="AC196" s="36"/>
      <c r="AD196" s="36"/>
      <c r="AE196" s="30"/>
      <c r="AF196" s="29"/>
      <c r="AG196" s="35"/>
      <c r="AH196" s="36"/>
      <c r="AI196" s="36"/>
      <c r="AJ196" s="30"/>
      <c r="AK196" s="29"/>
      <c r="AL196" s="35"/>
      <c r="AM196" s="36"/>
      <c r="AN196" s="36"/>
      <c r="AO196" s="30"/>
      <c r="AP196" s="29"/>
      <c r="AQ196" s="35"/>
      <c r="AR196" s="36"/>
      <c r="AS196" s="36"/>
      <c r="AT196" s="30"/>
      <c r="AU196" s="29"/>
      <c r="AV196" s="29"/>
      <c r="AW196" s="29"/>
      <c r="AX196" s="37"/>
      <c r="AY196" s="29"/>
      <c r="AZ196" s="38" t="str">
        <f aca="false">IF($C196="","",IF(OR(F196="Completed",F196="Cancelled"),"",IF(AND(OR(F196="On Hold",ISNUMBER(VALUE(LEFT(H196,2)))),AY196=""),"Reason not given","")))</f>
        <v/>
      </c>
      <c r="BA196" s="30"/>
    </row>
    <row r="197" customFormat="false" ht="19.5" hidden="false" customHeight="true" outlineLevel="0" collapsed="false">
      <c r="A197" s="28" t="str">
        <f aca="false">IF($C197="","",COUNTA($C$17:$C197))</f>
        <v/>
      </c>
      <c r="B197" s="29"/>
      <c r="C197" s="30"/>
      <c r="D197" s="29"/>
      <c r="E197" s="31" t="str">
        <f aca="false">IF($C197="","",IF(NOT(OR(M197="Completed",M197="NA",M197="Cancelled")),"S1 Schematic",IF(NOT(OR(R197="Completed",R197="NA",R197="Cancelled")),"S2 PCB Layout",IF(NOT(OR(W197="Completed",W197="NA",W197="Cancelled")),"S3 SI &amp; PI",IF(NOT(OR(AB197="Completed",AB197="NA",AB197="Cancelled")),"S4 Bare-PCB Fab",IF(NOT(OR(AG197="Completed",AG197="NA",AG197="Cancelled")),"S5 Assembly",IF(NOT(OR(AL197="Completed",AL197="NA",AL197="Cancelled")),"S6 Bring-up",IF(NOT(OR(AQ197="Completed",AQ197="NA",AQ197="Cancelled")),"S7 BOM Procurement","All Stages Closed"))))))))</f>
        <v/>
      </c>
      <c r="F197" s="32" t="str">
        <f aca="false">IF($C197="","",IF(COUNTIF(M197,"Cancelled")+COUNTIF(R197,"Cancelled")+COUNTIF(W197,"Cancelled")+COUNTIF(AB197,"Cancelled")+COUNTIF(AG197,"Cancelled")+COUNTIF(AL197,"Cancelled")+COUNTIF(AQ197,"Cancelled")&gt;0,"Cancelled",IF(E197="All Stages Closed","Completed",IF(E197="S1 Schematic",M197,IF(E197="S2 PCB Layout",R197,IF(E197="S3 SI &amp; PI",W197,IF(E197="S4 Bare-PCB Fab",AB197,IF(E197="S5 Assembly",AG197,IF(E197="S6 Bring-up",AL197,AQ197)))))))))</f>
        <v/>
      </c>
      <c r="G197" s="33" t="str">
        <f aca="false">IF($C197="","",IF(E197="All Stages Closed","",IF(E197="S1 Schematic",IF(N197="","Not added",N197),IF(E197="S2 PCB Layout",IF(S197="","Not added",S197),IF(E197="S3 SI &amp; PI",IF(X197="","Not added",X197),IF(E197="S4 Bare-PCB Fab",IF(AC197="","Not added",AC197),IF(E197="S5 Assembly",IF(AH197="","Not added",AH197),IF(E197="S6 Bring-up",IF(AM197="","Not added",AM197),IF(AR197="","Not added",AR197)))))))))</f>
        <v/>
      </c>
      <c r="H197" s="32" t="str">
        <f aca="true">IF($C197="","",IF(OR(F197="Completed",F197="Cancelled"),"",IF(NOT(ISNUMBER(G197)),"No date set",IF(TODAY()&gt;G197,TODAY()-G197&amp;" days late",G197-TODAY()&amp;" days left"))))</f>
        <v/>
      </c>
      <c r="I197" s="31" t="str">
        <f aca="false">IF($C197="","",COUNTIF(M197,"Completed")+COUNTIF(R197,"Completed")+COUNTIF(W197,"Completed")+COUNTIF(AB197,"Completed")+COUNTIF(AG197,"Completed")+COUNTIF(AL197,"Completed")+COUNTIF(AQ197,"Completed"))</f>
        <v/>
      </c>
      <c r="J197" s="31" t="str">
        <f aca="false">IF($C197="","",7-(COUNTIF(M197,"NA")+COUNTIF(R197,"NA")+COUNTIF(W197,"NA")+COUNTIF(AB197,"NA")+COUNTIF(AG197,"NA")+COUNTIF(AL197,"NA")+COUNTIF(AQ197,"NA")))</f>
        <v/>
      </c>
      <c r="K197" s="34" t="str">
        <f aca="false">IFERROR(I197/J197,"")</f>
        <v/>
      </c>
      <c r="L197" s="29"/>
      <c r="M197" s="35"/>
      <c r="N197" s="36"/>
      <c r="O197" s="36"/>
      <c r="P197" s="30"/>
      <c r="Q197" s="29"/>
      <c r="R197" s="35"/>
      <c r="S197" s="36"/>
      <c r="T197" s="36"/>
      <c r="U197" s="30"/>
      <c r="V197" s="29"/>
      <c r="W197" s="35"/>
      <c r="X197" s="36"/>
      <c r="Y197" s="36"/>
      <c r="Z197" s="30"/>
      <c r="AA197" s="29"/>
      <c r="AB197" s="35"/>
      <c r="AC197" s="36"/>
      <c r="AD197" s="36"/>
      <c r="AE197" s="30"/>
      <c r="AF197" s="29"/>
      <c r="AG197" s="35"/>
      <c r="AH197" s="36"/>
      <c r="AI197" s="36"/>
      <c r="AJ197" s="30"/>
      <c r="AK197" s="29"/>
      <c r="AL197" s="35"/>
      <c r="AM197" s="36"/>
      <c r="AN197" s="36"/>
      <c r="AO197" s="30"/>
      <c r="AP197" s="29"/>
      <c r="AQ197" s="35"/>
      <c r="AR197" s="36"/>
      <c r="AS197" s="36"/>
      <c r="AT197" s="30"/>
      <c r="AU197" s="29"/>
      <c r="AV197" s="29"/>
      <c r="AW197" s="29"/>
      <c r="AX197" s="37"/>
      <c r="AY197" s="29"/>
      <c r="AZ197" s="38" t="str">
        <f aca="false">IF($C197="","",IF(OR(F197="Completed",F197="Cancelled"),"",IF(AND(OR(F197="On Hold",ISNUMBER(VALUE(LEFT(H197,2)))),AY197=""),"Reason not given","")))</f>
        <v/>
      </c>
      <c r="BA197" s="30"/>
    </row>
    <row r="198" customFormat="false" ht="19.5" hidden="false" customHeight="true" outlineLevel="0" collapsed="false">
      <c r="A198" s="28" t="str">
        <f aca="false">IF($C198="","",COUNTA($C$17:$C198))</f>
        <v/>
      </c>
      <c r="B198" s="29"/>
      <c r="C198" s="30"/>
      <c r="D198" s="29"/>
      <c r="E198" s="31" t="str">
        <f aca="false">IF($C198="","",IF(NOT(OR(M198="Completed",M198="NA",M198="Cancelled")),"S1 Schematic",IF(NOT(OR(R198="Completed",R198="NA",R198="Cancelled")),"S2 PCB Layout",IF(NOT(OR(W198="Completed",W198="NA",W198="Cancelled")),"S3 SI &amp; PI",IF(NOT(OR(AB198="Completed",AB198="NA",AB198="Cancelled")),"S4 Bare-PCB Fab",IF(NOT(OR(AG198="Completed",AG198="NA",AG198="Cancelled")),"S5 Assembly",IF(NOT(OR(AL198="Completed",AL198="NA",AL198="Cancelled")),"S6 Bring-up",IF(NOT(OR(AQ198="Completed",AQ198="NA",AQ198="Cancelled")),"S7 BOM Procurement","All Stages Closed"))))))))</f>
        <v/>
      </c>
      <c r="F198" s="32" t="str">
        <f aca="false">IF($C198="","",IF(COUNTIF(M198,"Cancelled")+COUNTIF(R198,"Cancelled")+COUNTIF(W198,"Cancelled")+COUNTIF(AB198,"Cancelled")+COUNTIF(AG198,"Cancelled")+COUNTIF(AL198,"Cancelled")+COUNTIF(AQ198,"Cancelled")&gt;0,"Cancelled",IF(E198="All Stages Closed","Completed",IF(E198="S1 Schematic",M198,IF(E198="S2 PCB Layout",R198,IF(E198="S3 SI &amp; PI",W198,IF(E198="S4 Bare-PCB Fab",AB198,IF(E198="S5 Assembly",AG198,IF(E198="S6 Bring-up",AL198,AQ198)))))))))</f>
        <v/>
      </c>
      <c r="G198" s="33" t="str">
        <f aca="false">IF($C198="","",IF(E198="All Stages Closed","",IF(E198="S1 Schematic",IF(N198="","Not added",N198),IF(E198="S2 PCB Layout",IF(S198="","Not added",S198),IF(E198="S3 SI &amp; PI",IF(X198="","Not added",X198),IF(E198="S4 Bare-PCB Fab",IF(AC198="","Not added",AC198),IF(E198="S5 Assembly",IF(AH198="","Not added",AH198),IF(E198="S6 Bring-up",IF(AM198="","Not added",AM198),IF(AR198="","Not added",AR198)))))))))</f>
        <v/>
      </c>
      <c r="H198" s="32" t="str">
        <f aca="true">IF($C198="","",IF(OR(F198="Completed",F198="Cancelled"),"",IF(NOT(ISNUMBER(G198)),"No date set",IF(TODAY()&gt;G198,TODAY()-G198&amp;" days late",G198-TODAY()&amp;" days left"))))</f>
        <v/>
      </c>
      <c r="I198" s="31" t="str">
        <f aca="false">IF($C198="","",COUNTIF(M198,"Completed")+COUNTIF(R198,"Completed")+COUNTIF(W198,"Completed")+COUNTIF(AB198,"Completed")+COUNTIF(AG198,"Completed")+COUNTIF(AL198,"Completed")+COUNTIF(AQ198,"Completed"))</f>
        <v/>
      </c>
      <c r="J198" s="31" t="str">
        <f aca="false">IF($C198="","",7-(COUNTIF(M198,"NA")+COUNTIF(R198,"NA")+COUNTIF(W198,"NA")+COUNTIF(AB198,"NA")+COUNTIF(AG198,"NA")+COUNTIF(AL198,"NA")+COUNTIF(AQ198,"NA")))</f>
        <v/>
      </c>
      <c r="K198" s="34" t="str">
        <f aca="false">IFERROR(I198/J198,"")</f>
        <v/>
      </c>
      <c r="L198" s="29"/>
      <c r="M198" s="35"/>
      <c r="N198" s="36"/>
      <c r="O198" s="36"/>
      <c r="P198" s="30"/>
      <c r="Q198" s="29"/>
      <c r="R198" s="35"/>
      <c r="S198" s="36"/>
      <c r="T198" s="36"/>
      <c r="U198" s="30"/>
      <c r="V198" s="29"/>
      <c r="W198" s="35"/>
      <c r="X198" s="36"/>
      <c r="Y198" s="36"/>
      <c r="Z198" s="30"/>
      <c r="AA198" s="29"/>
      <c r="AB198" s="35"/>
      <c r="AC198" s="36"/>
      <c r="AD198" s="36"/>
      <c r="AE198" s="30"/>
      <c r="AF198" s="29"/>
      <c r="AG198" s="35"/>
      <c r="AH198" s="36"/>
      <c r="AI198" s="36"/>
      <c r="AJ198" s="30"/>
      <c r="AK198" s="29"/>
      <c r="AL198" s="35"/>
      <c r="AM198" s="36"/>
      <c r="AN198" s="36"/>
      <c r="AO198" s="30"/>
      <c r="AP198" s="29"/>
      <c r="AQ198" s="35"/>
      <c r="AR198" s="36"/>
      <c r="AS198" s="36"/>
      <c r="AT198" s="30"/>
      <c r="AU198" s="29"/>
      <c r="AV198" s="29"/>
      <c r="AW198" s="29"/>
      <c r="AX198" s="37"/>
      <c r="AY198" s="29"/>
      <c r="AZ198" s="38" t="str">
        <f aca="false">IF($C198="","",IF(OR(F198="Completed",F198="Cancelled"),"",IF(AND(OR(F198="On Hold",ISNUMBER(VALUE(LEFT(H198,2)))),AY198=""),"Reason not given","")))</f>
        <v/>
      </c>
      <c r="BA198" s="30"/>
    </row>
    <row r="199" customFormat="false" ht="19.5" hidden="false" customHeight="true" outlineLevel="0" collapsed="false">
      <c r="A199" s="28" t="str">
        <f aca="false">IF($C199="","",COUNTA($C$17:$C199))</f>
        <v/>
      </c>
      <c r="B199" s="29"/>
      <c r="C199" s="30"/>
      <c r="D199" s="29"/>
      <c r="E199" s="31" t="str">
        <f aca="false">IF($C199="","",IF(NOT(OR(M199="Completed",M199="NA",M199="Cancelled")),"S1 Schematic",IF(NOT(OR(R199="Completed",R199="NA",R199="Cancelled")),"S2 PCB Layout",IF(NOT(OR(W199="Completed",W199="NA",W199="Cancelled")),"S3 SI &amp; PI",IF(NOT(OR(AB199="Completed",AB199="NA",AB199="Cancelled")),"S4 Bare-PCB Fab",IF(NOT(OR(AG199="Completed",AG199="NA",AG199="Cancelled")),"S5 Assembly",IF(NOT(OR(AL199="Completed",AL199="NA",AL199="Cancelled")),"S6 Bring-up",IF(NOT(OR(AQ199="Completed",AQ199="NA",AQ199="Cancelled")),"S7 BOM Procurement","All Stages Closed"))))))))</f>
        <v/>
      </c>
      <c r="F199" s="32" t="str">
        <f aca="false">IF($C199="","",IF(COUNTIF(M199,"Cancelled")+COUNTIF(R199,"Cancelled")+COUNTIF(W199,"Cancelled")+COUNTIF(AB199,"Cancelled")+COUNTIF(AG199,"Cancelled")+COUNTIF(AL199,"Cancelled")+COUNTIF(AQ199,"Cancelled")&gt;0,"Cancelled",IF(E199="All Stages Closed","Completed",IF(E199="S1 Schematic",M199,IF(E199="S2 PCB Layout",R199,IF(E199="S3 SI &amp; PI",W199,IF(E199="S4 Bare-PCB Fab",AB199,IF(E199="S5 Assembly",AG199,IF(E199="S6 Bring-up",AL199,AQ199)))))))))</f>
        <v/>
      </c>
      <c r="G199" s="33" t="str">
        <f aca="false">IF($C199="","",IF(E199="All Stages Closed","",IF(E199="S1 Schematic",IF(N199="","Not added",N199),IF(E199="S2 PCB Layout",IF(S199="","Not added",S199),IF(E199="S3 SI &amp; PI",IF(X199="","Not added",X199),IF(E199="S4 Bare-PCB Fab",IF(AC199="","Not added",AC199),IF(E199="S5 Assembly",IF(AH199="","Not added",AH199),IF(E199="S6 Bring-up",IF(AM199="","Not added",AM199),IF(AR199="","Not added",AR199)))))))))</f>
        <v/>
      </c>
      <c r="H199" s="32" t="str">
        <f aca="true">IF($C199="","",IF(OR(F199="Completed",F199="Cancelled"),"",IF(NOT(ISNUMBER(G199)),"No date set",IF(TODAY()&gt;G199,TODAY()-G199&amp;" days late",G199-TODAY()&amp;" days left"))))</f>
        <v/>
      </c>
      <c r="I199" s="31" t="str">
        <f aca="false">IF($C199="","",COUNTIF(M199,"Completed")+COUNTIF(R199,"Completed")+COUNTIF(W199,"Completed")+COUNTIF(AB199,"Completed")+COUNTIF(AG199,"Completed")+COUNTIF(AL199,"Completed")+COUNTIF(AQ199,"Completed"))</f>
        <v/>
      </c>
      <c r="J199" s="31" t="str">
        <f aca="false">IF($C199="","",7-(COUNTIF(M199,"NA")+COUNTIF(R199,"NA")+COUNTIF(W199,"NA")+COUNTIF(AB199,"NA")+COUNTIF(AG199,"NA")+COUNTIF(AL199,"NA")+COUNTIF(AQ199,"NA")))</f>
        <v/>
      </c>
      <c r="K199" s="34" t="str">
        <f aca="false">IFERROR(I199/J199,"")</f>
        <v/>
      </c>
      <c r="L199" s="29"/>
      <c r="M199" s="35"/>
      <c r="N199" s="36"/>
      <c r="O199" s="36"/>
      <c r="P199" s="30"/>
      <c r="Q199" s="29"/>
      <c r="R199" s="35"/>
      <c r="S199" s="36"/>
      <c r="T199" s="36"/>
      <c r="U199" s="30"/>
      <c r="V199" s="29"/>
      <c r="W199" s="35"/>
      <c r="X199" s="36"/>
      <c r="Y199" s="36"/>
      <c r="Z199" s="30"/>
      <c r="AA199" s="29"/>
      <c r="AB199" s="35"/>
      <c r="AC199" s="36"/>
      <c r="AD199" s="36"/>
      <c r="AE199" s="30"/>
      <c r="AF199" s="29"/>
      <c r="AG199" s="35"/>
      <c r="AH199" s="36"/>
      <c r="AI199" s="36"/>
      <c r="AJ199" s="30"/>
      <c r="AK199" s="29"/>
      <c r="AL199" s="35"/>
      <c r="AM199" s="36"/>
      <c r="AN199" s="36"/>
      <c r="AO199" s="30"/>
      <c r="AP199" s="29"/>
      <c r="AQ199" s="35"/>
      <c r="AR199" s="36"/>
      <c r="AS199" s="36"/>
      <c r="AT199" s="30"/>
      <c r="AU199" s="29"/>
      <c r="AV199" s="29"/>
      <c r="AW199" s="29"/>
      <c r="AX199" s="37"/>
      <c r="AY199" s="29"/>
      <c r="AZ199" s="38" t="str">
        <f aca="false">IF($C199="","",IF(OR(F199="Completed",F199="Cancelled"),"",IF(AND(OR(F199="On Hold",ISNUMBER(VALUE(LEFT(H199,2)))),AY199=""),"Reason not given","")))</f>
        <v/>
      </c>
      <c r="BA199" s="30"/>
    </row>
    <row r="200" customFormat="false" ht="19.5" hidden="false" customHeight="true" outlineLevel="0" collapsed="false">
      <c r="A200" s="28" t="str">
        <f aca="false">IF($C200="","",COUNTA($C$17:$C200))</f>
        <v/>
      </c>
      <c r="B200" s="29"/>
      <c r="C200" s="30"/>
      <c r="D200" s="29"/>
      <c r="E200" s="31" t="str">
        <f aca="false">IF($C200="","",IF(NOT(OR(M200="Completed",M200="NA",M200="Cancelled")),"S1 Schematic",IF(NOT(OR(R200="Completed",R200="NA",R200="Cancelled")),"S2 PCB Layout",IF(NOT(OR(W200="Completed",W200="NA",W200="Cancelled")),"S3 SI &amp; PI",IF(NOT(OR(AB200="Completed",AB200="NA",AB200="Cancelled")),"S4 Bare-PCB Fab",IF(NOT(OR(AG200="Completed",AG200="NA",AG200="Cancelled")),"S5 Assembly",IF(NOT(OR(AL200="Completed",AL200="NA",AL200="Cancelled")),"S6 Bring-up",IF(NOT(OR(AQ200="Completed",AQ200="NA",AQ200="Cancelled")),"S7 BOM Procurement","All Stages Closed"))))))))</f>
        <v/>
      </c>
      <c r="F200" s="32" t="str">
        <f aca="false">IF($C200="","",IF(COUNTIF(M200,"Cancelled")+COUNTIF(R200,"Cancelled")+COUNTIF(W200,"Cancelled")+COUNTIF(AB200,"Cancelled")+COUNTIF(AG200,"Cancelled")+COUNTIF(AL200,"Cancelled")+COUNTIF(AQ200,"Cancelled")&gt;0,"Cancelled",IF(E200="All Stages Closed","Completed",IF(E200="S1 Schematic",M200,IF(E200="S2 PCB Layout",R200,IF(E200="S3 SI &amp; PI",W200,IF(E200="S4 Bare-PCB Fab",AB200,IF(E200="S5 Assembly",AG200,IF(E200="S6 Bring-up",AL200,AQ200)))))))))</f>
        <v/>
      </c>
      <c r="G200" s="33" t="str">
        <f aca="false">IF($C200="","",IF(E200="All Stages Closed","",IF(E200="S1 Schematic",IF(N200="","Not added",N200),IF(E200="S2 PCB Layout",IF(S200="","Not added",S200),IF(E200="S3 SI &amp; PI",IF(X200="","Not added",X200),IF(E200="S4 Bare-PCB Fab",IF(AC200="","Not added",AC200),IF(E200="S5 Assembly",IF(AH200="","Not added",AH200),IF(E200="S6 Bring-up",IF(AM200="","Not added",AM200),IF(AR200="","Not added",AR200)))))))))</f>
        <v/>
      </c>
      <c r="H200" s="32" t="str">
        <f aca="true">IF($C200="","",IF(OR(F200="Completed",F200="Cancelled"),"",IF(NOT(ISNUMBER(G200)),"No date set",IF(TODAY()&gt;G200,TODAY()-G200&amp;" days late",G200-TODAY()&amp;" days left"))))</f>
        <v/>
      </c>
      <c r="I200" s="31" t="str">
        <f aca="false">IF($C200="","",COUNTIF(M200,"Completed")+COUNTIF(R200,"Completed")+COUNTIF(W200,"Completed")+COUNTIF(AB200,"Completed")+COUNTIF(AG200,"Completed")+COUNTIF(AL200,"Completed")+COUNTIF(AQ200,"Completed"))</f>
        <v/>
      </c>
      <c r="J200" s="31" t="str">
        <f aca="false">IF($C200="","",7-(COUNTIF(M200,"NA")+COUNTIF(R200,"NA")+COUNTIF(W200,"NA")+COUNTIF(AB200,"NA")+COUNTIF(AG200,"NA")+COUNTIF(AL200,"NA")+COUNTIF(AQ200,"NA")))</f>
        <v/>
      </c>
      <c r="K200" s="34" t="str">
        <f aca="false">IFERROR(I200/J200,"")</f>
        <v/>
      </c>
      <c r="L200" s="29"/>
      <c r="M200" s="35"/>
      <c r="N200" s="36"/>
      <c r="O200" s="36"/>
      <c r="P200" s="30"/>
      <c r="Q200" s="29"/>
      <c r="R200" s="35"/>
      <c r="S200" s="36"/>
      <c r="T200" s="36"/>
      <c r="U200" s="30"/>
      <c r="V200" s="29"/>
      <c r="W200" s="35"/>
      <c r="X200" s="36"/>
      <c r="Y200" s="36"/>
      <c r="Z200" s="30"/>
      <c r="AA200" s="29"/>
      <c r="AB200" s="35"/>
      <c r="AC200" s="36"/>
      <c r="AD200" s="36"/>
      <c r="AE200" s="30"/>
      <c r="AF200" s="29"/>
      <c r="AG200" s="35"/>
      <c r="AH200" s="36"/>
      <c r="AI200" s="36"/>
      <c r="AJ200" s="30"/>
      <c r="AK200" s="29"/>
      <c r="AL200" s="35"/>
      <c r="AM200" s="36"/>
      <c r="AN200" s="36"/>
      <c r="AO200" s="30"/>
      <c r="AP200" s="29"/>
      <c r="AQ200" s="35"/>
      <c r="AR200" s="36"/>
      <c r="AS200" s="36"/>
      <c r="AT200" s="30"/>
      <c r="AU200" s="29"/>
      <c r="AV200" s="29"/>
      <c r="AW200" s="29"/>
      <c r="AX200" s="37"/>
      <c r="AY200" s="29"/>
      <c r="AZ200" s="38" t="str">
        <f aca="false">IF($C200="","",IF(OR(F200="Completed",F200="Cancelled"),"",IF(AND(OR(F200="On Hold",ISNUMBER(VALUE(LEFT(H200,2)))),AY200=""),"Reason not given","")))</f>
        <v/>
      </c>
      <c r="BA200" s="30"/>
    </row>
    <row r="201" customFormat="false" ht="19.5" hidden="false" customHeight="true" outlineLevel="0" collapsed="false">
      <c r="A201" s="28" t="str">
        <f aca="false">IF($C201="","",COUNTA($C$17:$C201))</f>
        <v/>
      </c>
      <c r="B201" s="29"/>
      <c r="C201" s="30"/>
      <c r="D201" s="29"/>
      <c r="E201" s="31" t="str">
        <f aca="false">IF($C201="","",IF(NOT(OR(M201="Completed",M201="NA",M201="Cancelled")),"S1 Schematic",IF(NOT(OR(R201="Completed",R201="NA",R201="Cancelled")),"S2 PCB Layout",IF(NOT(OR(W201="Completed",W201="NA",W201="Cancelled")),"S3 SI &amp; PI",IF(NOT(OR(AB201="Completed",AB201="NA",AB201="Cancelled")),"S4 Bare-PCB Fab",IF(NOT(OR(AG201="Completed",AG201="NA",AG201="Cancelled")),"S5 Assembly",IF(NOT(OR(AL201="Completed",AL201="NA",AL201="Cancelled")),"S6 Bring-up",IF(NOT(OR(AQ201="Completed",AQ201="NA",AQ201="Cancelled")),"S7 BOM Procurement","All Stages Closed"))))))))</f>
        <v/>
      </c>
      <c r="F201" s="32" t="str">
        <f aca="false">IF($C201="","",IF(COUNTIF(M201,"Cancelled")+COUNTIF(R201,"Cancelled")+COUNTIF(W201,"Cancelled")+COUNTIF(AB201,"Cancelled")+COUNTIF(AG201,"Cancelled")+COUNTIF(AL201,"Cancelled")+COUNTIF(AQ201,"Cancelled")&gt;0,"Cancelled",IF(E201="All Stages Closed","Completed",IF(E201="S1 Schematic",M201,IF(E201="S2 PCB Layout",R201,IF(E201="S3 SI &amp; PI",W201,IF(E201="S4 Bare-PCB Fab",AB201,IF(E201="S5 Assembly",AG201,IF(E201="S6 Bring-up",AL201,AQ201)))))))))</f>
        <v/>
      </c>
      <c r="G201" s="33" t="str">
        <f aca="false">IF($C201="","",IF(E201="All Stages Closed","",IF(E201="S1 Schematic",IF(N201="","Not added",N201),IF(E201="S2 PCB Layout",IF(S201="","Not added",S201),IF(E201="S3 SI &amp; PI",IF(X201="","Not added",X201),IF(E201="S4 Bare-PCB Fab",IF(AC201="","Not added",AC201),IF(E201="S5 Assembly",IF(AH201="","Not added",AH201),IF(E201="S6 Bring-up",IF(AM201="","Not added",AM201),IF(AR201="","Not added",AR201)))))))))</f>
        <v/>
      </c>
      <c r="H201" s="32" t="str">
        <f aca="true">IF($C201="","",IF(OR(F201="Completed",F201="Cancelled"),"",IF(NOT(ISNUMBER(G201)),"No date set",IF(TODAY()&gt;G201,TODAY()-G201&amp;" days late",G201-TODAY()&amp;" days left"))))</f>
        <v/>
      </c>
      <c r="I201" s="31" t="str">
        <f aca="false">IF($C201="","",COUNTIF(M201,"Completed")+COUNTIF(R201,"Completed")+COUNTIF(W201,"Completed")+COUNTIF(AB201,"Completed")+COUNTIF(AG201,"Completed")+COUNTIF(AL201,"Completed")+COUNTIF(AQ201,"Completed"))</f>
        <v/>
      </c>
      <c r="J201" s="31" t="str">
        <f aca="false">IF($C201="","",7-(COUNTIF(M201,"NA")+COUNTIF(R201,"NA")+COUNTIF(W201,"NA")+COUNTIF(AB201,"NA")+COUNTIF(AG201,"NA")+COUNTIF(AL201,"NA")+COUNTIF(AQ201,"NA")))</f>
        <v/>
      </c>
      <c r="K201" s="34" t="str">
        <f aca="false">IFERROR(I201/J201,"")</f>
        <v/>
      </c>
      <c r="L201" s="29"/>
      <c r="M201" s="35"/>
      <c r="N201" s="36"/>
      <c r="O201" s="36"/>
      <c r="P201" s="30"/>
      <c r="Q201" s="29"/>
      <c r="R201" s="35"/>
      <c r="S201" s="36"/>
      <c r="T201" s="36"/>
      <c r="U201" s="30"/>
      <c r="V201" s="29"/>
      <c r="W201" s="35"/>
      <c r="X201" s="36"/>
      <c r="Y201" s="36"/>
      <c r="Z201" s="30"/>
      <c r="AA201" s="29"/>
      <c r="AB201" s="35"/>
      <c r="AC201" s="36"/>
      <c r="AD201" s="36"/>
      <c r="AE201" s="30"/>
      <c r="AF201" s="29"/>
      <c r="AG201" s="35"/>
      <c r="AH201" s="36"/>
      <c r="AI201" s="36"/>
      <c r="AJ201" s="30"/>
      <c r="AK201" s="29"/>
      <c r="AL201" s="35"/>
      <c r="AM201" s="36"/>
      <c r="AN201" s="36"/>
      <c r="AO201" s="30"/>
      <c r="AP201" s="29"/>
      <c r="AQ201" s="35"/>
      <c r="AR201" s="36"/>
      <c r="AS201" s="36"/>
      <c r="AT201" s="30"/>
      <c r="AU201" s="29"/>
      <c r="AV201" s="29"/>
      <c r="AW201" s="29"/>
      <c r="AX201" s="37"/>
      <c r="AY201" s="29"/>
      <c r="AZ201" s="38" t="str">
        <f aca="false">IF($C201="","",IF(OR(F201="Completed",F201="Cancelled"),"",IF(AND(OR(F201="On Hold",ISNUMBER(VALUE(LEFT(H201,2)))),AY201=""),"Reason not given","")))</f>
        <v/>
      </c>
      <c r="BA201" s="30"/>
    </row>
    <row r="202" customFormat="false" ht="19.5" hidden="false" customHeight="true" outlineLevel="0" collapsed="false">
      <c r="A202" s="28" t="str">
        <f aca="false">IF($C202="","",COUNTA($C$17:$C202))</f>
        <v/>
      </c>
      <c r="B202" s="29"/>
      <c r="C202" s="30"/>
      <c r="D202" s="29"/>
      <c r="E202" s="31" t="str">
        <f aca="false">IF($C202="","",IF(NOT(OR(M202="Completed",M202="NA",M202="Cancelled")),"S1 Schematic",IF(NOT(OR(R202="Completed",R202="NA",R202="Cancelled")),"S2 PCB Layout",IF(NOT(OR(W202="Completed",W202="NA",W202="Cancelled")),"S3 SI &amp; PI",IF(NOT(OR(AB202="Completed",AB202="NA",AB202="Cancelled")),"S4 Bare-PCB Fab",IF(NOT(OR(AG202="Completed",AG202="NA",AG202="Cancelled")),"S5 Assembly",IF(NOT(OR(AL202="Completed",AL202="NA",AL202="Cancelled")),"S6 Bring-up",IF(NOT(OR(AQ202="Completed",AQ202="NA",AQ202="Cancelled")),"S7 BOM Procurement","All Stages Closed"))))))))</f>
        <v/>
      </c>
      <c r="F202" s="32" t="str">
        <f aca="false">IF($C202="","",IF(COUNTIF(M202,"Cancelled")+COUNTIF(R202,"Cancelled")+COUNTIF(W202,"Cancelled")+COUNTIF(AB202,"Cancelled")+COUNTIF(AG202,"Cancelled")+COUNTIF(AL202,"Cancelled")+COUNTIF(AQ202,"Cancelled")&gt;0,"Cancelled",IF(E202="All Stages Closed","Completed",IF(E202="S1 Schematic",M202,IF(E202="S2 PCB Layout",R202,IF(E202="S3 SI &amp; PI",W202,IF(E202="S4 Bare-PCB Fab",AB202,IF(E202="S5 Assembly",AG202,IF(E202="S6 Bring-up",AL202,AQ202)))))))))</f>
        <v/>
      </c>
      <c r="G202" s="33" t="str">
        <f aca="false">IF($C202="","",IF(E202="All Stages Closed","",IF(E202="S1 Schematic",IF(N202="","Not added",N202),IF(E202="S2 PCB Layout",IF(S202="","Not added",S202),IF(E202="S3 SI &amp; PI",IF(X202="","Not added",X202),IF(E202="S4 Bare-PCB Fab",IF(AC202="","Not added",AC202),IF(E202="S5 Assembly",IF(AH202="","Not added",AH202),IF(E202="S6 Bring-up",IF(AM202="","Not added",AM202),IF(AR202="","Not added",AR202)))))))))</f>
        <v/>
      </c>
      <c r="H202" s="32" t="str">
        <f aca="true">IF($C202="","",IF(OR(F202="Completed",F202="Cancelled"),"",IF(NOT(ISNUMBER(G202)),"No date set",IF(TODAY()&gt;G202,TODAY()-G202&amp;" days late",G202-TODAY()&amp;" days left"))))</f>
        <v/>
      </c>
      <c r="I202" s="31" t="str">
        <f aca="false">IF($C202="","",COUNTIF(M202,"Completed")+COUNTIF(R202,"Completed")+COUNTIF(W202,"Completed")+COUNTIF(AB202,"Completed")+COUNTIF(AG202,"Completed")+COUNTIF(AL202,"Completed")+COUNTIF(AQ202,"Completed"))</f>
        <v/>
      </c>
      <c r="J202" s="31" t="str">
        <f aca="false">IF($C202="","",7-(COUNTIF(M202,"NA")+COUNTIF(R202,"NA")+COUNTIF(W202,"NA")+COUNTIF(AB202,"NA")+COUNTIF(AG202,"NA")+COUNTIF(AL202,"NA")+COUNTIF(AQ202,"NA")))</f>
        <v/>
      </c>
      <c r="K202" s="34" t="str">
        <f aca="false">IFERROR(I202/J202,"")</f>
        <v/>
      </c>
      <c r="L202" s="29"/>
      <c r="M202" s="35"/>
      <c r="N202" s="36"/>
      <c r="O202" s="36"/>
      <c r="P202" s="30"/>
      <c r="Q202" s="29"/>
      <c r="R202" s="35"/>
      <c r="S202" s="36"/>
      <c r="T202" s="36"/>
      <c r="U202" s="30"/>
      <c r="V202" s="29"/>
      <c r="W202" s="35"/>
      <c r="X202" s="36"/>
      <c r="Y202" s="36"/>
      <c r="Z202" s="30"/>
      <c r="AA202" s="29"/>
      <c r="AB202" s="35"/>
      <c r="AC202" s="36"/>
      <c r="AD202" s="36"/>
      <c r="AE202" s="30"/>
      <c r="AF202" s="29"/>
      <c r="AG202" s="35"/>
      <c r="AH202" s="36"/>
      <c r="AI202" s="36"/>
      <c r="AJ202" s="30"/>
      <c r="AK202" s="29"/>
      <c r="AL202" s="35"/>
      <c r="AM202" s="36"/>
      <c r="AN202" s="36"/>
      <c r="AO202" s="30"/>
      <c r="AP202" s="29"/>
      <c r="AQ202" s="35"/>
      <c r="AR202" s="36"/>
      <c r="AS202" s="36"/>
      <c r="AT202" s="30"/>
      <c r="AU202" s="29"/>
      <c r="AV202" s="29"/>
      <c r="AW202" s="29"/>
      <c r="AX202" s="37"/>
      <c r="AY202" s="29"/>
      <c r="AZ202" s="38" t="str">
        <f aca="false">IF($C202="","",IF(OR(F202="Completed",F202="Cancelled"),"",IF(AND(OR(F202="On Hold",ISNUMBER(VALUE(LEFT(H202,2)))),AY202=""),"Reason not given","")))</f>
        <v/>
      </c>
      <c r="BA202" s="30"/>
    </row>
    <row r="203" customFormat="false" ht="19.5" hidden="false" customHeight="true" outlineLevel="0" collapsed="false">
      <c r="A203" s="28" t="str">
        <f aca="false">IF($C203="","",COUNTA($C$17:$C203))</f>
        <v/>
      </c>
      <c r="B203" s="29"/>
      <c r="C203" s="30"/>
      <c r="D203" s="29"/>
      <c r="E203" s="31" t="str">
        <f aca="false">IF($C203="","",IF(NOT(OR(M203="Completed",M203="NA",M203="Cancelled")),"S1 Schematic",IF(NOT(OR(R203="Completed",R203="NA",R203="Cancelled")),"S2 PCB Layout",IF(NOT(OR(W203="Completed",W203="NA",W203="Cancelled")),"S3 SI &amp; PI",IF(NOT(OR(AB203="Completed",AB203="NA",AB203="Cancelled")),"S4 Bare-PCB Fab",IF(NOT(OR(AG203="Completed",AG203="NA",AG203="Cancelled")),"S5 Assembly",IF(NOT(OR(AL203="Completed",AL203="NA",AL203="Cancelled")),"S6 Bring-up",IF(NOT(OR(AQ203="Completed",AQ203="NA",AQ203="Cancelled")),"S7 BOM Procurement","All Stages Closed"))))))))</f>
        <v/>
      </c>
      <c r="F203" s="32" t="str">
        <f aca="false">IF($C203="","",IF(COUNTIF(M203,"Cancelled")+COUNTIF(R203,"Cancelled")+COUNTIF(W203,"Cancelled")+COUNTIF(AB203,"Cancelled")+COUNTIF(AG203,"Cancelled")+COUNTIF(AL203,"Cancelled")+COUNTIF(AQ203,"Cancelled")&gt;0,"Cancelled",IF(E203="All Stages Closed","Completed",IF(E203="S1 Schematic",M203,IF(E203="S2 PCB Layout",R203,IF(E203="S3 SI &amp; PI",W203,IF(E203="S4 Bare-PCB Fab",AB203,IF(E203="S5 Assembly",AG203,IF(E203="S6 Bring-up",AL203,AQ203)))))))))</f>
        <v/>
      </c>
      <c r="G203" s="33" t="str">
        <f aca="false">IF($C203="","",IF(E203="All Stages Closed","",IF(E203="S1 Schematic",IF(N203="","Not added",N203),IF(E203="S2 PCB Layout",IF(S203="","Not added",S203),IF(E203="S3 SI &amp; PI",IF(X203="","Not added",X203),IF(E203="S4 Bare-PCB Fab",IF(AC203="","Not added",AC203),IF(E203="S5 Assembly",IF(AH203="","Not added",AH203),IF(E203="S6 Bring-up",IF(AM203="","Not added",AM203),IF(AR203="","Not added",AR203)))))))))</f>
        <v/>
      </c>
      <c r="H203" s="32" t="str">
        <f aca="true">IF($C203="","",IF(OR(F203="Completed",F203="Cancelled"),"",IF(NOT(ISNUMBER(G203)),"No date set",IF(TODAY()&gt;G203,TODAY()-G203&amp;" days late",G203-TODAY()&amp;" days left"))))</f>
        <v/>
      </c>
      <c r="I203" s="31" t="str">
        <f aca="false">IF($C203="","",COUNTIF(M203,"Completed")+COUNTIF(R203,"Completed")+COUNTIF(W203,"Completed")+COUNTIF(AB203,"Completed")+COUNTIF(AG203,"Completed")+COUNTIF(AL203,"Completed")+COUNTIF(AQ203,"Completed"))</f>
        <v/>
      </c>
      <c r="J203" s="31" t="str">
        <f aca="false">IF($C203="","",7-(COUNTIF(M203,"NA")+COUNTIF(R203,"NA")+COUNTIF(W203,"NA")+COUNTIF(AB203,"NA")+COUNTIF(AG203,"NA")+COUNTIF(AL203,"NA")+COUNTIF(AQ203,"NA")))</f>
        <v/>
      </c>
      <c r="K203" s="34" t="str">
        <f aca="false">IFERROR(I203/J203,"")</f>
        <v/>
      </c>
      <c r="L203" s="29"/>
      <c r="M203" s="35"/>
      <c r="N203" s="36"/>
      <c r="O203" s="36"/>
      <c r="P203" s="30"/>
      <c r="Q203" s="29"/>
      <c r="R203" s="35"/>
      <c r="S203" s="36"/>
      <c r="T203" s="36"/>
      <c r="U203" s="30"/>
      <c r="V203" s="29"/>
      <c r="W203" s="35"/>
      <c r="X203" s="36"/>
      <c r="Y203" s="36"/>
      <c r="Z203" s="30"/>
      <c r="AA203" s="29"/>
      <c r="AB203" s="35"/>
      <c r="AC203" s="36"/>
      <c r="AD203" s="36"/>
      <c r="AE203" s="30"/>
      <c r="AF203" s="29"/>
      <c r="AG203" s="35"/>
      <c r="AH203" s="36"/>
      <c r="AI203" s="36"/>
      <c r="AJ203" s="30"/>
      <c r="AK203" s="29"/>
      <c r="AL203" s="35"/>
      <c r="AM203" s="36"/>
      <c r="AN203" s="36"/>
      <c r="AO203" s="30"/>
      <c r="AP203" s="29"/>
      <c r="AQ203" s="35"/>
      <c r="AR203" s="36"/>
      <c r="AS203" s="36"/>
      <c r="AT203" s="30"/>
      <c r="AU203" s="29"/>
      <c r="AV203" s="29"/>
      <c r="AW203" s="29"/>
      <c r="AX203" s="37"/>
      <c r="AY203" s="29"/>
      <c r="AZ203" s="38" t="str">
        <f aca="false">IF($C203="","",IF(OR(F203="Completed",F203="Cancelled"),"",IF(AND(OR(F203="On Hold",ISNUMBER(VALUE(LEFT(H203,2)))),AY203=""),"Reason not given","")))</f>
        <v/>
      </c>
      <c r="BA203" s="30"/>
    </row>
    <row r="204" customFormat="false" ht="19.5" hidden="false" customHeight="true" outlineLevel="0" collapsed="false">
      <c r="A204" s="28" t="str">
        <f aca="false">IF($C204="","",COUNTA($C$17:$C204))</f>
        <v/>
      </c>
      <c r="B204" s="29"/>
      <c r="C204" s="30"/>
      <c r="D204" s="29"/>
      <c r="E204" s="31" t="str">
        <f aca="false">IF($C204="","",IF(NOT(OR(M204="Completed",M204="NA",M204="Cancelled")),"S1 Schematic",IF(NOT(OR(R204="Completed",R204="NA",R204="Cancelled")),"S2 PCB Layout",IF(NOT(OR(W204="Completed",W204="NA",W204="Cancelled")),"S3 SI &amp; PI",IF(NOT(OR(AB204="Completed",AB204="NA",AB204="Cancelled")),"S4 Bare-PCB Fab",IF(NOT(OR(AG204="Completed",AG204="NA",AG204="Cancelled")),"S5 Assembly",IF(NOT(OR(AL204="Completed",AL204="NA",AL204="Cancelled")),"S6 Bring-up",IF(NOT(OR(AQ204="Completed",AQ204="NA",AQ204="Cancelled")),"S7 BOM Procurement","All Stages Closed"))))))))</f>
        <v/>
      </c>
      <c r="F204" s="32" t="str">
        <f aca="false">IF($C204="","",IF(COUNTIF(M204,"Cancelled")+COUNTIF(R204,"Cancelled")+COUNTIF(W204,"Cancelled")+COUNTIF(AB204,"Cancelled")+COUNTIF(AG204,"Cancelled")+COUNTIF(AL204,"Cancelled")+COUNTIF(AQ204,"Cancelled")&gt;0,"Cancelled",IF(E204="All Stages Closed","Completed",IF(E204="S1 Schematic",M204,IF(E204="S2 PCB Layout",R204,IF(E204="S3 SI &amp; PI",W204,IF(E204="S4 Bare-PCB Fab",AB204,IF(E204="S5 Assembly",AG204,IF(E204="S6 Bring-up",AL204,AQ204)))))))))</f>
        <v/>
      </c>
      <c r="G204" s="33" t="str">
        <f aca="false">IF($C204="","",IF(E204="All Stages Closed","",IF(E204="S1 Schematic",IF(N204="","Not added",N204),IF(E204="S2 PCB Layout",IF(S204="","Not added",S204),IF(E204="S3 SI &amp; PI",IF(X204="","Not added",X204),IF(E204="S4 Bare-PCB Fab",IF(AC204="","Not added",AC204),IF(E204="S5 Assembly",IF(AH204="","Not added",AH204),IF(E204="S6 Bring-up",IF(AM204="","Not added",AM204),IF(AR204="","Not added",AR204)))))))))</f>
        <v/>
      </c>
      <c r="H204" s="32" t="str">
        <f aca="true">IF($C204="","",IF(OR(F204="Completed",F204="Cancelled"),"",IF(NOT(ISNUMBER(G204)),"No date set",IF(TODAY()&gt;G204,TODAY()-G204&amp;" days late",G204-TODAY()&amp;" days left"))))</f>
        <v/>
      </c>
      <c r="I204" s="31" t="str">
        <f aca="false">IF($C204="","",COUNTIF(M204,"Completed")+COUNTIF(R204,"Completed")+COUNTIF(W204,"Completed")+COUNTIF(AB204,"Completed")+COUNTIF(AG204,"Completed")+COUNTIF(AL204,"Completed")+COUNTIF(AQ204,"Completed"))</f>
        <v/>
      </c>
      <c r="J204" s="31" t="str">
        <f aca="false">IF($C204="","",7-(COUNTIF(M204,"NA")+COUNTIF(R204,"NA")+COUNTIF(W204,"NA")+COUNTIF(AB204,"NA")+COUNTIF(AG204,"NA")+COUNTIF(AL204,"NA")+COUNTIF(AQ204,"NA")))</f>
        <v/>
      </c>
      <c r="K204" s="34" t="str">
        <f aca="false">IFERROR(I204/J204,"")</f>
        <v/>
      </c>
      <c r="L204" s="29"/>
      <c r="M204" s="35"/>
      <c r="N204" s="36"/>
      <c r="O204" s="36"/>
      <c r="P204" s="30"/>
      <c r="Q204" s="29"/>
      <c r="R204" s="35"/>
      <c r="S204" s="36"/>
      <c r="T204" s="36"/>
      <c r="U204" s="30"/>
      <c r="V204" s="29"/>
      <c r="W204" s="35"/>
      <c r="X204" s="36"/>
      <c r="Y204" s="36"/>
      <c r="Z204" s="30"/>
      <c r="AA204" s="29"/>
      <c r="AB204" s="35"/>
      <c r="AC204" s="36"/>
      <c r="AD204" s="36"/>
      <c r="AE204" s="30"/>
      <c r="AF204" s="29"/>
      <c r="AG204" s="35"/>
      <c r="AH204" s="36"/>
      <c r="AI204" s="36"/>
      <c r="AJ204" s="30"/>
      <c r="AK204" s="29"/>
      <c r="AL204" s="35"/>
      <c r="AM204" s="36"/>
      <c r="AN204" s="36"/>
      <c r="AO204" s="30"/>
      <c r="AP204" s="29"/>
      <c r="AQ204" s="35"/>
      <c r="AR204" s="36"/>
      <c r="AS204" s="36"/>
      <c r="AT204" s="30"/>
      <c r="AU204" s="29"/>
      <c r="AV204" s="29"/>
      <c r="AW204" s="29"/>
      <c r="AX204" s="37"/>
      <c r="AY204" s="29"/>
      <c r="AZ204" s="38" t="str">
        <f aca="false">IF($C204="","",IF(OR(F204="Completed",F204="Cancelled"),"",IF(AND(OR(F204="On Hold",ISNUMBER(VALUE(LEFT(H204,2)))),AY204=""),"Reason not given","")))</f>
        <v/>
      </c>
      <c r="BA204" s="30"/>
    </row>
    <row r="205" customFormat="false" ht="19.5" hidden="false" customHeight="true" outlineLevel="0" collapsed="false">
      <c r="A205" s="28" t="str">
        <f aca="false">IF($C205="","",COUNTA($C$17:$C205))</f>
        <v/>
      </c>
      <c r="B205" s="29"/>
      <c r="C205" s="30"/>
      <c r="D205" s="29"/>
      <c r="E205" s="31" t="str">
        <f aca="false">IF($C205="","",IF(NOT(OR(M205="Completed",M205="NA",M205="Cancelled")),"S1 Schematic",IF(NOT(OR(R205="Completed",R205="NA",R205="Cancelled")),"S2 PCB Layout",IF(NOT(OR(W205="Completed",W205="NA",W205="Cancelled")),"S3 SI &amp; PI",IF(NOT(OR(AB205="Completed",AB205="NA",AB205="Cancelled")),"S4 Bare-PCB Fab",IF(NOT(OR(AG205="Completed",AG205="NA",AG205="Cancelled")),"S5 Assembly",IF(NOT(OR(AL205="Completed",AL205="NA",AL205="Cancelled")),"S6 Bring-up",IF(NOT(OR(AQ205="Completed",AQ205="NA",AQ205="Cancelled")),"S7 BOM Procurement","All Stages Closed"))))))))</f>
        <v/>
      </c>
      <c r="F205" s="32" t="str">
        <f aca="false">IF($C205="","",IF(COUNTIF(M205,"Cancelled")+COUNTIF(R205,"Cancelled")+COUNTIF(W205,"Cancelled")+COUNTIF(AB205,"Cancelled")+COUNTIF(AG205,"Cancelled")+COUNTIF(AL205,"Cancelled")+COUNTIF(AQ205,"Cancelled")&gt;0,"Cancelled",IF(E205="All Stages Closed","Completed",IF(E205="S1 Schematic",M205,IF(E205="S2 PCB Layout",R205,IF(E205="S3 SI &amp; PI",W205,IF(E205="S4 Bare-PCB Fab",AB205,IF(E205="S5 Assembly",AG205,IF(E205="S6 Bring-up",AL205,AQ205)))))))))</f>
        <v/>
      </c>
      <c r="G205" s="33" t="str">
        <f aca="false">IF($C205="","",IF(E205="All Stages Closed","",IF(E205="S1 Schematic",IF(N205="","Not added",N205),IF(E205="S2 PCB Layout",IF(S205="","Not added",S205),IF(E205="S3 SI &amp; PI",IF(X205="","Not added",X205),IF(E205="S4 Bare-PCB Fab",IF(AC205="","Not added",AC205),IF(E205="S5 Assembly",IF(AH205="","Not added",AH205),IF(E205="S6 Bring-up",IF(AM205="","Not added",AM205),IF(AR205="","Not added",AR205)))))))))</f>
        <v/>
      </c>
      <c r="H205" s="32" t="str">
        <f aca="true">IF($C205="","",IF(OR(F205="Completed",F205="Cancelled"),"",IF(NOT(ISNUMBER(G205)),"No date set",IF(TODAY()&gt;G205,TODAY()-G205&amp;" days late",G205-TODAY()&amp;" days left"))))</f>
        <v/>
      </c>
      <c r="I205" s="31" t="str">
        <f aca="false">IF($C205="","",COUNTIF(M205,"Completed")+COUNTIF(R205,"Completed")+COUNTIF(W205,"Completed")+COUNTIF(AB205,"Completed")+COUNTIF(AG205,"Completed")+COUNTIF(AL205,"Completed")+COUNTIF(AQ205,"Completed"))</f>
        <v/>
      </c>
      <c r="J205" s="31" t="str">
        <f aca="false">IF($C205="","",7-(COUNTIF(M205,"NA")+COUNTIF(R205,"NA")+COUNTIF(W205,"NA")+COUNTIF(AB205,"NA")+COUNTIF(AG205,"NA")+COUNTIF(AL205,"NA")+COUNTIF(AQ205,"NA")))</f>
        <v/>
      </c>
      <c r="K205" s="34" t="str">
        <f aca="false">IFERROR(I205/J205,"")</f>
        <v/>
      </c>
      <c r="L205" s="29"/>
      <c r="M205" s="35"/>
      <c r="N205" s="36"/>
      <c r="O205" s="36"/>
      <c r="P205" s="30"/>
      <c r="Q205" s="29"/>
      <c r="R205" s="35"/>
      <c r="S205" s="36"/>
      <c r="T205" s="36"/>
      <c r="U205" s="30"/>
      <c r="V205" s="29"/>
      <c r="W205" s="35"/>
      <c r="X205" s="36"/>
      <c r="Y205" s="36"/>
      <c r="Z205" s="30"/>
      <c r="AA205" s="29"/>
      <c r="AB205" s="35"/>
      <c r="AC205" s="36"/>
      <c r="AD205" s="36"/>
      <c r="AE205" s="30"/>
      <c r="AF205" s="29"/>
      <c r="AG205" s="35"/>
      <c r="AH205" s="36"/>
      <c r="AI205" s="36"/>
      <c r="AJ205" s="30"/>
      <c r="AK205" s="29"/>
      <c r="AL205" s="35"/>
      <c r="AM205" s="36"/>
      <c r="AN205" s="36"/>
      <c r="AO205" s="30"/>
      <c r="AP205" s="29"/>
      <c r="AQ205" s="35"/>
      <c r="AR205" s="36"/>
      <c r="AS205" s="36"/>
      <c r="AT205" s="30"/>
      <c r="AU205" s="29"/>
      <c r="AV205" s="29"/>
      <c r="AW205" s="29"/>
      <c r="AX205" s="37"/>
      <c r="AY205" s="29"/>
      <c r="AZ205" s="38" t="str">
        <f aca="false">IF($C205="","",IF(OR(F205="Completed",F205="Cancelled"),"",IF(AND(OR(F205="On Hold",ISNUMBER(VALUE(LEFT(H205,2)))),AY205=""),"Reason not given","")))</f>
        <v/>
      </c>
      <c r="BA205" s="30"/>
    </row>
    <row r="206" customFormat="false" ht="19.5" hidden="false" customHeight="true" outlineLevel="0" collapsed="false">
      <c r="A206" s="28" t="str">
        <f aca="false">IF($C206="","",COUNTA($C$17:$C206))</f>
        <v/>
      </c>
      <c r="B206" s="29"/>
      <c r="C206" s="30"/>
      <c r="D206" s="29"/>
      <c r="E206" s="31" t="str">
        <f aca="false">IF($C206="","",IF(NOT(OR(M206="Completed",M206="NA",M206="Cancelled")),"S1 Schematic",IF(NOT(OR(R206="Completed",R206="NA",R206="Cancelled")),"S2 PCB Layout",IF(NOT(OR(W206="Completed",W206="NA",W206="Cancelled")),"S3 SI &amp; PI",IF(NOT(OR(AB206="Completed",AB206="NA",AB206="Cancelled")),"S4 Bare-PCB Fab",IF(NOT(OR(AG206="Completed",AG206="NA",AG206="Cancelled")),"S5 Assembly",IF(NOT(OR(AL206="Completed",AL206="NA",AL206="Cancelled")),"S6 Bring-up",IF(NOT(OR(AQ206="Completed",AQ206="NA",AQ206="Cancelled")),"S7 BOM Procurement","All Stages Closed"))))))))</f>
        <v/>
      </c>
      <c r="F206" s="32" t="str">
        <f aca="false">IF($C206="","",IF(COUNTIF(M206,"Cancelled")+COUNTIF(R206,"Cancelled")+COUNTIF(W206,"Cancelled")+COUNTIF(AB206,"Cancelled")+COUNTIF(AG206,"Cancelled")+COUNTIF(AL206,"Cancelled")+COUNTIF(AQ206,"Cancelled")&gt;0,"Cancelled",IF(E206="All Stages Closed","Completed",IF(E206="S1 Schematic",M206,IF(E206="S2 PCB Layout",R206,IF(E206="S3 SI &amp; PI",W206,IF(E206="S4 Bare-PCB Fab",AB206,IF(E206="S5 Assembly",AG206,IF(E206="S6 Bring-up",AL206,AQ206)))))))))</f>
        <v/>
      </c>
      <c r="G206" s="33" t="str">
        <f aca="false">IF($C206="","",IF(E206="All Stages Closed","",IF(E206="S1 Schematic",IF(N206="","Not added",N206),IF(E206="S2 PCB Layout",IF(S206="","Not added",S206),IF(E206="S3 SI &amp; PI",IF(X206="","Not added",X206),IF(E206="S4 Bare-PCB Fab",IF(AC206="","Not added",AC206),IF(E206="S5 Assembly",IF(AH206="","Not added",AH206),IF(E206="S6 Bring-up",IF(AM206="","Not added",AM206),IF(AR206="","Not added",AR206)))))))))</f>
        <v/>
      </c>
      <c r="H206" s="32" t="str">
        <f aca="true">IF($C206="","",IF(OR(F206="Completed",F206="Cancelled"),"",IF(NOT(ISNUMBER(G206)),"No date set",IF(TODAY()&gt;G206,TODAY()-G206&amp;" days late",G206-TODAY()&amp;" days left"))))</f>
        <v/>
      </c>
      <c r="I206" s="31" t="str">
        <f aca="false">IF($C206="","",COUNTIF(M206,"Completed")+COUNTIF(R206,"Completed")+COUNTIF(W206,"Completed")+COUNTIF(AB206,"Completed")+COUNTIF(AG206,"Completed")+COUNTIF(AL206,"Completed")+COUNTIF(AQ206,"Completed"))</f>
        <v/>
      </c>
      <c r="J206" s="31" t="str">
        <f aca="false">IF($C206="","",7-(COUNTIF(M206,"NA")+COUNTIF(R206,"NA")+COUNTIF(W206,"NA")+COUNTIF(AB206,"NA")+COUNTIF(AG206,"NA")+COUNTIF(AL206,"NA")+COUNTIF(AQ206,"NA")))</f>
        <v/>
      </c>
      <c r="K206" s="34" t="str">
        <f aca="false">IFERROR(I206/J206,"")</f>
        <v/>
      </c>
      <c r="L206" s="29"/>
      <c r="M206" s="35"/>
      <c r="N206" s="36"/>
      <c r="O206" s="36"/>
      <c r="P206" s="30"/>
      <c r="Q206" s="29"/>
      <c r="R206" s="35"/>
      <c r="S206" s="36"/>
      <c r="T206" s="36"/>
      <c r="U206" s="30"/>
      <c r="V206" s="29"/>
      <c r="W206" s="35"/>
      <c r="X206" s="36"/>
      <c r="Y206" s="36"/>
      <c r="Z206" s="30"/>
      <c r="AA206" s="29"/>
      <c r="AB206" s="35"/>
      <c r="AC206" s="36"/>
      <c r="AD206" s="36"/>
      <c r="AE206" s="30"/>
      <c r="AF206" s="29"/>
      <c r="AG206" s="35"/>
      <c r="AH206" s="36"/>
      <c r="AI206" s="36"/>
      <c r="AJ206" s="30"/>
      <c r="AK206" s="29"/>
      <c r="AL206" s="35"/>
      <c r="AM206" s="36"/>
      <c r="AN206" s="36"/>
      <c r="AO206" s="30"/>
      <c r="AP206" s="29"/>
      <c r="AQ206" s="35"/>
      <c r="AR206" s="36"/>
      <c r="AS206" s="36"/>
      <c r="AT206" s="30"/>
      <c r="AU206" s="29"/>
      <c r="AV206" s="29"/>
      <c r="AW206" s="29"/>
      <c r="AX206" s="37"/>
      <c r="AY206" s="29"/>
      <c r="AZ206" s="38" t="str">
        <f aca="false">IF($C206="","",IF(OR(F206="Completed",F206="Cancelled"),"",IF(AND(OR(F206="On Hold",ISNUMBER(VALUE(LEFT(H206,2)))),AY206=""),"Reason not given","")))</f>
        <v/>
      </c>
      <c r="BA206" s="30"/>
    </row>
    <row r="207" customFormat="false" ht="19.5" hidden="false" customHeight="true" outlineLevel="0" collapsed="false">
      <c r="A207" s="28" t="str">
        <f aca="false">IF($C207="","",COUNTA($C$17:$C207))</f>
        <v/>
      </c>
      <c r="B207" s="29"/>
      <c r="C207" s="30"/>
      <c r="D207" s="29"/>
      <c r="E207" s="31" t="str">
        <f aca="false">IF($C207="","",IF(NOT(OR(M207="Completed",M207="NA",M207="Cancelled")),"S1 Schematic",IF(NOT(OR(R207="Completed",R207="NA",R207="Cancelled")),"S2 PCB Layout",IF(NOT(OR(W207="Completed",W207="NA",W207="Cancelled")),"S3 SI &amp; PI",IF(NOT(OR(AB207="Completed",AB207="NA",AB207="Cancelled")),"S4 Bare-PCB Fab",IF(NOT(OR(AG207="Completed",AG207="NA",AG207="Cancelled")),"S5 Assembly",IF(NOT(OR(AL207="Completed",AL207="NA",AL207="Cancelled")),"S6 Bring-up",IF(NOT(OR(AQ207="Completed",AQ207="NA",AQ207="Cancelled")),"S7 BOM Procurement","All Stages Closed"))))))))</f>
        <v/>
      </c>
      <c r="F207" s="32" t="str">
        <f aca="false">IF($C207="","",IF(COUNTIF(M207,"Cancelled")+COUNTIF(R207,"Cancelled")+COUNTIF(W207,"Cancelled")+COUNTIF(AB207,"Cancelled")+COUNTIF(AG207,"Cancelled")+COUNTIF(AL207,"Cancelled")+COUNTIF(AQ207,"Cancelled")&gt;0,"Cancelled",IF(E207="All Stages Closed","Completed",IF(E207="S1 Schematic",M207,IF(E207="S2 PCB Layout",R207,IF(E207="S3 SI &amp; PI",W207,IF(E207="S4 Bare-PCB Fab",AB207,IF(E207="S5 Assembly",AG207,IF(E207="S6 Bring-up",AL207,AQ207)))))))))</f>
        <v/>
      </c>
      <c r="G207" s="33" t="str">
        <f aca="false">IF($C207="","",IF(E207="All Stages Closed","",IF(E207="S1 Schematic",IF(N207="","Not added",N207),IF(E207="S2 PCB Layout",IF(S207="","Not added",S207),IF(E207="S3 SI &amp; PI",IF(X207="","Not added",X207),IF(E207="S4 Bare-PCB Fab",IF(AC207="","Not added",AC207),IF(E207="S5 Assembly",IF(AH207="","Not added",AH207),IF(E207="S6 Bring-up",IF(AM207="","Not added",AM207),IF(AR207="","Not added",AR207)))))))))</f>
        <v/>
      </c>
      <c r="H207" s="32" t="str">
        <f aca="true">IF($C207="","",IF(OR(F207="Completed",F207="Cancelled"),"",IF(NOT(ISNUMBER(G207)),"No date set",IF(TODAY()&gt;G207,TODAY()-G207&amp;" days late",G207-TODAY()&amp;" days left"))))</f>
        <v/>
      </c>
      <c r="I207" s="31" t="str">
        <f aca="false">IF($C207="","",COUNTIF(M207,"Completed")+COUNTIF(R207,"Completed")+COUNTIF(W207,"Completed")+COUNTIF(AB207,"Completed")+COUNTIF(AG207,"Completed")+COUNTIF(AL207,"Completed")+COUNTIF(AQ207,"Completed"))</f>
        <v/>
      </c>
      <c r="J207" s="31" t="str">
        <f aca="false">IF($C207="","",7-(COUNTIF(M207,"NA")+COUNTIF(R207,"NA")+COUNTIF(W207,"NA")+COUNTIF(AB207,"NA")+COUNTIF(AG207,"NA")+COUNTIF(AL207,"NA")+COUNTIF(AQ207,"NA")))</f>
        <v/>
      </c>
      <c r="K207" s="34" t="str">
        <f aca="false">IFERROR(I207/J207,"")</f>
        <v/>
      </c>
      <c r="L207" s="29"/>
      <c r="M207" s="35"/>
      <c r="N207" s="36"/>
      <c r="O207" s="36"/>
      <c r="P207" s="30"/>
      <c r="Q207" s="29"/>
      <c r="R207" s="35"/>
      <c r="S207" s="36"/>
      <c r="T207" s="36"/>
      <c r="U207" s="30"/>
      <c r="V207" s="29"/>
      <c r="W207" s="35"/>
      <c r="X207" s="36"/>
      <c r="Y207" s="36"/>
      <c r="Z207" s="30"/>
      <c r="AA207" s="29"/>
      <c r="AB207" s="35"/>
      <c r="AC207" s="36"/>
      <c r="AD207" s="36"/>
      <c r="AE207" s="30"/>
      <c r="AF207" s="29"/>
      <c r="AG207" s="35"/>
      <c r="AH207" s="36"/>
      <c r="AI207" s="36"/>
      <c r="AJ207" s="30"/>
      <c r="AK207" s="29"/>
      <c r="AL207" s="35"/>
      <c r="AM207" s="36"/>
      <c r="AN207" s="36"/>
      <c r="AO207" s="30"/>
      <c r="AP207" s="29"/>
      <c r="AQ207" s="35"/>
      <c r="AR207" s="36"/>
      <c r="AS207" s="36"/>
      <c r="AT207" s="30"/>
      <c r="AU207" s="29"/>
      <c r="AV207" s="29"/>
      <c r="AW207" s="29"/>
      <c r="AX207" s="37"/>
      <c r="AY207" s="29"/>
      <c r="AZ207" s="38" t="str">
        <f aca="false">IF($C207="","",IF(OR(F207="Completed",F207="Cancelled"),"",IF(AND(OR(F207="On Hold",ISNUMBER(VALUE(LEFT(H207,2)))),AY207=""),"Reason not given","")))</f>
        <v/>
      </c>
      <c r="BA207" s="30"/>
    </row>
    <row r="208" customFormat="false" ht="19.5" hidden="false" customHeight="true" outlineLevel="0" collapsed="false">
      <c r="A208" s="28" t="str">
        <f aca="false">IF($C208="","",COUNTA($C$17:$C208))</f>
        <v/>
      </c>
      <c r="B208" s="29"/>
      <c r="C208" s="30"/>
      <c r="D208" s="29"/>
      <c r="E208" s="31" t="str">
        <f aca="false">IF($C208="","",IF(NOT(OR(M208="Completed",M208="NA",M208="Cancelled")),"S1 Schematic",IF(NOT(OR(R208="Completed",R208="NA",R208="Cancelled")),"S2 PCB Layout",IF(NOT(OR(W208="Completed",W208="NA",W208="Cancelled")),"S3 SI &amp; PI",IF(NOT(OR(AB208="Completed",AB208="NA",AB208="Cancelled")),"S4 Bare-PCB Fab",IF(NOT(OR(AG208="Completed",AG208="NA",AG208="Cancelled")),"S5 Assembly",IF(NOT(OR(AL208="Completed",AL208="NA",AL208="Cancelled")),"S6 Bring-up",IF(NOT(OR(AQ208="Completed",AQ208="NA",AQ208="Cancelled")),"S7 BOM Procurement","All Stages Closed"))))))))</f>
        <v/>
      </c>
      <c r="F208" s="32" t="str">
        <f aca="false">IF($C208="","",IF(COUNTIF(M208,"Cancelled")+COUNTIF(R208,"Cancelled")+COUNTIF(W208,"Cancelled")+COUNTIF(AB208,"Cancelled")+COUNTIF(AG208,"Cancelled")+COUNTIF(AL208,"Cancelled")+COUNTIF(AQ208,"Cancelled")&gt;0,"Cancelled",IF(E208="All Stages Closed","Completed",IF(E208="S1 Schematic",M208,IF(E208="S2 PCB Layout",R208,IF(E208="S3 SI &amp; PI",W208,IF(E208="S4 Bare-PCB Fab",AB208,IF(E208="S5 Assembly",AG208,IF(E208="S6 Bring-up",AL208,AQ208)))))))))</f>
        <v/>
      </c>
      <c r="G208" s="33" t="str">
        <f aca="false">IF($C208="","",IF(E208="All Stages Closed","",IF(E208="S1 Schematic",IF(N208="","Not added",N208),IF(E208="S2 PCB Layout",IF(S208="","Not added",S208),IF(E208="S3 SI &amp; PI",IF(X208="","Not added",X208),IF(E208="S4 Bare-PCB Fab",IF(AC208="","Not added",AC208),IF(E208="S5 Assembly",IF(AH208="","Not added",AH208),IF(E208="S6 Bring-up",IF(AM208="","Not added",AM208),IF(AR208="","Not added",AR208)))))))))</f>
        <v/>
      </c>
      <c r="H208" s="32" t="str">
        <f aca="true">IF($C208="","",IF(OR(F208="Completed",F208="Cancelled"),"",IF(NOT(ISNUMBER(G208)),"No date set",IF(TODAY()&gt;G208,TODAY()-G208&amp;" days late",G208-TODAY()&amp;" days left"))))</f>
        <v/>
      </c>
      <c r="I208" s="31" t="str">
        <f aca="false">IF($C208="","",COUNTIF(M208,"Completed")+COUNTIF(R208,"Completed")+COUNTIF(W208,"Completed")+COUNTIF(AB208,"Completed")+COUNTIF(AG208,"Completed")+COUNTIF(AL208,"Completed")+COUNTIF(AQ208,"Completed"))</f>
        <v/>
      </c>
      <c r="J208" s="31" t="str">
        <f aca="false">IF($C208="","",7-(COUNTIF(M208,"NA")+COUNTIF(R208,"NA")+COUNTIF(W208,"NA")+COUNTIF(AB208,"NA")+COUNTIF(AG208,"NA")+COUNTIF(AL208,"NA")+COUNTIF(AQ208,"NA")))</f>
        <v/>
      </c>
      <c r="K208" s="34" t="str">
        <f aca="false">IFERROR(I208/J208,"")</f>
        <v/>
      </c>
      <c r="L208" s="29"/>
      <c r="M208" s="35"/>
      <c r="N208" s="36"/>
      <c r="O208" s="36"/>
      <c r="P208" s="30"/>
      <c r="Q208" s="29"/>
      <c r="R208" s="35"/>
      <c r="S208" s="36"/>
      <c r="T208" s="36"/>
      <c r="U208" s="30"/>
      <c r="V208" s="29"/>
      <c r="W208" s="35"/>
      <c r="X208" s="36"/>
      <c r="Y208" s="36"/>
      <c r="Z208" s="30"/>
      <c r="AA208" s="29"/>
      <c r="AB208" s="35"/>
      <c r="AC208" s="36"/>
      <c r="AD208" s="36"/>
      <c r="AE208" s="30"/>
      <c r="AF208" s="29"/>
      <c r="AG208" s="35"/>
      <c r="AH208" s="36"/>
      <c r="AI208" s="36"/>
      <c r="AJ208" s="30"/>
      <c r="AK208" s="29"/>
      <c r="AL208" s="35"/>
      <c r="AM208" s="36"/>
      <c r="AN208" s="36"/>
      <c r="AO208" s="30"/>
      <c r="AP208" s="29"/>
      <c r="AQ208" s="35"/>
      <c r="AR208" s="36"/>
      <c r="AS208" s="36"/>
      <c r="AT208" s="30"/>
      <c r="AU208" s="29"/>
      <c r="AV208" s="29"/>
      <c r="AW208" s="29"/>
      <c r="AX208" s="37"/>
      <c r="AY208" s="29"/>
      <c r="AZ208" s="38" t="str">
        <f aca="false">IF($C208="","",IF(OR(F208="Completed",F208="Cancelled"),"",IF(AND(OR(F208="On Hold",ISNUMBER(VALUE(LEFT(H208,2)))),AY208=""),"Reason not given","")))</f>
        <v/>
      </c>
      <c r="BA208" s="30"/>
    </row>
    <row r="209" customFormat="false" ht="19.5" hidden="false" customHeight="true" outlineLevel="0" collapsed="false">
      <c r="A209" s="28" t="str">
        <f aca="false">IF($C209="","",COUNTA($C$17:$C209))</f>
        <v/>
      </c>
      <c r="B209" s="29"/>
      <c r="C209" s="30"/>
      <c r="D209" s="29"/>
      <c r="E209" s="31" t="str">
        <f aca="false">IF($C209="","",IF(NOT(OR(M209="Completed",M209="NA",M209="Cancelled")),"S1 Schematic",IF(NOT(OR(R209="Completed",R209="NA",R209="Cancelled")),"S2 PCB Layout",IF(NOT(OR(W209="Completed",W209="NA",W209="Cancelled")),"S3 SI &amp; PI",IF(NOT(OR(AB209="Completed",AB209="NA",AB209="Cancelled")),"S4 Bare-PCB Fab",IF(NOT(OR(AG209="Completed",AG209="NA",AG209="Cancelled")),"S5 Assembly",IF(NOT(OR(AL209="Completed",AL209="NA",AL209="Cancelled")),"S6 Bring-up",IF(NOT(OR(AQ209="Completed",AQ209="NA",AQ209="Cancelled")),"S7 BOM Procurement","All Stages Closed"))))))))</f>
        <v/>
      </c>
      <c r="F209" s="32" t="str">
        <f aca="false">IF($C209="","",IF(COUNTIF(M209,"Cancelled")+COUNTIF(R209,"Cancelled")+COUNTIF(W209,"Cancelled")+COUNTIF(AB209,"Cancelled")+COUNTIF(AG209,"Cancelled")+COUNTIF(AL209,"Cancelled")+COUNTIF(AQ209,"Cancelled")&gt;0,"Cancelled",IF(E209="All Stages Closed","Completed",IF(E209="S1 Schematic",M209,IF(E209="S2 PCB Layout",R209,IF(E209="S3 SI &amp; PI",W209,IF(E209="S4 Bare-PCB Fab",AB209,IF(E209="S5 Assembly",AG209,IF(E209="S6 Bring-up",AL209,AQ209)))))))))</f>
        <v/>
      </c>
      <c r="G209" s="33" t="str">
        <f aca="false">IF($C209="","",IF(E209="All Stages Closed","",IF(E209="S1 Schematic",IF(N209="","Not added",N209),IF(E209="S2 PCB Layout",IF(S209="","Not added",S209),IF(E209="S3 SI &amp; PI",IF(X209="","Not added",X209),IF(E209="S4 Bare-PCB Fab",IF(AC209="","Not added",AC209),IF(E209="S5 Assembly",IF(AH209="","Not added",AH209),IF(E209="S6 Bring-up",IF(AM209="","Not added",AM209),IF(AR209="","Not added",AR209)))))))))</f>
        <v/>
      </c>
      <c r="H209" s="32" t="str">
        <f aca="true">IF($C209="","",IF(OR(F209="Completed",F209="Cancelled"),"",IF(NOT(ISNUMBER(G209)),"No date set",IF(TODAY()&gt;G209,TODAY()-G209&amp;" days late",G209-TODAY()&amp;" days left"))))</f>
        <v/>
      </c>
      <c r="I209" s="31" t="str">
        <f aca="false">IF($C209="","",COUNTIF(M209,"Completed")+COUNTIF(R209,"Completed")+COUNTIF(W209,"Completed")+COUNTIF(AB209,"Completed")+COUNTIF(AG209,"Completed")+COUNTIF(AL209,"Completed")+COUNTIF(AQ209,"Completed"))</f>
        <v/>
      </c>
      <c r="J209" s="31" t="str">
        <f aca="false">IF($C209="","",7-(COUNTIF(M209,"NA")+COUNTIF(R209,"NA")+COUNTIF(W209,"NA")+COUNTIF(AB209,"NA")+COUNTIF(AG209,"NA")+COUNTIF(AL209,"NA")+COUNTIF(AQ209,"NA")))</f>
        <v/>
      </c>
      <c r="K209" s="34" t="str">
        <f aca="false">IFERROR(I209/J209,"")</f>
        <v/>
      </c>
      <c r="L209" s="29"/>
      <c r="M209" s="35"/>
      <c r="N209" s="36"/>
      <c r="O209" s="36"/>
      <c r="P209" s="30"/>
      <c r="Q209" s="29"/>
      <c r="R209" s="35"/>
      <c r="S209" s="36"/>
      <c r="T209" s="36"/>
      <c r="U209" s="30"/>
      <c r="V209" s="29"/>
      <c r="W209" s="35"/>
      <c r="X209" s="36"/>
      <c r="Y209" s="36"/>
      <c r="Z209" s="30"/>
      <c r="AA209" s="29"/>
      <c r="AB209" s="35"/>
      <c r="AC209" s="36"/>
      <c r="AD209" s="36"/>
      <c r="AE209" s="30"/>
      <c r="AF209" s="29"/>
      <c r="AG209" s="35"/>
      <c r="AH209" s="36"/>
      <c r="AI209" s="36"/>
      <c r="AJ209" s="30"/>
      <c r="AK209" s="29"/>
      <c r="AL209" s="35"/>
      <c r="AM209" s="36"/>
      <c r="AN209" s="36"/>
      <c r="AO209" s="30"/>
      <c r="AP209" s="29"/>
      <c r="AQ209" s="35"/>
      <c r="AR209" s="36"/>
      <c r="AS209" s="36"/>
      <c r="AT209" s="30"/>
      <c r="AU209" s="29"/>
      <c r="AV209" s="29"/>
      <c r="AW209" s="29"/>
      <c r="AX209" s="37"/>
      <c r="AY209" s="29"/>
      <c r="AZ209" s="38" t="str">
        <f aca="false">IF($C209="","",IF(OR(F209="Completed",F209="Cancelled"),"",IF(AND(OR(F209="On Hold",ISNUMBER(VALUE(LEFT(H209,2)))),AY209=""),"Reason not given","")))</f>
        <v/>
      </c>
      <c r="BA209" s="30"/>
    </row>
    <row r="210" customFormat="false" ht="19.5" hidden="false" customHeight="true" outlineLevel="0" collapsed="false">
      <c r="A210" s="28" t="str">
        <f aca="false">IF($C210="","",COUNTA($C$17:$C210))</f>
        <v/>
      </c>
      <c r="B210" s="29"/>
      <c r="C210" s="30"/>
      <c r="D210" s="29"/>
      <c r="E210" s="31" t="str">
        <f aca="false">IF($C210="","",IF(NOT(OR(M210="Completed",M210="NA",M210="Cancelled")),"S1 Schematic",IF(NOT(OR(R210="Completed",R210="NA",R210="Cancelled")),"S2 PCB Layout",IF(NOT(OR(W210="Completed",W210="NA",W210="Cancelled")),"S3 SI &amp; PI",IF(NOT(OR(AB210="Completed",AB210="NA",AB210="Cancelled")),"S4 Bare-PCB Fab",IF(NOT(OR(AG210="Completed",AG210="NA",AG210="Cancelled")),"S5 Assembly",IF(NOT(OR(AL210="Completed",AL210="NA",AL210="Cancelled")),"S6 Bring-up",IF(NOT(OR(AQ210="Completed",AQ210="NA",AQ210="Cancelled")),"S7 BOM Procurement","All Stages Closed"))))))))</f>
        <v/>
      </c>
      <c r="F210" s="32" t="str">
        <f aca="false">IF($C210="","",IF(COUNTIF(M210,"Cancelled")+COUNTIF(R210,"Cancelled")+COUNTIF(W210,"Cancelled")+COUNTIF(AB210,"Cancelled")+COUNTIF(AG210,"Cancelled")+COUNTIF(AL210,"Cancelled")+COUNTIF(AQ210,"Cancelled")&gt;0,"Cancelled",IF(E210="All Stages Closed","Completed",IF(E210="S1 Schematic",M210,IF(E210="S2 PCB Layout",R210,IF(E210="S3 SI &amp; PI",W210,IF(E210="S4 Bare-PCB Fab",AB210,IF(E210="S5 Assembly",AG210,IF(E210="S6 Bring-up",AL210,AQ210)))))))))</f>
        <v/>
      </c>
      <c r="G210" s="33" t="str">
        <f aca="false">IF($C210="","",IF(E210="All Stages Closed","",IF(E210="S1 Schematic",IF(N210="","Not added",N210),IF(E210="S2 PCB Layout",IF(S210="","Not added",S210),IF(E210="S3 SI &amp; PI",IF(X210="","Not added",X210),IF(E210="S4 Bare-PCB Fab",IF(AC210="","Not added",AC210),IF(E210="S5 Assembly",IF(AH210="","Not added",AH210),IF(E210="S6 Bring-up",IF(AM210="","Not added",AM210),IF(AR210="","Not added",AR210)))))))))</f>
        <v/>
      </c>
      <c r="H210" s="32" t="str">
        <f aca="true">IF($C210="","",IF(OR(F210="Completed",F210="Cancelled"),"",IF(NOT(ISNUMBER(G210)),"No date set",IF(TODAY()&gt;G210,TODAY()-G210&amp;" days late",G210-TODAY()&amp;" days left"))))</f>
        <v/>
      </c>
      <c r="I210" s="31" t="str">
        <f aca="false">IF($C210="","",COUNTIF(M210,"Completed")+COUNTIF(R210,"Completed")+COUNTIF(W210,"Completed")+COUNTIF(AB210,"Completed")+COUNTIF(AG210,"Completed")+COUNTIF(AL210,"Completed")+COUNTIF(AQ210,"Completed"))</f>
        <v/>
      </c>
      <c r="J210" s="31" t="str">
        <f aca="false">IF($C210="","",7-(COUNTIF(M210,"NA")+COUNTIF(R210,"NA")+COUNTIF(W210,"NA")+COUNTIF(AB210,"NA")+COUNTIF(AG210,"NA")+COUNTIF(AL210,"NA")+COUNTIF(AQ210,"NA")))</f>
        <v/>
      </c>
      <c r="K210" s="34" t="str">
        <f aca="false">IFERROR(I210/J210,"")</f>
        <v/>
      </c>
      <c r="L210" s="29"/>
      <c r="M210" s="35"/>
      <c r="N210" s="36"/>
      <c r="O210" s="36"/>
      <c r="P210" s="30"/>
      <c r="Q210" s="29"/>
      <c r="R210" s="35"/>
      <c r="S210" s="36"/>
      <c r="T210" s="36"/>
      <c r="U210" s="30"/>
      <c r="V210" s="29"/>
      <c r="W210" s="35"/>
      <c r="X210" s="36"/>
      <c r="Y210" s="36"/>
      <c r="Z210" s="30"/>
      <c r="AA210" s="29"/>
      <c r="AB210" s="35"/>
      <c r="AC210" s="36"/>
      <c r="AD210" s="36"/>
      <c r="AE210" s="30"/>
      <c r="AF210" s="29"/>
      <c r="AG210" s="35"/>
      <c r="AH210" s="36"/>
      <c r="AI210" s="36"/>
      <c r="AJ210" s="30"/>
      <c r="AK210" s="29"/>
      <c r="AL210" s="35"/>
      <c r="AM210" s="36"/>
      <c r="AN210" s="36"/>
      <c r="AO210" s="30"/>
      <c r="AP210" s="29"/>
      <c r="AQ210" s="35"/>
      <c r="AR210" s="36"/>
      <c r="AS210" s="36"/>
      <c r="AT210" s="30"/>
      <c r="AU210" s="29"/>
      <c r="AV210" s="29"/>
      <c r="AW210" s="29"/>
      <c r="AX210" s="37"/>
      <c r="AY210" s="29"/>
      <c r="AZ210" s="38" t="str">
        <f aca="false">IF($C210="","",IF(OR(F210="Completed",F210="Cancelled"),"",IF(AND(OR(F210="On Hold",ISNUMBER(VALUE(LEFT(H210,2)))),AY210=""),"Reason not given","")))</f>
        <v/>
      </c>
      <c r="BA210" s="30"/>
    </row>
    <row r="211" customFormat="false" ht="19.5" hidden="false" customHeight="true" outlineLevel="0" collapsed="false">
      <c r="A211" s="28" t="str">
        <f aca="false">IF($C211="","",COUNTA($C$17:$C211))</f>
        <v/>
      </c>
      <c r="B211" s="29"/>
      <c r="C211" s="30"/>
      <c r="D211" s="29"/>
      <c r="E211" s="31" t="str">
        <f aca="false">IF($C211="","",IF(NOT(OR(M211="Completed",M211="NA",M211="Cancelled")),"S1 Schematic",IF(NOT(OR(R211="Completed",R211="NA",R211="Cancelled")),"S2 PCB Layout",IF(NOT(OR(W211="Completed",W211="NA",W211="Cancelled")),"S3 SI &amp; PI",IF(NOT(OR(AB211="Completed",AB211="NA",AB211="Cancelled")),"S4 Bare-PCB Fab",IF(NOT(OR(AG211="Completed",AG211="NA",AG211="Cancelled")),"S5 Assembly",IF(NOT(OR(AL211="Completed",AL211="NA",AL211="Cancelled")),"S6 Bring-up",IF(NOT(OR(AQ211="Completed",AQ211="NA",AQ211="Cancelled")),"S7 BOM Procurement","All Stages Closed"))))))))</f>
        <v/>
      </c>
      <c r="F211" s="32" t="str">
        <f aca="false">IF($C211="","",IF(COUNTIF(M211,"Cancelled")+COUNTIF(R211,"Cancelled")+COUNTIF(W211,"Cancelled")+COUNTIF(AB211,"Cancelled")+COUNTIF(AG211,"Cancelled")+COUNTIF(AL211,"Cancelled")+COUNTIF(AQ211,"Cancelled")&gt;0,"Cancelled",IF(E211="All Stages Closed","Completed",IF(E211="S1 Schematic",M211,IF(E211="S2 PCB Layout",R211,IF(E211="S3 SI &amp; PI",W211,IF(E211="S4 Bare-PCB Fab",AB211,IF(E211="S5 Assembly",AG211,IF(E211="S6 Bring-up",AL211,AQ211)))))))))</f>
        <v/>
      </c>
      <c r="G211" s="33" t="str">
        <f aca="false">IF($C211="","",IF(E211="All Stages Closed","",IF(E211="S1 Schematic",IF(N211="","Not added",N211),IF(E211="S2 PCB Layout",IF(S211="","Not added",S211),IF(E211="S3 SI &amp; PI",IF(X211="","Not added",X211),IF(E211="S4 Bare-PCB Fab",IF(AC211="","Not added",AC211),IF(E211="S5 Assembly",IF(AH211="","Not added",AH211),IF(E211="S6 Bring-up",IF(AM211="","Not added",AM211),IF(AR211="","Not added",AR211)))))))))</f>
        <v/>
      </c>
      <c r="H211" s="32" t="str">
        <f aca="true">IF($C211="","",IF(OR(F211="Completed",F211="Cancelled"),"",IF(NOT(ISNUMBER(G211)),"No date set",IF(TODAY()&gt;G211,TODAY()-G211&amp;" days late",G211-TODAY()&amp;" days left"))))</f>
        <v/>
      </c>
      <c r="I211" s="31" t="str">
        <f aca="false">IF($C211="","",COUNTIF(M211,"Completed")+COUNTIF(R211,"Completed")+COUNTIF(W211,"Completed")+COUNTIF(AB211,"Completed")+COUNTIF(AG211,"Completed")+COUNTIF(AL211,"Completed")+COUNTIF(AQ211,"Completed"))</f>
        <v/>
      </c>
      <c r="J211" s="31" t="str">
        <f aca="false">IF($C211="","",7-(COUNTIF(M211,"NA")+COUNTIF(R211,"NA")+COUNTIF(W211,"NA")+COUNTIF(AB211,"NA")+COUNTIF(AG211,"NA")+COUNTIF(AL211,"NA")+COUNTIF(AQ211,"NA")))</f>
        <v/>
      </c>
      <c r="K211" s="34" t="str">
        <f aca="false">IFERROR(I211/J211,"")</f>
        <v/>
      </c>
      <c r="L211" s="29"/>
      <c r="M211" s="35"/>
      <c r="N211" s="36"/>
      <c r="O211" s="36"/>
      <c r="P211" s="30"/>
      <c r="Q211" s="29"/>
      <c r="R211" s="35"/>
      <c r="S211" s="36"/>
      <c r="T211" s="36"/>
      <c r="U211" s="30"/>
      <c r="V211" s="29"/>
      <c r="W211" s="35"/>
      <c r="X211" s="36"/>
      <c r="Y211" s="36"/>
      <c r="Z211" s="30"/>
      <c r="AA211" s="29"/>
      <c r="AB211" s="35"/>
      <c r="AC211" s="36"/>
      <c r="AD211" s="36"/>
      <c r="AE211" s="30"/>
      <c r="AF211" s="29"/>
      <c r="AG211" s="35"/>
      <c r="AH211" s="36"/>
      <c r="AI211" s="36"/>
      <c r="AJ211" s="30"/>
      <c r="AK211" s="29"/>
      <c r="AL211" s="35"/>
      <c r="AM211" s="36"/>
      <c r="AN211" s="36"/>
      <c r="AO211" s="30"/>
      <c r="AP211" s="29"/>
      <c r="AQ211" s="35"/>
      <c r="AR211" s="36"/>
      <c r="AS211" s="36"/>
      <c r="AT211" s="30"/>
      <c r="AU211" s="29"/>
      <c r="AV211" s="29"/>
      <c r="AW211" s="29"/>
      <c r="AX211" s="37"/>
      <c r="AY211" s="29"/>
      <c r="AZ211" s="38" t="str">
        <f aca="false">IF($C211="","",IF(OR(F211="Completed",F211="Cancelled"),"",IF(AND(OR(F211="On Hold",ISNUMBER(VALUE(LEFT(H211,2)))),AY211=""),"Reason not given","")))</f>
        <v/>
      </c>
      <c r="BA211" s="30"/>
    </row>
    <row r="212" customFormat="false" ht="19.5" hidden="false" customHeight="true" outlineLevel="0" collapsed="false">
      <c r="A212" s="28" t="str">
        <f aca="false">IF($C212="","",COUNTA($C$17:$C212))</f>
        <v/>
      </c>
      <c r="B212" s="29"/>
      <c r="C212" s="30"/>
      <c r="D212" s="29"/>
      <c r="E212" s="31" t="str">
        <f aca="false">IF($C212="","",IF(NOT(OR(M212="Completed",M212="NA",M212="Cancelled")),"S1 Schematic",IF(NOT(OR(R212="Completed",R212="NA",R212="Cancelled")),"S2 PCB Layout",IF(NOT(OR(W212="Completed",W212="NA",W212="Cancelled")),"S3 SI &amp; PI",IF(NOT(OR(AB212="Completed",AB212="NA",AB212="Cancelled")),"S4 Bare-PCB Fab",IF(NOT(OR(AG212="Completed",AG212="NA",AG212="Cancelled")),"S5 Assembly",IF(NOT(OR(AL212="Completed",AL212="NA",AL212="Cancelled")),"S6 Bring-up",IF(NOT(OR(AQ212="Completed",AQ212="NA",AQ212="Cancelled")),"S7 BOM Procurement","All Stages Closed"))))))))</f>
        <v/>
      </c>
      <c r="F212" s="32" t="str">
        <f aca="false">IF($C212="","",IF(COUNTIF(M212,"Cancelled")+COUNTIF(R212,"Cancelled")+COUNTIF(W212,"Cancelled")+COUNTIF(AB212,"Cancelled")+COUNTIF(AG212,"Cancelled")+COUNTIF(AL212,"Cancelled")+COUNTIF(AQ212,"Cancelled")&gt;0,"Cancelled",IF(E212="All Stages Closed","Completed",IF(E212="S1 Schematic",M212,IF(E212="S2 PCB Layout",R212,IF(E212="S3 SI &amp; PI",W212,IF(E212="S4 Bare-PCB Fab",AB212,IF(E212="S5 Assembly",AG212,IF(E212="S6 Bring-up",AL212,AQ212)))))))))</f>
        <v/>
      </c>
      <c r="G212" s="33" t="str">
        <f aca="false">IF($C212="","",IF(E212="All Stages Closed","",IF(E212="S1 Schematic",IF(N212="","Not added",N212),IF(E212="S2 PCB Layout",IF(S212="","Not added",S212),IF(E212="S3 SI &amp; PI",IF(X212="","Not added",X212),IF(E212="S4 Bare-PCB Fab",IF(AC212="","Not added",AC212),IF(E212="S5 Assembly",IF(AH212="","Not added",AH212),IF(E212="S6 Bring-up",IF(AM212="","Not added",AM212),IF(AR212="","Not added",AR212)))))))))</f>
        <v/>
      </c>
      <c r="H212" s="32" t="str">
        <f aca="true">IF($C212="","",IF(OR(F212="Completed",F212="Cancelled"),"",IF(NOT(ISNUMBER(G212)),"No date set",IF(TODAY()&gt;G212,TODAY()-G212&amp;" days late",G212-TODAY()&amp;" days left"))))</f>
        <v/>
      </c>
      <c r="I212" s="31" t="str">
        <f aca="false">IF($C212="","",COUNTIF(M212,"Completed")+COUNTIF(R212,"Completed")+COUNTIF(W212,"Completed")+COUNTIF(AB212,"Completed")+COUNTIF(AG212,"Completed")+COUNTIF(AL212,"Completed")+COUNTIF(AQ212,"Completed"))</f>
        <v/>
      </c>
      <c r="J212" s="31" t="str">
        <f aca="false">IF($C212="","",7-(COUNTIF(M212,"NA")+COUNTIF(R212,"NA")+COUNTIF(W212,"NA")+COUNTIF(AB212,"NA")+COUNTIF(AG212,"NA")+COUNTIF(AL212,"NA")+COUNTIF(AQ212,"NA")))</f>
        <v/>
      </c>
      <c r="K212" s="34" t="str">
        <f aca="false">IFERROR(I212/J212,"")</f>
        <v/>
      </c>
      <c r="L212" s="29"/>
      <c r="M212" s="35"/>
      <c r="N212" s="36"/>
      <c r="O212" s="36"/>
      <c r="P212" s="30"/>
      <c r="Q212" s="29"/>
      <c r="R212" s="35"/>
      <c r="S212" s="36"/>
      <c r="T212" s="36"/>
      <c r="U212" s="30"/>
      <c r="V212" s="29"/>
      <c r="W212" s="35"/>
      <c r="X212" s="36"/>
      <c r="Y212" s="36"/>
      <c r="Z212" s="30"/>
      <c r="AA212" s="29"/>
      <c r="AB212" s="35"/>
      <c r="AC212" s="36"/>
      <c r="AD212" s="36"/>
      <c r="AE212" s="30"/>
      <c r="AF212" s="29"/>
      <c r="AG212" s="35"/>
      <c r="AH212" s="36"/>
      <c r="AI212" s="36"/>
      <c r="AJ212" s="30"/>
      <c r="AK212" s="29"/>
      <c r="AL212" s="35"/>
      <c r="AM212" s="36"/>
      <c r="AN212" s="36"/>
      <c r="AO212" s="30"/>
      <c r="AP212" s="29"/>
      <c r="AQ212" s="35"/>
      <c r="AR212" s="36"/>
      <c r="AS212" s="36"/>
      <c r="AT212" s="30"/>
      <c r="AU212" s="29"/>
      <c r="AV212" s="29"/>
      <c r="AW212" s="29"/>
      <c r="AX212" s="37"/>
      <c r="AY212" s="29"/>
      <c r="AZ212" s="38" t="str">
        <f aca="false">IF($C212="","",IF(OR(F212="Completed",F212="Cancelled"),"",IF(AND(OR(F212="On Hold",ISNUMBER(VALUE(LEFT(H212,2)))),AY212=""),"Reason not given","")))</f>
        <v/>
      </c>
      <c r="BA212" s="30"/>
    </row>
    <row r="213" customFormat="false" ht="19.5" hidden="false" customHeight="true" outlineLevel="0" collapsed="false">
      <c r="A213" s="28" t="str">
        <f aca="false">IF($C213="","",COUNTA($C$17:$C213))</f>
        <v/>
      </c>
      <c r="B213" s="29"/>
      <c r="C213" s="30"/>
      <c r="D213" s="29"/>
      <c r="E213" s="31" t="str">
        <f aca="false">IF($C213="","",IF(NOT(OR(M213="Completed",M213="NA",M213="Cancelled")),"S1 Schematic",IF(NOT(OR(R213="Completed",R213="NA",R213="Cancelled")),"S2 PCB Layout",IF(NOT(OR(W213="Completed",W213="NA",W213="Cancelled")),"S3 SI &amp; PI",IF(NOT(OR(AB213="Completed",AB213="NA",AB213="Cancelled")),"S4 Bare-PCB Fab",IF(NOT(OR(AG213="Completed",AG213="NA",AG213="Cancelled")),"S5 Assembly",IF(NOT(OR(AL213="Completed",AL213="NA",AL213="Cancelled")),"S6 Bring-up",IF(NOT(OR(AQ213="Completed",AQ213="NA",AQ213="Cancelled")),"S7 BOM Procurement","All Stages Closed"))))))))</f>
        <v/>
      </c>
      <c r="F213" s="32" t="str">
        <f aca="false">IF($C213="","",IF(COUNTIF(M213,"Cancelled")+COUNTIF(R213,"Cancelled")+COUNTIF(W213,"Cancelled")+COUNTIF(AB213,"Cancelled")+COUNTIF(AG213,"Cancelled")+COUNTIF(AL213,"Cancelled")+COUNTIF(AQ213,"Cancelled")&gt;0,"Cancelled",IF(E213="All Stages Closed","Completed",IF(E213="S1 Schematic",M213,IF(E213="S2 PCB Layout",R213,IF(E213="S3 SI &amp; PI",W213,IF(E213="S4 Bare-PCB Fab",AB213,IF(E213="S5 Assembly",AG213,IF(E213="S6 Bring-up",AL213,AQ213)))))))))</f>
        <v/>
      </c>
      <c r="G213" s="33" t="str">
        <f aca="false">IF($C213="","",IF(E213="All Stages Closed","",IF(E213="S1 Schematic",IF(N213="","Not added",N213),IF(E213="S2 PCB Layout",IF(S213="","Not added",S213),IF(E213="S3 SI &amp; PI",IF(X213="","Not added",X213),IF(E213="S4 Bare-PCB Fab",IF(AC213="","Not added",AC213),IF(E213="S5 Assembly",IF(AH213="","Not added",AH213),IF(E213="S6 Bring-up",IF(AM213="","Not added",AM213),IF(AR213="","Not added",AR213)))))))))</f>
        <v/>
      </c>
      <c r="H213" s="32" t="str">
        <f aca="true">IF($C213="","",IF(OR(F213="Completed",F213="Cancelled"),"",IF(NOT(ISNUMBER(G213)),"No date set",IF(TODAY()&gt;G213,TODAY()-G213&amp;" days late",G213-TODAY()&amp;" days left"))))</f>
        <v/>
      </c>
      <c r="I213" s="31" t="str">
        <f aca="false">IF($C213="","",COUNTIF(M213,"Completed")+COUNTIF(R213,"Completed")+COUNTIF(W213,"Completed")+COUNTIF(AB213,"Completed")+COUNTIF(AG213,"Completed")+COUNTIF(AL213,"Completed")+COUNTIF(AQ213,"Completed"))</f>
        <v/>
      </c>
      <c r="J213" s="31" t="str">
        <f aca="false">IF($C213="","",7-(COUNTIF(M213,"NA")+COUNTIF(R213,"NA")+COUNTIF(W213,"NA")+COUNTIF(AB213,"NA")+COUNTIF(AG213,"NA")+COUNTIF(AL213,"NA")+COUNTIF(AQ213,"NA")))</f>
        <v/>
      </c>
      <c r="K213" s="34" t="str">
        <f aca="false">IFERROR(I213/J213,"")</f>
        <v/>
      </c>
      <c r="L213" s="29"/>
      <c r="M213" s="35"/>
      <c r="N213" s="36"/>
      <c r="O213" s="36"/>
      <c r="P213" s="30"/>
      <c r="Q213" s="29"/>
      <c r="R213" s="35"/>
      <c r="S213" s="36"/>
      <c r="T213" s="36"/>
      <c r="U213" s="30"/>
      <c r="V213" s="29"/>
      <c r="W213" s="35"/>
      <c r="X213" s="36"/>
      <c r="Y213" s="36"/>
      <c r="Z213" s="30"/>
      <c r="AA213" s="29"/>
      <c r="AB213" s="35"/>
      <c r="AC213" s="36"/>
      <c r="AD213" s="36"/>
      <c r="AE213" s="30"/>
      <c r="AF213" s="29"/>
      <c r="AG213" s="35"/>
      <c r="AH213" s="36"/>
      <c r="AI213" s="36"/>
      <c r="AJ213" s="30"/>
      <c r="AK213" s="29"/>
      <c r="AL213" s="35"/>
      <c r="AM213" s="36"/>
      <c r="AN213" s="36"/>
      <c r="AO213" s="30"/>
      <c r="AP213" s="29"/>
      <c r="AQ213" s="35"/>
      <c r="AR213" s="36"/>
      <c r="AS213" s="36"/>
      <c r="AT213" s="30"/>
      <c r="AU213" s="29"/>
      <c r="AV213" s="29"/>
      <c r="AW213" s="29"/>
      <c r="AX213" s="37"/>
      <c r="AY213" s="29"/>
      <c r="AZ213" s="38" t="str">
        <f aca="false">IF($C213="","",IF(OR(F213="Completed",F213="Cancelled"),"",IF(AND(OR(F213="On Hold",ISNUMBER(VALUE(LEFT(H213,2)))),AY213=""),"Reason not given","")))</f>
        <v/>
      </c>
      <c r="BA213" s="30"/>
    </row>
    <row r="214" customFormat="false" ht="19.5" hidden="false" customHeight="true" outlineLevel="0" collapsed="false">
      <c r="A214" s="28" t="str">
        <f aca="false">IF($C214="","",COUNTA($C$17:$C214))</f>
        <v/>
      </c>
      <c r="B214" s="29"/>
      <c r="C214" s="30"/>
      <c r="D214" s="29"/>
      <c r="E214" s="31" t="str">
        <f aca="false">IF($C214="","",IF(NOT(OR(M214="Completed",M214="NA",M214="Cancelled")),"S1 Schematic",IF(NOT(OR(R214="Completed",R214="NA",R214="Cancelled")),"S2 PCB Layout",IF(NOT(OR(W214="Completed",W214="NA",W214="Cancelled")),"S3 SI &amp; PI",IF(NOT(OR(AB214="Completed",AB214="NA",AB214="Cancelled")),"S4 Bare-PCB Fab",IF(NOT(OR(AG214="Completed",AG214="NA",AG214="Cancelled")),"S5 Assembly",IF(NOT(OR(AL214="Completed",AL214="NA",AL214="Cancelled")),"S6 Bring-up",IF(NOT(OR(AQ214="Completed",AQ214="NA",AQ214="Cancelled")),"S7 BOM Procurement","All Stages Closed"))))))))</f>
        <v/>
      </c>
      <c r="F214" s="32" t="str">
        <f aca="false">IF($C214="","",IF(COUNTIF(M214,"Cancelled")+COUNTIF(R214,"Cancelled")+COUNTIF(W214,"Cancelled")+COUNTIF(AB214,"Cancelled")+COUNTIF(AG214,"Cancelled")+COUNTIF(AL214,"Cancelled")+COUNTIF(AQ214,"Cancelled")&gt;0,"Cancelled",IF(E214="All Stages Closed","Completed",IF(E214="S1 Schematic",M214,IF(E214="S2 PCB Layout",R214,IF(E214="S3 SI &amp; PI",W214,IF(E214="S4 Bare-PCB Fab",AB214,IF(E214="S5 Assembly",AG214,IF(E214="S6 Bring-up",AL214,AQ214)))))))))</f>
        <v/>
      </c>
      <c r="G214" s="33" t="str">
        <f aca="false">IF($C214="","",IF(E214="All Stages Closed","",IF(E214="S1 Schematic",IF(N214="","Not added",N214),IF(E214="S2 PCB Layout",IF(S214="","Not added",S214),IF(E214="S3 SI &amp; PI",IF(X214="","Not added",X214),IF(E214="S4 Bare-PCB Fab",IF(AC214="","Not added",AC214),IF(E214="S5 Assembly",IF(AH214="","Not added",AH214),IF(E214="S6 Bring-up",IF(AM214="","Not added",AM214),IF(AR214="","Not added",AR214)))))))))</f>
        <v/>
      </c>
      <c r="H214" s="32" t="str">
        <f aca="true">IF($C214="","",IF(OR(F214="Completed",F214="Cancelled"),"",IF(NOT(ISNUMBER(G214)),"No date set",IF(TODAY()&gt;G214,TODAY()-G214&amp;" days late",G214-TODAY()&amp;" days left"))))</f>
        <v/>
      </c>
      <c r="I214" s="31" t="str">
        <f aca="false">IF($C214="","",COUNTIF(M214,"Completed")+COUNTIF(R214,"Completed")+COUNTIF(W214,"Completed")+COUNTIF(AB214,"Completed")+COUNTIF(AG214,"Completed")+COUNTIF(AL214,"Completed")+COUNTIF(AQ214,"Completed"))</f>
        <v/>
      </c>
      <c r="J214" s="31" t="str">
        <f aca="false">IF($C214="","",7-(COUNTIF(M214,"NA")+COUNTIF(R214,"NA")+COUNTIF(W214,"NA")+COUNTIF(AB214,"NA")+COUNTIF(AG214,"NA")+COUNTIF(AL214,"NA")+COUNTIF(AQ214,"NA")))</f>
        <v/>
      </c>
      <c r="K214" s="34" t="str">
        <f aca="false">IFERROR(I214/J214,"")</f>
        <v/>
      </c>
      <c r="L214" s="29"/>
      <c r="M214" s="35"/>
      <c r="N214" s="36"/>
      <c r="O214" s="36"/>
      <c r="P214" s="30"/>
      <c r="Q214" s="29"/>
      <c r="R214" s="35"/>
      <c r="S214" s="36"/>
      <c r="T214" s="36"/>
      <c r="U214" s="30"/>
      <c r="V214" s="29"/>
      <c r="W214" s="35"/>
      <c r="X214" s="36"/>
      <c r="Y214" s="36"/>
      <c r="Z214" s="30"/>
      <c r="AA214" s="29"/>
      <c r="AB214" s="35"/>
      <c r="AC214" s="36"/>
      <c r="AD214" s="36"/>
      <c r="AE214" s="30"/>
      <c r="AF214" s="29"/>
      <c r="AG214" s="35"/>
      <c r="AH214" s="36"/>
      <c r="AI214" s="36"/>
      <c r="AJ214" s="30"/>
      <c r="AK214" s="29"/>
      <c r="AL214" s="35"/>
      <c r="AM214" s="36"/>
      <c r="AN214" s="36"/>
      <c r="AO214" s="30"/>
      <c r="AP214" s="29"/>
      <c r="AQ214" s="35"/>
      <c r="AR214" s="36"/>
      <c r="AS214" s="36"/>
      <c r="AT214" s="30"/>
      <c r="AU214" s="29"/>
      <c r="AV214" s="29"/>
      <c r="AW214" s="29"/>
      <c r="AX214" s="37"/>
      <c r="AY214" s="29"/>
      <c r="AZ214" s="38" t="str">
        <f aca="false">IF($C214="","",IF(OR(F214="Completed",F214="Cancelled"),"",IF(AND(OR(F214="On Hold",ISNUMBER(VALUE(LEFT(H214,2)))),AY214=""),"Reason not given","")))</f>
        <v/>
      </c>
      <c r="BA214" s="30"/>
    </row>
    <row r="215" customFormat="false" ht="19.5" hidden="false" customHeight="true" outlineLevel="0" collapsed="false">
      <c r="A215" s="28" t="str">
        <f aca="false">IF($C215="","",COUNTA($C$17:$C215))</f>
        <v/>
      </c>
      <c r="B215" s="29"/>
      <c r="C215" s="30"/>
      <c r="D215" s="29"/>
      <c r="E215" s="31" t="str">
        <f aca="false">IF($C215="","",IF(NOT(OR(M215="Completed",M215="NA",M215="Cancelled")),"S1 Schematic",IF(NOT(OR(R215="Completed",R215="NA",R215="Cancelled")),"S2 PCB Layout",IF(NOT(OR(W215="Completed",W215="NA",W215="Cancelled")),"S3 SI &amp; PI",IF(NOT(OR(AB215="Completed",AB215="NA",AB215="Cancelled")),"S4 Bare-PCB Fab",IF(NOT(OR(AG215="Completed",AG215="NA",AG215="Cancelled")),"S5 Assembly",IF(NOT(OR(AL215="Completed",AL215="NA",AL215="Cancelled")),"S6 Bring-up",IF(NOT(OR(AQ215="Completed",AQ215="NA",AQ215="Cancelled")),"S7 BOM Procurement","All Stages Closed"))))))))</f>
        <v/>
      </c>
      <c r="F215" s="32" t="str">
        <f aca="false">IF($C215="","",IF(COUNTIF(M215,"Cancelled")+COUNTIF(R215,"Cancelled")+COUNTIF(W215,"Cancelled")+COUNTIF(AB215,"Cancelled")+COUNTIF(AG215,"Cancelled")+COUNTIF(AL215,"Cancelled")+COUNTIF(AQ215,"Cancelled")&gt;0,"Cancelled",IF(E215="All Stages Closed","Completed",IF(E215="S1 Schematic",M215,IF(E215="S2 PCB Layout",R215,IF(E215="S3 SI &amp; PI",W215,IF(E215="S4 Bare-PCB Fab",AB215,IF(E215="S5 Assembly",AG215,IF(E215="S6 Bring-up",AL215,AQ215)))))))))</f>
        <v/>
      </c>
      <c r="G215" s="33" t="str">
        <f aca="false">IF($C215="","",IF(E215="All Stages Closed","",IF(E215="S1 Schematic",IF(N215="","Not added",N215),IF(E215="S2 PCB Layout",IF(S215="","Not added",S215),IF(E215="S3 SI &amp; PI",IF(X215="","Not added",X215),IF(E215="S4 Bare-PCB Fab",IF(AC215="","Not added",AC215),IF(E215="S5 Assembly",IF(AH215="","Not added",AH215),IF(E215="S6 Bring-up",IF(AM215="","Not added",AM215),IF(AR215="","Not added",AR215)))))))))</f>
        <v/>
      </c>
      <c r="H215" s="32" t="str">
        <f aca="true">IF($C215="","",IF(OR(F215="Completed",F215="Cancelled"),"",IF(NOT(ISNUMBER(G215)),"No date set",IF(TODAY()&gt;G215,TODAY()-G215&amp;" days late",G215-TODAY()&amp;" days left"))))</f>
        <v/>
      </c>
      <c r="I215" s="31" t="str">
        <f aca="false">IF($C215="","",COUNTIF(M215,"Completed")+COUNTIF(R215,"Completed")+COUNTIF(W215,"Completed")+COUNTIF(AB215,"Completed")+COUNTIF(AG215,"Completed")+COUNTIF(AL215,"Completed")+COUNTIF(AQ215,"Completed"))</f>
        <v/>
      </c>
      <c r="J215" s="31" t="str">
        <f aca="false">IF($C215="","",7-(COUNTIF(M215,"NA")+COUNTIF(R215,"NA")+COUNTIF(W215,"NA")+COUNTIF(AB215,"NA")+COUNTIF(AG215,"NA")+COUNTIF(AL215,"NA")+COUNTIF(AQ215,"NA")))</f>
        <v/>
      </c>
      <c r="K215" s="34" t="str">
        <f aca="false">IFERROR(I215/J215,"")</f>
        <v/>
      </c>
      <c r="L215" s="29"/>
      <c r="M215" s="35"/>
      <c r="N215" s="36"/>
      <c r="O215" s="36"/>
      <c r="P215" s="30"/>
      <c r="Q215" s="29"/>
      <c r="R215" s="35"/>
      <c r="S215" s="36"/>
      <c r="T215" s="36"/>
      <c r="U215" s="30"/>
      <c r="V215" s="29"/>
      <c r="W215" s="35"/>
      <c r="X215" s="36"/>
      <c r="Y215" s="36"/>
      <c r="Z215" s="30"/>
      <c r="AA215" s="29"/>
      <c r="AB215" s="35"/>
      <c r="AC215" s="36"/>
      <c r="AD215" s="36"/>
      <c r="AE215" s="30"/>
      <c r="AF215" s="29"/>
      <c r="AG215" s="35"/>
      <c r="AH215" s="36"/>
      <c r="AI215" s="36"/>
      <c r="AJ215" s="30"/>
      <c r="AK215" s="29"/>
      <c r="AL215" s="35"/>
      <c r="AM215" s="36"/>
      <c r="AN215" s="36"/>
      <c r="AO215" s="30"/>
      <c r="AP215" s="29"/>
      <c r="AQ215" s="35"/>
      <c r="AR215" s="36"/>
      <c r="AS215" s="36"/>
      <c r="AT215" s="30"/>
      <c r="AU215" s="29"/>
      <c r="AV215" s="29"/>
      <c r="AW215" s="29"/>
      <c r="AX215" s="37"/>
      <c r="AY215" s="29"/>
      <c r="AZ215" s="38" t="str">
        <f aca="false">IF($C215="","",IF(OR(F215="Completed",F215="Cancelled"),"",IF(AND(OR(F215="On Hold",ISNUMBER(VALUE(LEFT(H215,2)))),AY215=""),"Reason not given","")))</f>
        <v/>
      </c>
      <c r="BA215" s="30"/>
    </row>
    <row r="216" customFormat="false" ht="19.5" hidden="false" customHeight="true" outlineLevel="0" collapsed="false">
      <c r="A216" s="28" t="str">
        <f aca="false">IF($C216="","",COUNTA($C$17:$C216))</f>
        <v/>
      </c>
      <c r="B216" s="29"/>
      <c r="C216" s="30"/>
      <c r="D216" s="29"/>
      <c r="E216" s="31" t="str">
        <f aca="false">IF($C216="","",IF(NOT(OR(M216="Completed",M216="NA",M216="Cancelled")),"S1 Schematic",IF(NOT(OR(R216="Completed",R216="NA",R216="Cancelled")),"S2 PCB Layout",IF(NOT(OR(W216="Completed",W216="NA",W216="Cancelled")),"S3 SI &amp; PI",IF(NOT(OR(AB216="Completed",AB216="NA",AB216="Cancelled")),"S4 Bare-PCB Fab",IF(NOT(OR(AG216="Completed",AG216="NA",AG216="Cancelled")),"S5 Assembly",IF(NOT(OR(AL216="Completed",AL216="NA",AL216="Cancelled")),"S6 Bring-up",IF(NOT(OR(AQ216="Completed",AQ216="NA",AQ216="Cancelled")),"S7 BOM Procurement","All Stages Closed"))))))))</f>
        <v/>
      </c>
      <c r="F216" s="32" t="str">
        <f aca="false">IF($C216="","",IF(COUNTIF(M216,"Cancelled")+COUNTIF(R216,"Cancelled")+COUNTIF(W216,"Cancelled")+COUNTIF(AB216,"Cancelled")+COUNTIF(AG216,"Cancelled")+COUNTIF(AL216,"Cancelled")+COUNTIF(AQ216,"Cancelled")&gt;0,"Cancelled",IF(E216="All Stages Closed","Completed",IF(E216="S1 Schematic",M216,IF(E216="S2 PCB Layout",R216,IF(E216="S3 SI &amp; PI",W216,IF(E216="S4 Bare-PCB Fab",AB216,IF(E216="S5 Assembly",AG216,IF(E216="S6 Bring-up",AL216,AQ216)))))))))</f>
        <v/>
      </c>
      <c r="G216" s="33" t="str">
        <f aca="false">IF($C216="","",IF(E216="All Stages Closed","",IF(E216="S1 Schematic",IF(N216="","Not added",N216),IF(E216="S2 PCB Layout",IF(S216="","Not added",S216),IF(E216="S3 SI &amp; PI",IF(X216="","Not added",X216),IF(E216="S4 Bare-PCB Fab",IF(AC216="","Not added",AC216),IF(E216="S5 Assembly",IF(AH216="","Not added",AH216),IF(E216="S6 Bring-up",IF(AM216="","Not added",AM216),IF(AR216="","Not added",AR216)))))))))</f>
        <v/>
      </c>
      <c r="H216" s="32" t="str">
        <f aca="true">IF($C216="","",IF(OR(F216="Completed",F216="Cancelled"),"",IF(NOT(ISNUMBER(G216)),"No date set",IF(TODAY()&gt;G216,TODAY()-G216&amp;" days late",G216-TODAY()&amp;" days left"))))</f>
        <v/>
      </c>
      <c r="I216" s="31" t="str">
        <f aca="false">IF($C216="","",COUNTIF(M216,"Completed")+COUNTIF(R216,"Completed")+COUNTIF(W216,"Completed")+COUNTIF(AB216,"Completed")+COUNTIF(AG216,"Completed")+COUNTIF(AL216,"Completed")+COUNTIF(AQ216,"Completed"))</f>
        <v/>
      </c>
      <c r="J216" s="31" t="str">
        <f aca="false">IF($C216="","",7-(COUNTIF(M216,"NA")+COUNTIF(R216,"NA")+COUNTIF(W216,"NA")+COUNTIF(AB216,"NA")+COUNTIF(AG216,"NA")+COUNTIF(AL216,"NA")+COUNTIF(AQ216,"NA")))</f>
        <v/>
      </c>
      <c r="K216" s="34" t="str">
        <f aca="false">IFERROR(I216/J216,"")</f>
        <v/>
      </c>
      <c r="L216" s="29"/>
      <c r="M216" s="35"/>
      <c r="N216" s="36"/>
      <c r="O216" s="36"/>
      <c r="P216" s="30"/>
      <c r="Q216" s="29"/>
      <c r="R216" s="35"/>
      <c r="S216" s="36"/>
      <c r="T216" s="36"/>
      <c r="U216" s="30"/>
      <c r="V216" s="29"/>
      <c r="W216" s="35"/>
      <c r="X216" s="36"/>
      <c r="Y216" s="36"/>
      <c r="Z216" s="30"/>
      <c r="AA216" s="29"/>
      <c r="AB216" s="35"/>
      <c r="AC216" s="36"/>
      <c r="AD216" s="36"/>
      <c r="AE216" s="30"/>
      <c r="AF216" s="29"/>
      <c r="AG216" s="35"/>
      <c r="AH216" s="36"/>
      <c r="AI216" s="36"/>
      <c r="AJ216" s="30"/>
      <c r="AK216" s="29"/>
      <c r="AL216" s="35"/>
      <c r="AM216" s="36"/>
      <c r="AN216" s="36"/>
      <c r="AO216" s="30"/>
      <c r="AP216" s="29"/>
      <c r="AQ216" s="35"/>
      <c r="AR216" s="36"/>
      <c r="AS216" s="36"/>
      <c r="AT216" s="30"/>
      <c r="AU216" s="29"/>
      <c r="AV216" s="29"/>
      <c r="AW216" s="29"/>
      <c r="AX216" s="37"/>
      <c r="AY216" s="29"/>
      <c r="AZ216" s="38" t="str">
        <f aca="false">IF($C216="","",IF(OR(F216="Completed",F216="Cancelled"),"",IF(AND(OR(F216="On Hold",ISNUMBER(VALUE(LEFT(H216,2)))),AY216=""),"Reason not given","")))</f>
        <v/>
      </c>
      <c r="BA216" s="30"/>
    </row>
    <row r="217" customFormat="false" ht="19.5" hidden="false" customHeight="true" outlineLevel="0" collapsed="false">
      <c r="A217" s="28" t="str">
        <f aca="false">IF($C217="","",COUNTA($C$17:$C217))</f>
        <v/>
      </c>
      <c r="B217" s="29"/>
      <c r="C217" s="30"/>
      <c r="D217" s="29"/>
      <c r="E217" s="31" t="str">
        <f aca="false">IF($C217="","",IF(NOT(OR(M217="Completed",M217="NA",M217="Cancelled")),"S1 Schematic",IF(NOT(OR(R217="Completed",R217="NA",R217="Cancelled")),"S2 PCB Layout",IF(NOT(OR(W217="Completed",W217="NA",W217="Cancelled")),"S3 SI &amp; PI",IF(NOT(OR(AB217="Completed",AB217="NA",AB217="Cancelled")),"S4 Bare-PCB Fab",IF(NOT(OR(AG217="Completed",AG217="NA",AG217="Cancelled")),"S5 Assembly",IF(NOT(OR(AL217="Completed",AL217="NA",AL217="Cancelled")),"S6 Bring-up",IF(NOT(OR(AQ217="Completed",AQ217="NA",AQ217="Cancelled")),"S7 BOM Procurement","All Stages Closed"))))))))</f>
        <v/>
      </c>
      <c r="F217" s="32" t="str">
        <f aca="false">IF($C217="","",IF(COUNTIF(M217,"Cancelled")+COUNTIF(R217,"Cancelled")+COUNTIF(W217,"Cancelled")+COUNTIF(AB217,"Cancelled")+COUNTIF(AG217,"Cancelled")+COUNTIF(AL217,"Cancelled")+COUNTIF(AQ217,"Cancelled")&gt;0,"Cancelled",IF(E217="All Stages Closed","Completed",IF(E217="S1 Schematic",M217,IF(E217="S2 PCB Layout",R217,IF(E217="S3 SI &amp; PI",W217,IF(E217="S4 Bare-PCB Fab",AB217,IF(E217="S5 Assembly",AG217,IF(E217="S6 Bring-up",AL217,AQ217)))))))))</f>
        <v/>
      </c>
      <c r="G217" s="33" t="str">
        <f aca="false">IF($C217="","",IF(E217="All Stages Closed","",IF(E217="S1 Schematic",IF(N217="","Not added",N217),IF(E217="S2 PCB Layout",IF(S217="","Not added",S217),IF(E217="S3 SI &amp; PI",IF(X217="","Not added",X217),IF(E217="S4 Bare-PCB Fab",IF(AC217="","Not added",AC217),IF(E217="S5 Assembly",IF(AH217="","Not added",AH217),IF(E217="S6 Bring-up",IF(AM217="","Not added",AM217),IF(AR217="","Not added",AR217)))))))))</f>
        <v/>
      </c>
      <c r="H217" s="32" t="str">
        <f aca="true">IF($C217="","",IF(OR(F217="Completed",F217="Cancelled"),"",IF(NOT(ISNUMBER(G217)),"No date set",IF(TODAY()&gt;G217,TODAY()-G217&amp;" days late",G217-TODAY()&amp;" days left"))))</f>
        <v/>
      </c>
      <c r="I217" s="31" t="str">
        <f aca="false">IF($C217="","",COUNTIF(M217,"Completed")+COUNTIF(R217,"Completed")+COUNTIF(W217,"Completed")+COUNTIF(AB217,"Completed")+COUNTIF(AG217,"Completed")+COUNTIF(AL217,"Completed")+COUNTIF(AQ217,"Completed"))</f>
        <v/>
      </c>
      <c r="J217" s="31" t="str">
        <f aca="false">IF($C217="","",7-(COUNTIF(M217,"NA")+COUNTIF(R217,"NA")+COUNTIF(W217,"NA")+COUNTIF(AB217,"NA")+COUNTIF(AG217,"NA")+COUNTIF(AL217,"NA")+COUNTIF(AQ217,"NA")))</f>
        <v/>
      </c>
      <c r="K217" s="34" t="str">
        <f aca="false">IFERROR(I217/J217,"")</f>
        <v/>
      </c>
      <c r="L217" s="29"/>
      <c r="M217" s="35"/>
      <c r="N217" s="36"/>
      <c r="O217" s="36"/>
      <c r="P217" s="30"/>
      <c r="Q217" s="29"/>
      <c r="R217" s="35"/>
      <c r="S217" s="36"/>
      <c r="T217" s="36"/>
      <c r="U217" s="30"/>
      <c r="V217" s="29"/>
      <c r="W217" s="35"/>
      <c r="X217" s="36"/>
      <c r="Y217" s="36"/>
      <c r="Z217" s="30"/>
      <c r="AA217" s="29"/>
      <c r="AB217" s="35"/>
      <c r="AC217" s="36"/>
      <c r="AD217" s="36"/>
      <c r="AE217" s="30"/>
      <c r="AF217" s="29"/>
      <c r="AG217" s="35"/>
      <c r="AH217" s="36"/>
      <c r="AI217" s="36"/>
      <c r="AJ217" s="30"/>
      <c r="AK217" s="29"/>
      <c r="AL217" s="35"/>
      <c r="AM217" s="36"/>
      <c r="AN217" s="36"/>
      <c r="AO217" s="30"/>
      <c r="AP217" s="29"/>
      <c r="AQ217" s="35"/>
      <c r="AR217" s="36"/>
      <c r="AS217" s="36"/>
      <c r="AT217" s="30"/>
      <c r="AU217" s="29"/>
      <c r="AV217" s="29"/>
      <c r="AW217" s="29"/>
      <c r="AX217" s="37"/>
      <c r="AY217" s="29"/>
      <c r="AZ217" s="38" t="str">
        <f aca="false">IF($C217="","",IF(OR(F217="Completed",F217="Cancelled"),"",IF(AND(OR(F217="On Hold",ISNUMBER(VALUE(LEFT(H217,2)))),AY217=""),"Reason not given","")))</f>
        <v/>
      </c>
      <c r="BA217" s="30"/>
    </row>
    <row r="218" customFormat="false" ht="19.5" hidden="false" customHeight="true" outlineLevel="0" collapsed="false">
      <c r="A218" s="28" t="str">
        <f aca="false">IF($C218="","",COUNTA($C$17:$C218))</f>
        <v/>
      </c>
      <c r="B218" s="29"/>
      <c r="C218" s="30"/>
      <c r="D218" s="29"/>
      <c r="E218" s="31" t="str">
        <f aca="false">IF($C218="","",IF(NOT(OR(M218="Completed",M218="NA",M218="Cancelled")),"S1 Schematic",IF(NOT(OR(R218="Completed",R218="NA",R218="Cancelled")),"S2 PCB Layout",IF(NOT(OR(W218="Completed",W218="NA",W218="Cancelled")),"S3 SI &amp; PI",IF(NOT(OR(AB218="Completed",AB218="NA",AB218="Cancelled")),"S4 Bare-PCB Fab",IF(NOT(OR(AG218="Completed",AG218="NA",AG218="Cancelled")),"S5 Assembly",IF(NOT(OR(AL218="Completed",AL218="NA",AL218="Cancelled")),"S6 Bring-up",IF(NOT(OR(AQ218="Completed",AQ218="NA",AQ218="Cancelled")),"S7 BOM Procurement","All Stages Closed"))))))))</f>
        <v/>
      </c>
      <c r="F218" s="32" t="str">
        <f aca="false">IF($C218="","",IF(COUNTIF(M218,"Cancelled")+COUNTIF(R218,"Cancelled")+COUNTIF(W218,"Cancelled")+COUNTIF(AB218,"Cancelled")+COUNTIF(AG218,"Cancelled")+COUNTIF(AL218,"Cancelled")+COUNTIF(AQ218,"Cancelled")&gt;0,"Cancelled",IF(E218="All Stages Closed","Completed",IF(E218="S1 Schematic",M218,IF(E218="S2 PCB Layout",R218,IF(E218="S3 SI &amp; PI",W218,IF(E218="S4 Bare-PCB Fab",AB218,IF(E218="S5 Assembly",AG218,IF(E218="S6 Bring-up",AL218,AQ218)))))))))</f>
        <v/>
      </c>
      <c r="G218" s="33" t="str">
        <f aca="false">IF($C218="","",IF(E218="All Stages Closed","",IF(E218="S1 Schematic",IF(N218="","Not added",N218),IF(E218="S2 PCB Layout",IF(S218="","Not added",S218),IF(E218="S3 SI &amp; PI",IF(X218="","Not added",X218),IF(E218="S4 Bare-PCB Fab",IF(AC218="","Not added",AC218),IF(E218="S5 Assembly",IF(AH218="","Not added",AH218),IF(E218="S6 Bring-up",IF(AM218="","Not added",AM218),IF(AR218="","Not added",AR218)))))))))</f>
        <v/>
      </c>
      <c r="H218" s="32" t="str">
        <f aca="true">IF($C218="","",IF(OR(F218="Completed",F218="Cancelled"),"",IF(NOT(ISNUMBER(G218)),"No date set",IF(TODAY()&gt;G218,TODAY()-G218&amp;" days late",G218-TODAY()&amp;" days left"))))</f>
        <v/>
      </c>
      <c r="I218" s="31" t="str">
        <f aca="false">IF($C218="","",COUNTIF(M218,"Completed")+COUNTIF(R218,"Completed")+COUNTIF(W218,"Completed")+COUNTIF(AB218,"Completed")+COUNTIF(AG218,"Completed")+COUNTIF(AL218,"Completed")+COUNTIF(AQ218,"Completed"))</f>
        <v/>
      </c>
      <c r="J218" s="31" t="str">
        <f aca="false">IF($C218="","",7-(COUNTIF(M218,"NA")+COUNTIF(R218,"NA")+COUNTIF(W218,"NA")+COUNTIF(AB218,"NA")+COUNTIF(AG218,"NA")+COUNTIF(AL218,"NA")+COUNTIF(AQ218,"NA")))</f>
        <v/>
      </c>
      <c r="K218" s="34" t="str">
        <f aca="false">IFERROR(I218/J218,"")</f>
        <v/>
      </c>
      <c r="L218" s="29"/>
      <c r="M218" s="35"/>
      <c r="N218" s="36"/>
      <c r="O218" s="36"/>
      <c r="P218" s="30"/>
      <c r="Q218" s="29"/>
      <c r="R218" s="35"/>
      <c r="S218" s="36"/>
      <c r="T218" s="36"/>
      <c r="U218" s="30"/>
      <c r="V218" s="29"/>
      <c r="W218" s="35"/>
      <c r="X218" s="36"/>
      <c r="Y218" s="36"/>
      <c r="Z218" s="30"/>
      <c r="AA218" s="29"/>
      <c r="AB218" s="35"/>
      <c r="AC218" s="36"/>
      <c r="AD218" s="36"/>
      <c r="AE218" s="30"/>
      <c r="AF218" s="29"/>
      <c r="AG218" s="35"/>
      <c r="AH218" s="36"/>
      <c r="AI218" s="36"/>
      <c r="AJ218" s="30"/>
      <c r="AK218" s="29"/>
      <c r="AL218" s="35"/>
      <c r="AM218" s="36"/>
      <c r="AN218" s="36"/>
      <c r="AO218" s="30"/>
      <c r="AP218" s="29"/>
      <c r="AQ218" s="35"/>
      <c r="AR218" s="36"/>
      <c r="AS218" s="36"/>
      <c r="AT218" s="30"/>
      <c r="AU218" s="29"/>
      <c r="AV218" s="29"/>
      <c r="AW218" s="29"/>
      <c r="AX218" s="37"/>
      <c r="AY218" s="29"/>
      <c r="AZ218" s="38" t="str">
        <f aca="false">IF($C218="","",IF(OR(F218="Completed",F218="Cancelled"),"",IF(AND(OR(F218="On Hold",ISNUMBER(VALUE(LEFT(H218,2)))),AY218=""),"Reason not given","")))</f>
        <v/>
      </c>
      <c r="BA218" s="30"/>
    </row>
    <row r="219" customFormat="false" ht="19.5" hidden="false" customHeight="true" outlineLevel="0" collapsed="false">
      <c r="A219" s="28" t="str">
        <f aca="false">IF($C219="","",COUNTA($C$17:$C219))</f>
        <v/>
      </c>
      <c r="B219" s="29"/>
      <c r="C219" s="30"/>
      <c r="D219" s="29"/>
      <c r="E219" s="31" t="str">
        <f aca="false">IF($C219="","",IF(NOT(OR(M219="Completed",M219="NA",M219="Cancelled")),"S1 Schematic",IF(NOT(OR(R219="Completed",R219="NA",R219="Cancelled")),"S2 PCB Layout",IF(NOT(OR(W219="Completed",W219="NA",W219="Cancelled")),"S3 SI &amp; PI",IF(NOT(OR(AB219="Completed",AB219="NA",AB219="Cancelled")),"S4 Bare-PCB Fab",IF(NOT(OR(AG219="Completed",AG219="NA",AG219="Cancelled")),"S5 Assembly",IF(NOT(OR(AL219="Completed",AL219="NA",AL219="Cancelled")),"S6 Bring-up",IF(NOT(OR(AQ219="Completed",AQ219="NA",AQ219="Cancelled")),"S7 BOM Procurement","All Stages Closed"))))))))</f>
        <v/>
      </c>
      <c r="F219" s="32" t="str">
        <f aca="false">IF($C219="","",IF(COUNTIF(M219,"Cancelled")+COUNTIF(R219,"Cancelled")+COUNTIF(W219,"Cancelled")+COUNTIF(AB219,"Cancelled")+COUNTIF(AG219,"Cancelled")+COUNTIF(AL219,"Cancelled")+COUNTIF(AQ219,"Cancelled")&gt;0,"Cancelled",IF(E219="All Stages Closed","Completed",IF(E219="S1 Schematic",M219,IF(E219="S2 PCB Layout",R219,IF(E219="S3 SI &amp; PI",W219,IF(E219="S4 Bare-PCB Fab",AB219,IF(E219="S5 Assembly",AG219,IF(E219="S6 Bring-up",AL219,AQ219)))))))))</f>
        <v/>
      </c>
      <c r="G219" s="33" t="str">
        <f aca="false">IF($C219="","",IF(E219="All Stages Closed","",IF(E219="S1 Schematic",IF(N219="","Not added",N219),IF(E219="S2 PCB Layout",IF(S219="","Not added",S219),IF(E219="S3 SI &amp; PI",IF(X219="","Not added",X219),IF(E219="S4 Bare-PCB Fab",IF(AC219="","Not added",AC219),IF(E219="S5 Assembly",IF(AH219="","Not added",AH219),IF(E219="S6 Bring-up",IF(AM219="","Not added",AM219),IF(AR219="","Not added",AR219)))))))))</f>
        <v/>
      </c>
      <c r="H219" s="32" t="str">
        <f aca="true">IF($C219="","",IF(OR(F219="Completed",F219="Cancelled"),"",IF(NOT(ISNUMBER(G219)),"No date set",IF(TODAY()&gt;G219,TODAY()-G219&amp;" days late",G219-TODAY()&amp;" days left"))))</f>
        <v/>
      </c>
      <c r="I219" s="31" t="str">
        <f aca="false">IF($C219="","",COUNTIF(M219,"Completed")+COUNTIF(R219,"Completed")+COUNTIF(W219,"Completed")+COUNTIF(AB219,"Completed")+COUNTIF(AG219,"Completed")+COUNTIF(AL219,"Completed")+COUNTIF(AQ219,"Completed"))</f>
        <v/>
      </c>
      <c r="J219" s="31" t="str">
        <f aca="false">IF($C219="","",7-(COUNTIF(M219,"NA")+COUNTIF(R219,"NA")+COUNTIF(W219,"NA")+COUNTIF(AB219,"NA")+COUNTIF(AG219,"NA")+COUNTIF(AL219,"NA")+COUNTIF(AQ219,"NA")))</f>
        <v/>
      </c>
      <c r="K219" s="34" t="str">
        <f aca="false">IFERROR(I219/J219,"")</f>
        <v/>
      </c>
      <c r="L219" s="29"/>
      <c r="M219" s="35"/>
      <c r="N219" s="36"/>
      <c r="O219" s="36"/>
      <c r="P219" s="30"/>
      <c r="Q219" s="29"/>
      <c r="R219" s="35"/>
      <c r="S219" s="36"/>
      <c r="T219" s="36"/>
      <c r="U219" s="30"/>
      <c r="V219" s="29"/>
      <c r="W219" s="35"/>
      <c r="X219" s="36"/>
      <c r="Y219" s="36"/>
      <c r="Z219" s="30"/>
      <c r="AA219" s="29"/>
      <c r="AB219" s="35"/>
      <c r="AC219" s="36"/>
      <c r="AD219" s="36"/>
      <c r="AE219" s="30"/>
      <c r="AF219" s="29"/>
      <c r="AG219" s="35"/>
      <c r="AH219" s="36"/>
      <c r="AI219" s="36"/>
      <c r="AJ219" s="30"/>
      <c r="AK219" s="29"/>
      <c r="AL219" s="35"/>
      <c r="AM219" s="36"/>
      <c r="AN219" s="36"/>
      <c r="AO219" s="30"/>
      <c r="AP219" s="29"/>
      <c r="AQ219" s="35"/>
      <c r="AR219" s="36"/>
      <c r="AS219" s="36"/>
      <c r="AT219" s="30"/>
      <c r="AU219" s="29"/>
      <c r="AV219" s="29"/>
      <c r="AW219" s="29"/>
      <c r="AX219" s="37"/>
      <c r="AY219" s="29"/>
      <c r="AZ219" s="38" t="str">
        <f aca="false">IF($C219="","",IF(OR(F219="Completed",F219="Cancelled"),"",IF(AND(OR(F219="On Hold",ISNUMBER(VALUE(LEFT(H219,2)))),AY219=""),"Reason not given","")))</f>
        <v/>
      </c>
      <c r="BA219" s="30"/>
    </row>
    <row r="220" customFormat="false" ht="19.5" hidden="false" customHeight="true" outlineLevel="0" collapsed="false">
      <c r="A220" s="28" t="str">
        <f aca="false">IF($C220="","",COUNTA($C$17:$C220))</f>
        <v/>
      </c>
      <c r="B220" s="29"/>
      <c r="C220" s="30"/>
      <c r="D220" s="29"/>
      <c r="E220" s="31" t="str">
        <f aca="false">IF($C220="","",IF(NOT(OR(M220="Completed",M220="NA",M220="Cancelled")),"S1 Schematic",IF(NOT(OR(R220="Completed",R220="NA",R220="Cancelled")),"S2 PCB Layout",IF(NOT(OR(W220="Completed",W220="NA",W220="Cancelled")),"S3 SI &amp; PI",IF(NOT(OR(AB220="Completed",AB220="NA",AB220="Cancelled")),"S4 Bare-PCB Fab",IF(NOT(OR(AG220="Completed",AG220="NA",AG220="Cancelled")),"S5 Assembly",IF(NOT(OR(AL220="Completed",AL220="NA",AL220="Cancelled")),"S6 Bring-up",IF(NOT(OR(AQ220="Completed",AQ220="NA",AQ220="Cancelled")),"S7 BOM Procurement","All Stages Closed"))))))))</f>
        <v/>
      </c>
      <c r="F220" s="32" t="str">
        <f aca="false">IF($C220="","",IF(COUNTIF(M220,"Cancelled")+COUNTIF(R220,"Cancelled")+COUNTIF(W220,"Cancelled")+COUNTIF(AB220,"Cancelled")+COUNTIF(AG220,"Cancelled")+COUNTIF(AL220,"Cancelled")+COUNTIF(AQ220,"Cancelled")&gt;0,"Cancelled",IF(E220="All Stages Closed","Completed",IF(E220="S1 Schematic",M220,IF(E220="S2 PCB Layout",R220,IF(E220="S3 SI &amp; PI",W220,IF(E220="S4 Bare-PCB Fab",AB220,IF(E220="S5 Assembly",AG220,IF(E220="S6 Bring-up",AL220,AQ220)))))))))</f>
        <v/>
      </c>
      <c r="G220" s="33" t="str">
        <f aca="false">IF($C220="","",IF(E220="All Stages Closed","",IF(E220="S1 Schematic",IF(N220="","Not added",N220),IF(E220="S2 PCB Layout",IF(S220="","Not added",S220),IF(E220="S3 SI &amp; PI",IF(X220="","Not added",X220),IF(E220="S4 Bare-PCB Fab",IF(AC220="","Not added",AC220),IF(E220="S5 Assembly",IF(AH220="","Not added",AH220),IF(E220="S6 Bring-up",IF(AM220="","Not added",AM220),IF(AR220="","Not added",AR220)))))))))</f>
        <v/>
      </c>
      <c r="H220" s="32" t="str">
        <f aca="true">IF($C220="","",IF(OR(F220="Completed",F220="Cancelled"),"",IF(NOT(ISNUMBER(G220)),"No date set",IF(TODAY()&gt;G220,TODAY()-G220&amp;" days late",G220-TODAY()&amp;" days left"))))</f>
        <v/>
      </c>
      <c r="I220" s="31" t="str">
        <f aca="false">IF($C220="","",COUNTIF(M220,"Completed")+COUNTIF(R220,"Completed")+COUNTIF(W220,"Completed")+COUNTIF(AB220,"Completed")+COUNTIF(AG220,"Completed")+COUNTIF(AL220,"Completed")+COUNTIF(AQ220,"Completed"))</f>
        <v/>
      </c>
      <c r="J220" s="31" t="str">
        <f aca="false">IF($C220="","",7-(COUNTIF(M220,"NA")+COUNTIF(R220,"NA")+COUNTIF(W220,"NA")+COUNTIF(AB220,"NA")+COUNTIF(AG220,"NA")+COUNTIF(AL220,"NA")+COUNTIF(AQ220,"NA")))</f>
        <v/>
      </c>
      <c r="K220" s="34" t="str">
        <f aca="false">IFERROR(I220/J220,"")</f>
        <v/>
      </c>
      <c r="L220" s="29"/>
      <c r="M220" s="35"/>
      <c r="N220" s="36"/>
      <c r="O220" s="36"/>
      <c r="P220" s="30"/>
      <c r="Q220" s="29"/>
      <c r="R220" s="35"/>
      <c r="S220" s="36"/>
      <c r="T220" s="36"/>
      <c r="U220" s="30"/>
      <c r="V220" s="29"/>
      <c r="W220" s="35"/>
      <c r="X220" s="36"/>
      <c r="Y220" s="36"/>
      <c r="Z220" s="30"/>
      <c r="AA220" s="29"/>
      <c r="AB220" s="35"/>
      <c r="AC220" s="36"/>
      <c r="AD220" s="36"/>
      <c r="AE220" s="30"/>
      <c r="AF220" s="29"/>
      <c r="AG220" s="35"/>
      <c r="AH220" s="36"/>
      <c r="AI220" s="36"/>
      <c r="AJ220" s="30"/>
      <c r="AK220" s="29"/>
      <c r="AL220" s="35"/>
      <c r="AM220" s="36"/>
      <c r="AN220" s="36"/>
      <c r="AO220" s="30"/>
      <c r="AP220" s="29"/>
      <c r="AQ220" s="35"/>
      <c r="AR220" s="36"/>
      <c r="AS220" s="36"/>
      <c r="AT220" s="30"/>
      <c r="AU220" s="29"/>
      <c r="AV220" s="29"/>
      <c r="AW220" s="29"/>
      <c r="AX220" s="37"/>
      <c r="AY220" s="29"/>
      <c r="AZ220" s="38" t="str">
        <f aca="false">IF($C220="","",IF(OR(F220="Completed",F220="Cancelled"),"",IF(AND(OR(F220="On Hold",ISNUMBER(VALUE(LEFT(H220,2)))),AY220=""),"Reason not given","")))</f>
        <v/>
      </c>
      <c r="BA220" s="30"/>
    </row>
    <row r="221" customFormat="false" ht="19.5" hidden="false" customHeight="true" outlineLevel="0" collapsed="false">
      <c r="A221" s="28" t="str">
        <f aca="false">IF($C221="","",COUNTA($C$17:$C221))</f>
        <v/>
      </c>
      <c r="B221" s="29"/>
      <c r="C221" s="30"/>
      <c r="D221" s="29"/>
      <c r="E221" s="31" t="str">
        <f aca="false">IF($C221="","",IF(NOT(OR(M221="Completed",M221="NA",M221="Cancelled")),"S1 Schematic",IF(NOT(OR(R221="Completed",R221="NA",R221="Cancelled")),"S2 PCB Layout",IF(NOT(OR(W221="Completed",W221="NA",W221="Cancelled")),"S3 SI &amp; PI",IF(NOT(OR(AB221="Completed",AB221="NA",AB221="Cancelled")),"S4 Bare-PCB Fab",IF(NOT(OR(AG221="Completed",AG221="NA",AG221="Cancelled")),"S5 Assembly",IF(NOT(OR(AL221="Completed",AL221="NA",AL221="Cancelled")),"S6 Bring-up",IF(NOT(OR(AQ221="Completed",AQ221="NA",AQ221="Cancelled")),"S7 BOM Procurement","All Stages Closed"))))))))</f>
        <v/>
      </c>
      <c r="F221" s="32" t="str">
        <f aca="false">IF($C221="","",IF(COUNTIF(M221,"Cancelled")+COUNTIF(R221,"Cancelled")+COUNTIF(W221,"Cancelled")+COUNTIF(AB221,"Cancelled")+COUNTIF(AG221,"Cancelled")+COUNTIF(AL221,"Cancelled")+COUNTIF(AQ221,"Cancelled")&gt;0,"Cancelled",IF(E221="All Stages Closed","Completed",IF(E221="S1 Schematic",M221,IF(E221="S2 PCB Layout",R221,IF(E221="S3 SI &amp; PI",W221,IF(E221="S4 Bare-PCB Fab",AB221,IF(E221="S5 Assembly",AG221,IF(E221="S6 Bring-up",AL221,AQ221)))))))))</f>
        <v/>
      </c>
      <c r="G221" s="33" t="str">
        <f aca="false">IF($C221="","",IF(E221="All Stages Closed","",IF(E221="S1 Schematic",IF(N221="","Not added",N221),IF(E221="S2 PCB Layout",IF(S221="","Not added",S221),IF(E221="S3 SI &amp; PI",IF(X221="","Not added",X221),IF(E221="S4 Bare-PCB Fab",IF(AC221="","Not added",AC221),IF(E221="S5 Assembly",IF(AH221="","Not added",AH221),IF(E221="S6 Bring-up",IF(AM221="","Not added",AM221),IF(AR221="","Not added",AR221)))))))))</f>
        <v/>
      </c>
      <c r="H221" s="32" t="str">
        <f aca="true">IF($C221="","",IF(OR(F221="Completed",F221="Cancelled"),"",IF(NOT(ISNUMBER(G221)),"No date set",IF(TODAY()&gt;G221,TODAY()-G221&amp;" days late",G221-TODAY()&amp;" days left"))))</f>
        <v/>
      </c>
      <c r="I221" s="31" t="str">
        <f aca="false">IF($C221="","",COUNTIF(M221,"Completed")+COUNTIF(R221,"Completed")+COUNTIF(W221,"Completed")+COUNTIF(AB221,"Completed")+COUNTIF(AG221,"Completed")+COUNTIF(AL221,"Completed")+COUNTIF(AQ221,"Completed"))</f>
        <v/>
      </c>
      <c r="J221" s="31" t="str">
        <f aca="false">IF($C221="","",7-(COUNTIF(M221,"NA")+COUNTIF(R221,"NA")+COUNTIF(W221,"NA")+COUNTIF(AB221,"NA")+COUNTIF(AG221,"NA")+COUNTIF(AL221,"NA")+COUNTIF(AQ221,"NA")))</f>
        <v/>
      </c>
      <c r="K221" s="34" t="str">
        <f aca="false">IFERROR(I221/J221,"")</f>
        <v/>
      </c>
      <c r="L221" s="29"/>
      <c r="M221" s="35"/>
      <c r="N221" s="36"/>
      <c r="O221" s="36"/>
      <c r="P221" s="30"/>
      <c r="Q221" s="29"/>
      <c r="R221" s="35"/>
      <c r="S221" s="36"/>
      <c r="T221" s="36"/>
      <c r="U221" s="30"/>
      <c r="V221" s="29"/>
      <c r="W221" s="35"/>
      <c r="X221" s="36"/>
      <c r="Y221" s="36"/>
      <c r="Z221" s="30"/>
      <c r="AA221" s="29"/>
      <c r="AB221" s="35"/>
      <c r="AC221" s="36"/>
      <c r="AD221" s="36"/>
      <c r="AE221" s="30"/>
      <c r="AF221" s="29"/>
      <c r="AG221" s="35"/>
      <c r="AH221" s="36"/>
      <c r="AI221" s="36"/>
      <c r="AJ221" s="30"/>
      <c r="AK221" s="29"/>
      <c r="AL221" s="35"/>
      <c r="AM221" s="36"/>
      <c r="AN221" s="36"/>
      <c r="AO221" s="30"/>
      <c r="AP221" s="29"/>
      <c r="AQ221" s="35"/>
      <c r="AR221" s="36"/>
      <c r="AS221" s="36"/>
      <c r="AT221" s="30"/>
      <c r="AU221" s="29"/>
      <c r="AV221" s="29"/>
      <c r="AW221" s="29"/>
      <c r="AX221" s="37"/>
      <c r="AY221" s="29"/>
      <c r="AZ221" s="38" t="str">
        <f aca="false">IF($C221="","",IF(OR(F221="Completed",F221="Cancelled"),"",IF(AND(OR(F221="On Hold",ISNUMBER(VALUE(LEFT(H221,2)))),AY221=""),"Reason not given","")))</f>
        <v/>
      </c>
      <c r="BA221" s="30"/>
    </row>
    <row r="222" customFormat="false" ht="19.5" hidden="false" customHeight="true" outlineLevel="0" collapsed="false">
      <c r="A222" s="28" t="str">
        <f aca="false">IF($C222="","",COUNTA($C$17:$C222))</f>
        <v/>
      </c>
      <c r="B222" s="29"/>
      <c r="C222" s="30"/>
      <c r="D222" s="29"/>
      <c r="E222" s="31" t="str">
        <f aca="false">IF($C222="","",IF(NOT(OR(M222="Completed",M222="NA",M222="Cancelled")),"S1 Schematic",IF(NOT(OR(R222="Completed",R222="NA",R222="Cancelled")),"S2 PCB Layout",IF(NOT(OR(W222="Completed",W222="NA",W222="Cancelled")),"S3 SI &amp; PI",IF(NOT(OR(AB222="Completed",AB222="NA",AB222="Cancelled")),"S4 Bare-PCB Fab",IF(NOT(OR(AG222="Completed",AG222="NA",AG222="Cancelled")),"S5 Assembly",IF(NOT(OR(AL222="Completed",AL222="NA",AL222="Cancelled")),"S6 Bring-up",IF(NOT(OR(AQ222="Completed",AQ222="NA",AQ222="Cancelled")),"S7 BOM Procurement","All Stages Closed"))))))))</f>
        <v/>
      </c>
      <c r="F222" s="32" t="str">
        <f aca="false">IF($C222="","",IF(COUNTIF(M222,"Cancelled")+COUNTIF(R222,"Cancelled")+COUNTIF(W222,"Cancelled")+COUNTIF(AB222,"Cancelled")+COUNTIF(AG222,"Cancelled")+COUNTIF(AL222,"Cancelled")+COUNTIF(AQ222,"Cancelled")&gt;0,"Cancelled",IF(E222="All Stages Closed","Completed",IF(E222="S1 Schematic",M222,IF(E222="S2 PCB Layout",R222,IF(E222="S3 SI &amp; PI",W222,IF(E222="S4 Bare-PCB Fab",AB222,IF(E222="S5 Assembly",AG222,IF(E222="S6 Bring-up",AL222,AQ222)))))))))</f>
        <v/>
      </c>
      <c r="G222" s="33" t="str">
        <f aca="false">IF($C222="","",IF(E222="All Stages Closed","",IF(E222="S1 Schematic",IF(N222="","Not added",N222),IF(E222="S2 PCB Layout",IF(S222="","Not added",S222),IF(E222="S3 SI &amp; PI",IF(X222="","Not added",X222),IF(E222="S4 Bare-PCB Fab",IF(AC222="","Not added",AC222),IF(E222="S5 Assembly",IF(AH222="","Not added",AH222),IF(E222="S6 Bring-up",IF(AM222="","Not added",AM222),IF(AR222="","Not added",AR222)))))))))</f>
        <v/>
      </c>
      <c r="H222" s="32" t="str">
        <f aca="true">IF($C222="","",IF(OR(F222="Completed",F222="Cancelled"),"",IF(NOT(ISNUMBER(G222)),"No date set",IF(TODAY()&gt;G222,TODAY()-G222&amp;" days late",G222-TODAY()&amp;" days left"))))</f>
        <v/>
      </c>
      <c r="I222" s="31" t="str">
        <f aca="false">IF($C222="","",COUNTIF(M222,"Completed")+COUNTIF(R222,"Completed")+COUNTIF(W222,"Completed")+COUNTIF(AB222,"Completed")+COUNTIF(AG222,"Completed")+COUNTIF(AL222,"Completed")+COUNTIF(AQ222,"Completed"))</f>
        <v/>
      </c>
      <c r="J222" s="31" t="str">
        <f aca="false">IF($C222="","",7-(COUNTIF(M222,"NA")+COUNTIF(R222,"NA")+COUNTIF(W222,"NA")+COUNTIF(AB222,"NA")+COUNTIF(AG222,"NA")+COUNTIF(AL222,"NA")+COUNTIF(AQ222,"NA")))</f>
        <v/>
      </c>
      <c r="K222" s="34" t="str">
        <f aca="false">IFERROR(I222/J222,"")</f>
        <v/>
      </c>
      <c r="L222" s="29"/>
      <c r="M222" s="35"/>
      <c r="N222" s="36"/>
      <c r="O222" s="36"/>
      <c r="P222" s="30"/>
      <c r="Q222" s="29"/>
      <c r="R222" s="35"/>
      <c r="S222" s="36"/>
      <c r="T222" s="36"/>
      <c r="U222" s="30"/>
      <c r="V222" s="29"/>
      <c r="W222" s="35"/>
      <c r="X222" s="36"/>
      <c r="Y222" s="36"/>
      <c r="Z222" s="30"/>
      <c r="AA222" s="29"/>
      <c r="AB222" s="35"/>
      <c r="AC222" s="36"/>
      <c r="AD222" s="36"/>
      <c r="AE222" s="30"/>
      <c r="AF222" s="29"/>
      <c r="AG222" s="35"/>
      <c r="AH222" s="36"/>
      <c r="AI222" s="36"/>
      <c r="AJ222" s="30"/>
      <c r="AK222" s="29"/>
      <c r="AL222" s="35"/>
      <c r="AM222" s="36"/>
      <c r="AN222" s="36"/>
      <c r="AO222" s="30"/>
      <c r="AP222" s="29"/>
      <c r="AQ222" s="35"/>
      <c r="AR222" s="36"/>
      <c r="AS222" s="36"/>
      <c r="AT222" s="30"/>
      <c r="AU222" s="29"/>
      <c r="AV222" s="29"/>
      <c r="AW222" s="29"/>
      <c r="AX222" s="37"/>
      <c r="AY222" s="29"/>
      <c r="AZ222" s="38" t="str">
        <f aca="false">IF($C222="","",IF(OR(F222="Completed",F222="Cancelled"),"",IF(AND(OR(F222="On Hold",ISNUMBER(VALUE(LEFT(H222,2)))),AY222=""),"Reason not given","")))</f>
        <v/>
      </c>
      <c r="BA222" s="30"/>
    </row>
    <row r="223" customFormat="false" ht="19.5" hidden="false" customHeight="true" outlineLevel="0" collapsed="false">
      <c r="A223" s="28" t="str">
        <f aca="false">IF($C223="","",COUNTA($C$17:$C223))</f>
        <v/>
      </c>
      <c r="B223" s="29"/>
      <c r="C223" s="30"/>
      <c r="D223" s="29"/>
      <c r="E223" s="31" t="str">
        <f aca="false">IF($C223="","",IF(NOT(OR(M223="Completed",M223="NA",M223="Cancelled")),"S1 Schematic",IF(NOT(OR(R223="Completed",R223="NA",R223="Cancelled")),"S2 PCB Layout",IF(NOT(OR(W223="Completed",W223="NA",W223="Cancelled")),"S3 SI &amp; PI",IF(NOT(OR(AB223="Completed",AB223="NA",AB223="Cancelled")),"S4 Bare-PCB Fab",IF(NOT(OR(AG223="Completed",AG223="NA",AG223="Cancelled")),"S5 Assembly",IF(NOT(OR(AL223="Completed",AL223="NA",AL223="Cancelled")),"S6 Bring-up",IF(NOT(OR(AQ223="Completed",AQ223="NA",AQ223="Cancelled")),"S7 BOM Procurement","All Stages Closed"))))))))</f>
        <v/>
      </c>
      <c r="F223" s="32" t="str">
        <f aca="false">IF($C223="","",IF(COUNTIF(M223,"Cancelled")+COUNTIF(R223,"Cancelled")+COUNTIF(W223,"Cancelled")+COUNTIF(AB223,"Cancelled")+COUNTIF(AG223,"Cancelled")+COUNTIF(AL223,"Cancelled")+COUNTIF(AQ223,"Cancelled")&gt;0,"Cancelled",IF(E223="All Stages Closed","Completed",IF(E223="S1 Schematic",M223,IF(E223="S2 PCB Layout",R223,IF(E223="S3 SI &amp; PI",W223,IF(E223="S4 Bare-PCB Fab",AB223,IF(E223="S5 Assembly",AG223,IF(E223="S6 Bring-up",AL223,AQ223)))))))))</f>
        <v/>
      </c>
      <c r="G223" s="33" t="str">
        <f aca="false">IF($C223="","",IF(E223="All Stages Closed","",IF(E223="S1 Schematic",IF(N223="","Not added",N223),IF(E223="S2 PCB Layout",IF(S223="","Not added",S223),IF(E223="S3 SI &amp; PI",IF(X223="","Not added",X223),IF(E223="S4 Bare-PCB Fab",IF(AC223="","Not added",AC223),IF(E223="S5 Assembly",IF(AH223="","Not added",AH223),IF(E223="S6 Bring-up",IF(AM223="","Not added",AM223),IF(AR223="","Not added",AR223)))))))))</f>
        <v/>
      </c>
      <c r="H223" s="32" t="str">
        <f aca="true">IF($C223="","",IF(OR(F223="Completed",F223="Cancelled"),"",IF(NOT(ISNUMBER(G223)),"No date set",IF(TODAY()&gt;G223,TODAY()-G223&amp;" days late",G223-TODAY()&amp;" days left"))))</f>
        <v/>
      </c>
      <c r="I223" s="31" t="str">
        <f aca="false">IF($C223="","",COUNTIF(M223,"Completed")+COUNTIF(R223,"Completed")+COUNTIF(W223,"Completed")+COUNTIF(AB223,"Completed")+COUNTIF(AG223,"Completed")+COUNTIF(AL223,"Completed")+COUNTIF(AQ223,"Completed"))</f>
        <v/>
      </c>
      <c r="J223" s="31" t="str">
        <f aca="false">IF($C223="","",7-(COUNTIF(M223,"NA")+COUNTIF(R223,"NA")+COUNTIF(W223,"NA")+COUNTIF(AB223,"NA")+COUNTIF(AG223,"NA")+COUNTIF(AL223,"NA")+COUNTIF(AQ223,"NA")))</f>
        <v/>
      </c>
      <c r="K223" s="34" t="str">
        <f aca="false">IFERROR(I223/J223,"")</f>
        <v/>
      </c>
      <c r="L223" s="29"/>
      <c r="M223" s="35"/>
      <c r="N223" s="36"/>
      <c r="O223" s="36"/>
      <c r="P223" s="30"/>
      <c r="Q223" s="29"/>
      <c r="R223" s="35"/>
      <c r="S223" s="36"/>
      <c r="T223" s="36"/>
      <c r="U223" s="30"/>
      <c r="V223" s="29"/>
      <c r="W223" s="35"/>
      <c r="X223" s="36"/>
      <c r="Y223" s="36"/>
      <c r="Z223" s="30"/>
      <c r="AA223" s="29"/>
      <c r="AB223" s="35"/>
      <c r="AC223" s="36"/>
      <c r="AD223" s="36"/>
      <c r="AE223" s="30"/>
      <c r="AF223" s="29"/>
      <c r="AG223" s="35"/>
      <c r="AH223" s="36"/>
      <c r="AI223" s="36"/>
      <c r="AJ223" s="30"/>
      <c r="AK223" s="29"/>
      <c r="AL223" s="35"/>
      <c r="AM223" s="36"/>
      <c r="AN223" s="36"/>
      <c r="AO223" s="30"/>
      <c r="AP223" s="29"/>
      <c r="AQ223" s="35"/>
      <c r="AR223" s="36"/>
      <c r="AS223" s="36"/>
      <c r="AT223" s="30"/>
      <c r="AU223" s="29"/>
      <c r="AV223" s="29"/>
      <c r="AW223" s="29"/>
      <c r="AX223" s="37"/>
      <c r="AY223" s="29"/>
      <c r="AZ223" s="38" t="str">
        <f aca="false">IF($C223="","",IF(OR(F223="Completed",F223="Cancelled"),"",IF(AND(OR(F223="On Hold",ISNUMBER(VALUE(LEFT(H223,2)))),AY223=""),"Reason not given","")))</f>
        <v/>
      </c>
      <c r="BA223" s="30"/>
    </row>
    <row r="224" customFormat="false" ht="19.5" hidden="false" customHeight="true" outlineLevel="0" collapsed="false">
      <c r="A224" s="28" t="str">
        <f aca="false">IF($C224="","",COUNTA($C$17:$C224))</f>
        <v/>
      </c>
      <c r="B224" s="29"/>
      <c r="C224" s="30"/>
      <c r="D224" s="29"/>
      <c r="E224" s="31" t="str">
        <f aca="false">IF($C224="","",IF(NOT(OR(M224="Completed",M224="NA",M224="Cancelled")),"S1 Schematic",IF(NOT(OR(R224="Completed",R224="NA",R224="Cancelled")),"S2 PCB Layout",IF(NOT(OR(W224="Completed",W224="NA",W224="Cancelled")),"S3 SI &amp; PI",IF(NOT(OR(AB224="Completed",AB224="NA",AB224="Cancelled")),"S4 Bare-PCB Fab",IF(NOT(OR(AG224="Completed",AG224="NA",AG224="Cancelled")),"S5 Assembly",IF(NOT(OR(AL224="Completed",AL224="NA",AL224="Cancelled")),"S6 Bring-up",IF(NOT(OR(AQ224="Completed",AQ224="NA",AQ224="Cancelled")),"S7 BOM Procurement","All Stages Closed"))))))))</f>
        <v/>
      </c>
      <c r="F224" s="32" t="str">
        <f aca="false">IF($C224="","",IF(COUNTIF(M224,"Cancelled")+COUNTIF(R224,"Cancelled")+COUNTIF(W224,"Cancelled")+COUNTIF(AB224,"Cancelled")+COUNTIF(AG224,"Cancelled")+COUNTIF(AL224,"Cancelled")+COUNTIF(AQ224,"Cancelled")&gt;0,"Cancelled",IF(E224="All Stages Closed","Completed",IF(E224="S1 Schematic",M224,IF(E224="S2 PCB Layout",R224,IF(E224="S3 SI &amp; PI",W224,IF(E224="S4 Bare-PCB Fab",AB224,IF(E224="S5 Assembly",AG224,IF(E224="S6 Bring-up",AL224,AQ224)))))))))</f>
        <v/>
      </c>
      <c r="G224" s="33" t="str">
        <f aca="false">IF($C224="","",IF(E224="All Stages Closed","",IF(E224="S1 Schematic",IF(N224="","Not added",N224),IF(E224="S2 PCB Layout",IF(S224="","Not added",S224),IF(E224="S3 SI &amp; PI",IF(X224="","Not added",X224),IF(E224="S4 Bare-PCB Fab",IF(AC224="","Not added",AC224),IF(E224="S5 Assembly",IF(AH224="","Not added",AH224),IF(E224="S6 Bring-up",IF(AM224="","Not added",AM224),IF(AR224="","Not added",AR224)))))))))</f>
        <v/>
      </c>
      <c r="H224" s="32" t="str">
        <f aca="true">IF($C224="","",IF(OR(F224="Completed",F224="Cancelled"),"",IF(NOT(ISNUMBER(G224)),"No date set",IF(TODAY()&gt;G224,TODAY()-G224&amp;" days late",G224-TODAY()&amp;" days left"))))</f>
        <v/>
      </c>
      <c r="I224" s="31" t="str">
        <f aca="false">IF($C224="","",COUNTIF(M224,"Completed")+COUNTIF(R224,"Completed")+COUNTIF(W224,"Completed")+COUNTIF(AB224,"Completed")+COUNTIF(AG224,"Completed")+COUNTIF(AL224,"Completed")+COUNTIF(AQ224,"Completed"))</f>
        <v/>
      </c>
      <c r="J224" s="31" t="str">
        <f aca="false">IF($C224="","",7-(COUNTIF(M224,"NA")+COUNTIF(R224,"NA")+COUNTIF(W224,"NA")+COUNTIF(AB224,"NA")+COUNTIF(AG224,"NA")+COUNTIF(AL224,"NA")+COUNTIF(AQ224,"NA")))</f>
        <v/>
      </c>
      <c r="K224" s="34" t="str">
        <f aca="false">IFERROR(I224/J224,"")</f>
        <v/>
      </c>
      <c r="L224" s="29"/>
      <c r="M224" s="35"/>
      <c r="N224" s="36"/>
      <c r="O224" s="36"/>
      <c r="P224" s="30"/>
      <c r="Q224" s="29"/>
      <c r="R224" s="35"/>
      <c r="S224" s="36"/>
      <c r="T224" s="36"/>
      <c r="U224" s="30"/>
      <c r="V224" s="29"/>
      <c r="W224" s="35"/>
      <c r="X224" s="36"/>
      <c r="Y224" s="36"/>
      <c r="Z224" s="30"/>
      <c r="AA224" s="29"/>
      <c r="AB224" s="35"/>
      <c r="AC224" s="36"/>
      <c r="AD224" s="36"/>
      <c r="AE224" s="30"/>
      <c r="AF224" s="29"/>
      <c r="AG224" s="35"/>
      <c r="AH224" s="36"/>
      <c r="AI224" s="36"/>
      <c r="AJ224" s="30"/>
      <c r="AK224" s="29"/>
      <c r="AL224" s="35"/>
      <c r="AM224" s="36"/>
      <c r="AN224" s="36"/>
      <c r="AO224" s="30"/>
      <c r="AP224" s="29"/>
      <c r="AQ224" s="35"/>
      <c r="AR224" s="36"/>
      <c r="AS224" s="36"/>
      <c r="AT224" s="30"/>
      <c r="AU224" s="29"/>
      <c r="AV224" s="29"/>
      <c r="AW224" s="29"/>
      <c r="AX224" s="37"/>
      <c r="AY224" s="29"/>
      <c r="AZ224" s="38" t="str">
        <f aca="false">IF($C224="","",IF(OR(F224="Completed",F224="Cancelled"),"",IF(AND(OR(F224="On Hold",ISNUMBER(VALUE(LEFT(H224,2)))),AY224=""),"Reason not given","")))</f>
        <v/>
      </c>
      <c r="BA224" s="30"/>
    </row>
    <row r="225" customFormat="false" ht="19.5" hidden="false" customHeight="true" outlineLevel="0" collapsed="false">
      <c r="A225" s="28" t="str">
        <f aca="false">IF($C225="","",COUNTA($C$17:$C225))</f>
        <v/>
      </c>
      <c r="B225" s="29"/>
      <c r="C225" s="30"/>
      <c r="D225" s="29"/>
      <c r="E225" s="31" t="str">
        <f aca="false">IF($C225="","",IF(NOT(OR(M225="Completed",M225="NA",M225="Cancelled")),"S1 Schematic",IF(NOT(OR(R225="Completed",R225="NA",R225="Cancelled")),"S2 PCB Layout",IF(NOT(OR(W225="Completed",W225="NA",W225="Cancelled")),"S3 SI &amp; PI",IF(NOT(OR(AB225="Completed",AB225="NA",AB225="Cancelled")),"S4 Bare-PCB Fab",IF(NOT(OR(AG225="Completed",AG225="NA",AG225="Cancelled")),"S5 Assembly",IF(NOT(OR(AL225="Completed",AL225="NA",AL225="Cancelled")),"S6 Bring-up",IF(NOT(OR(AQ225="Completed",AQ225="NA",AQ225="Cancelled")),"S7 BOM Procurement","All Stages Closed"))))))))</f>
        <v/>
      </c>
      <c r="F225" s="32" t="str">
        <f aca="false">IF($C225="","",IF(COUNTIF(M225,"Cancelled")+COUNTIF(R225,"Cancelled")+COUNTIF(W225,"Cancelled")+COUNTIF(AB225,"Cancelled")+COUNTIF(AG225,"Cancelled")+COUNTIF(AL225,"Cancelled")+COUNTIF(AQ225,"Cancelled")&gt;0,"Cancelled",IF(E225="All Stages Closed","Completed",IF(E225="S1 Schematic",M225,IF(E225="S2 PCB Layout",R225,IF(E225="S3 SI &amp; PI",W225,IF(E225="S4 Bare-PCB Fab",AB225,IF(E225="S5 Assembly",AG225,IF(E225="S6 Bring-up",AL225,AQ225)))))))))</f>
        <v/>
      </c>
      <c r="G225" s="33" t="str">
        <f aca="false">IF($C225="","",IF(E225="All Stages Closed","",IF(E225="S1 Schematic",IF(N225="","Not added",N225),IF(E225="S2 PCB Layout",IF(S225="","Not added",S225),IF(E225="S3 SI &amp; PI",IF(X225="","Not added",X225),IF(E225="S4 Bare-PCB Fab",IF(AC225="","Not added",AC225),IF(E225="S5 Assembly",IF(AH225="","Not added",AH225),IF(E225="S6 Bring-up",IF(AM225="","Not added",AM225),IF(AR225="","Not added",AR225)))))))))</f>
        <v/>
      </c>
      <c r="H225" s="32" t="str">
        <f aca="true">IF($C225="","",IF(OR(F225="Completed",F225="Cancelled"),"",IF(NOT(ISNUMBER(G225)),"No date set",IF(TODAY()&gt;G225,TODAY()-G225&amp;" days late",G225-TODAY()&amp;" days left"))))</f>
        <v/>
      </c>
      <c r="I225" s="31" t="str">
        <f aca="false">IF($C225="","",COUNTIF(M225,"Completed")+COUNTIF(R225,"Completed")+COUNTIF(W225,"Completed")+COUNTIF(AB225,"Completed")+COUNTIF(AG225,"Completed")+COUNTIF(AL225,"Completed")+COUNTIF(AQ225,"Completed"))</f>
        <v/>
      </c>
      <c r="J225" s="31" t="str">
        <f aca="false">IF($C225="","",7-(COUNTIF(M225,"NA")+COUNTIF(R225,"NA")+COUNTIF(W225,"NA")+COUNTIF(AB225,"NA")+COUNTIF(AG225,"NA")+COUNTIF(AL225,"NA")+COUNTIF(AQ225,"NA")))</f>
        <v/>
      </c>
      <c r="K225" s="34" t="str">
        <f aca="false">IFERROR(I225/J225,"")</f>
        <v/>
      </c>
      <c r="L225" s="29"/>
      <c r="M225" s="35"/>
      <c r="N225" s="36"/>
      <c r="O225" s="36"/>
      <c r="P225" s="30"/>
      <c r="Q225" s="29"/>
      <c r="R225" s="35"/>
      <c r="S225" s="36"/>
      <c r="T225" s="36"/>
      <c r="U225" s="30"/>
      <c r="V225" s="29"/>
      <c r="W225" s="35"/>
      <c r="X225" s="36"/>
      <c r="Y225" s="36"/>
      <c r="Z225" s="30"/>
      <c r="AA225" s="29"/>
      <c r="AB225" s="35"/>
      <c r="AC225" s="36"/>
      <c r="AD225" s="36"/>
      <c r="AE225" s="30"/>
      <c r="AF225" s="29"/>
      <c r="AG225" s="35"/>
      <c r="AH225" s="36"/>
      <c r="AI225" s="36"/>
      <c r="AJ225" s="30"/>
      <c r="AK225" s="29"/>
      <c r="AL225" s="35"/>
      <c r="AM225" s="36"/>
      <c r="AN225" s="36"/>
      <c r="AO225" s="30"/>
      <c r="AP225" s="29"/>
      <c r="AQ225" s="35"/>
      <c r="AR225" s="36"/>
      <c r="AS225" s="36"/>
      <c r="AT225" s="30"/>
      <c r="AU225" s="29"/>
      <c r="AV225" s="29"/>
      <c r="AW225" s="29"/>
      <c r="AX225" s="37"/>
      <c r="AY225" s="29"/>
      <c r="AZ225" s="38" t="str">
        <f aca="false">IF($C225="","",IF(OR(F225="Completed",F225="Cancelled"),"",IF(AND(OR(F225="On Hold",ISNUMBER(VALUE(LEFT(H225,2)))),AY225=""),"Reason not given","")))</f>
        <v/>
      </c>
      <c r="BA225" s="30"/>
    </row>
    <row r="226" customFormat="false" ht="19.5" hidden="false" customHeight="true" outlineLevel="0" collapsed="false">
      <c r="A226" s="28" t="str">
        <f aca="false">IF($C226="","",COUNTA($C$17:$C226))</f>
        <v/>
      </c>
      <c r="B226" s="29"/>
      <c r="C226" s="30"/>
      <c r="D226" s="29"/>
      <c r="E226" s="31" t="str">
        <f aca="false">IF($C226="","",IF(NOT(OR(M226="Completed",M226="NA",M226="Cancelled")),"S1 Schematic",IF(NOT(OR(R226="Completed",R226="NA",R226="Cancelled")),"S2 PCB Layout",IF(NOT(OR(W226="Completed",W226="NA",W226="Cancelled")),"S3 SI &amp; PI",IF(NOT(OR(AB226="Completed",AB226="NA",AB226="Cancelled")),"S4 Bare-PCB Fab",IF(NOT(OR(AG226="Completed",AG226="NA",AG226="Cancelled")),"S5 Assembly",IF(NOT(OR(AL226="Completed",AL226="NA",AL226="Cancelled")),"S6 Bring-up",IF(NOT(OR(AQ226="Completed",AQ226="NA",AQ226="Cancelled")),"S7 BOM Procurement","All Stages Closed"))))))))</f>
        <v/>
      </c>
      <c r="F226" s="32" t="str">
        <f aca="false">IF($C226="","",IF(COUNTIF(M226,"Cancelled")+COUNTIF(R226,"Cancelled")+COUNTIF(W226,"Cancelled")+COUNTIF(AB226,"Cancelled")+COUNTIF(AG226,"Cancelled")+COUNTIF(AL226,"Cancelled")+COUNTIF(AQ226,"Cancelled")&gt;0,"Cancelled",IF(E226="All Stages Closed","Completed",IF(E226="S1 Schematic",M226,IF(E226="S2 PCB Layout",R226,IF(E226="S3 SI &amp; PI",W226,IF(E226="S4 Bare-PCB Fab",AB226,IF(E226="S5 Assembly",AG226,IF(E226="S6 Bring-up",AL226,AQ226)))))))))</f>
        <v/>
      </c>
      <c r="G226" s="33" t="str">
        <f aca="false">IF($C226="","",IF(E226="All Stages Closed","",IF(E226="S1 Schematic",IF(N226="","Not added",N226),IF(E226="S2 PCB Layout",IF(S226="","Not added",S226),IF(E226="S3 SI &amp; PI",IF(X226="","Not added",X226),IF(E226="S4 Bare-PCB Fab",IF(AC226="","Not added",AC226),IF(E226="S5 Assembly",IF(AH226="","Not added",AH226),IF(E226="S6 Bring-up",IF(AM226="","Not added",AM226),IF(AR226="","Not added",AR226)))))))))</f>
        <v/>
      </c>
      <c r="H226" s="32" t="str">
        <f aca="true">IF($C226="","",IF(OR(F226="Completed",F226="Cancelled"),"",IF(NOT(ISNUMBER(G226)),"No date set",IF(TODAY()&gt;G226,TODAY()-G226&amp;" days late",G226-TODAY()&amp;" days left"))))</f>
        <v/>
      </c>
      <c r="I226" s="31" t="str">
        <f aca="false">IF($C226="","",COUNTIF(M226,"Completed")+COUNTIF(R226,"Completed")+COUNTIF(W226,"Completed")+COUNTIF(AB226,"Completed")+COUNTIF(AG226,"Completed")+COUNTIF(AL226,"Completed")+COUNTIF(AQ226,"Completed"))</f>
        <v/>
      </c>
      <c r="J226" s="31" t="str">
        <f aca="false">IF($C226="","",7-(COUNTIF(M226,"NA")+COUNTIF(R226,"NA")+COUNTIF(W226,"NA")+COUNTIF(AB226,"NA")+COUNTIF(AG226,"NA")+COUNTIF(AL226,"NA")+COUNTIF(AQ226,"NA")))</f>
        <v/>
      </c>
      <c r="K226" s="34" t="str">
        <f aca="false">IFERROR(I226/J226,"")</f>
        <v/>
      </c>
      <c r="L226" s="29"/>
      <c r="M226" s="35"/>
      <c r="N226" s="36"/>
      <c r="O226" s="36"/>
      <c r="P226" s="30"/>
      <c r="Q226" s="29"/>
      <c r="R226" s="35"/>
      <c r="S226" s="36"/>
      <c r="T226" s="36"/>
      <c r="U226" s="30"/>
      <c r="V226" s="29"/>
      <c r="W226" s="35"/>
      <c r="X226" s="36"/>
      <c r="Y226" s="36"/>
      <c r="Z226" s="30"/>
      <c r="AA226" s="29"/>
      <c r="AB226" s="35"/>
      <c r="AC226" s="36"/>
      <c r="AD226" s="36"/>
      <c r="AE226" s="30"/>
      <c r="AF226" s="29"/>
      <c r="AG226" s="35"/>
      <c r="AH226" s="36"/>
      <c r="AI226" s="36"/>
      <c r="AJ226" s="30"/>
      <c r="AK226" s="29"/>
      <c r="AL226" s="35"/>
      <c r="AM226" s="36"/>
      <c r="AN226" s="36"/>
      <c r="AO226" s="30"/>
      <c r="AP226" s="29"/>
      <c r="AQ226" s="35"/>
      <c r="AR226" s="36"/>
      <c r="AS226" s="36"/>
      <c r="AT226" s="30"/>
      <c r="AU226" s="29"/>
      <c r="AV226" s="29"/>
      <c r="AW226" s="29"/>
      <c r="AX226" s="37"/>
      <c r="AY226" s="29"/>
      <c r="AZ226" s="38" t="str">
        <f aca="false">IF($C226="","",IF(OR(F226="Completed",F226="Cancelled"),"",IF(AND(OR(F226="On Hold",ISNUMBER(VALUE(LEFT(H226,2)))),AY226=""),"Reason not given","")))</f>
        <v/>
      </c>
      <c r="BA226" s="30"/>
    </row>
    <row r="227" customFormat="false" ht="19.5" hidden="false" customHeight="true" outlineLevel="0" collapsed="false">
      <c r="A227" s="28" t="str">
        <f aca="false">IF($C227="","",COUNTA($C$17:$C227))</f>
        <v/>
      </c>
      <c r="B227" s="29"/>
      <c r="C227" s="30"/>
      <c r="D227" s="29"/>
      <c r="E227" s="31" t="str">
        <f aca="false">IF($C227="","",IF(NOT(OR(M227="Completed",M227="NA",M227="Cancelled")),"S1 Schematic",IF(NOT(OR(R227="Completed",R227="NA",R227="Cancelled")),"S2 PCB Layout",IF(NOT(OR(W227="Completed",W227="NA",W227="Cancelled")),"S3 SI &amp; PI",IF(NOT(OR(AB227="Completed",AB227="NA",AB227="Cancelled")),"S4 Bare-PCB Fab",IF(NOT(OR(AG227="Completed",AG227="NA",AG227="Cancelled")),"S5 Assembly",IF(NOT(OR(AL227="Completed",AL227="NA",AL227="Cancelled")),"S6 Bring-up",IF(NOT(OR(AQ227="Completed",AQ227="NA",AQ227="Cancelled")),"S7 BOM Procurement","All Stages Closed"))))))))</f>
        <v/>
      </c>
      <c r="F227" s="32" t="str">
        <f aca="false">IF($C227="","",IF(COUNTIF(M227,"Cancelled")+COUNTIF(R227,"Cancelled")+COUNTIF(W227,"Cancelled")+COUNTIF(AB227,"Cancelled")+COUNTIF(AG227,"Cancelled")+COUNTIF(AL227,"Cancelled")+COUNTIF(AQ227,"Cancelled")&gt;0,"Cancelled",IF(E227="All Stages Closed","Completed",IF(E227="S1 Schematic",M227,IF(E227="S2 PCB Layout",R227,IF(E227="S3 SI &amp; PI",W227,IF(E227="S4 Bare-PCB Fab",AB227,IF(E227="S5 Assembly",AG227,IF(E227="S6 Bring-up",AL227,AQ227)))))))))</f>
        <v/>
      </c>
      <c r="G227" s="33" t="str">
        <f aca="false">IF($C227="","",IF(E227="All Stages Closed","",IF(E227="S1 Schematic",IF(N227="","Not added",N227),IF(E227="S2 PCB Layout",IF(S227="","Not added",S227),IF(E227="S3 SI &amp; PI",IF(X227="","Not added",X227),IF(E227="S4 Bare-PCB Fab",IF(AC227="","Not added",AC227),IF(E227="S5 Assembly",IF(AH227="","Not added",AH227),IF(E227="S6 Bring-up",IF(AM227="","Not added",AM227),IF(AR227="","Not added",AR227)))))))))</f>
        <v/>
      </c>
      <c r="H227" s="32" t="str">
        <f aca="true">IF($C227="","",IF(OR(F227="Completed",F227="Cancelled"),"",IF(NOT(ISNUMBER(G227)),"No date set",IF(TODAY()&gt;G227,TODAY()-G227&amp;" days late",G227-TODAY()&amp;" days left"))))</f>
        <v/>
      </c>
      <c r="I227" s="31" t="str">
        <f aca="false">IF($C227="","",COUNTIF(M227,"Completed")+COUNTIF(R227,"Completed")+COUNTIF(W227,"Completed")+COUNTIF(AB227,"Completed")+COUNTIF(AG227,"Completed")+COUNTIF(AL227,"Completed")+COUNTIF(AQ227,"Completed"))</f>
        <v/>
      </c>
      <c r="J227" s="31" t="str">
        <f aca="false">IF($C227="","",7-(COUNTIF(M227,"NA")+COUNTIF(R227,"NA")+COUNTIF(W227,"NA")+COUNTIF(AB227,"NA")+COUNTIF(AG227,"NA")+COUNTIF(AL227,"NA")+COUNTIF(AQ227,"NA")))</f>
        <v/>
      </c>
      <c r="K227" s="34" t="str">
        <f aca="false">IFERROR(I227/J227,"")</f>
        <v/>
      </c>
      <c r="L227" s="29"/>
      <c r="M227" s="35"/>
      <c r="N227" s="36"/>
      <c r="O227" s="36"/>
      <c r="P227" s="30"/>
      <c r="Q227" s="29"/>
      <c r="R227" s="35"/>
      <c r="S227" s="36"/>
      <c r="T227" s="36"/>
      <c r="U227" s="30"/>
      <c r="V227" s="29"/>
      <c r="W227" s="35"/>
      <c r="X227" s="36"/>
      <c r="Y227" s="36"/>
      <c r="Z227" s="30"/>
      <c r="AA227" s="29"/>
      <c r="AB227" s="35"/>
      <c r="AC227" s="36"/>
      <c r="AD227" s="36"/>
      <c r="AE227" s="30"/>
      <c r="AF227" s="29"/>
      <c r="AG227" s="35"/>
      <c r="AH227" s="36"/>
      <c r="AI227" s="36"/>
      <c r="AJ227" s="30"/>
      <c r="AK227" s="29"/>
      <c r="AL227" s="35"/>
      <c r="AM227" s="36"/>
      <c r="AN227" s="36"/>
      <c r="AO227" s="30"/>
      <c r="AP227" s="29"/>
      <c r="AQ227" s="35"/>
      <c r="AR227" s="36"/>
      <c r="AS227" s="36"/>
      <c r="AT227" s="30"/>
      <c r="AU227" s="29"/>
      <c r="AV227" s="29"/>
      <c r="AW227" s="29"/>
      <c r="AX227" s="37"/>
      <c r="AY227" s="29"/>
      <c r="AZ227" s="38" t="str">
        <f aca="false">IF($C227="","",IF(OR(F227="Completed",F227="Cancelled"),"",IF(AND(OR(F227="On Hold",ISNUMBER(VALUE(LEFT(H227,2)))),AY227=""),"Reason not given","")))</f>
        <v/>
      </c>
      <c r="BA227" s="30"/>
    </row>
    <row r="228" customFormat="false" ht="19.5" hidden="false" customHeight="true" outlineLevel="0" collapsed="false">
      <c r="A228" s="28" t="str">
        <f aca="false">IF($C228="","",COUNTA($C$17:$C228))</f>
        <v/>
      </c>
      <c r="B228" s="29"/>
      <c r="C228" s="30"/>
      <c r="D228" s="29"/>
      <c r="E228" s="31" t="str">
        <f aca="false">IF($C228="","",IF(NOT(OR(M228="Completed",M228="NA",M228="Cancelled")),"S1 Schematic",IF(NOT(OR(R228="Completed",R228="NA",R228="Cancelled")),"S2 PCB Layout",IF(NOT(OR(W228="Completed",W228="NA",W228="Cancelled")),"S3 SI &amp; PI",IF(NOT(OR(AB228="Completed",AB228="NA",AB228="Cancelled")),"S4 Bare-PCB Fab",IF(NOT(OR(AG228="Completed",AG228="NA",AG228="Cancelled")),"S5 Assembly",IF(NOT(OR(AL228="Completed",AL228="NA",AL228="Cancelled")),"S6 Bring-up",IF(NOT(OR(AQ228="Completed",AQ228="NA",AQ228="Cancelled")),"S7 BOM Procurement","All Stages Closed"))))))))</f>
        <v/>
      </c>
      <c r="F228" s="32" t="str">
        <f aca="false">IF($C228="","",IF(COUNTIF(M228,"Cancelled")+COUNTIF(R228,"Cancelled")+COUNTIF(W228,"Cancelled")+COUNTIF(AB228,"Cancelled")+COUNTIF(AG228,"Cancelled")+COUNTIF(AL228,"Cancelled")+COUNTIF(AQ228,"Cancelled")&gt;0,"Cancelled",IF(E228="All Stages Closed","Completed",IF(E228="S1 Schematic",M228,IF(E228="S2 PCB Layout",R228,IF(E228="S3 SI &amp; PI",W228,IF(E228="S4 Bare-PCB Fab",AB228,IF(E228="S5 Assembly",AG228,IF(E228="S6 Bring-up",AL228,AQ228)))))))))</f>
        <v/>
      </c>
      <c r="G228" s="33" t="str">
        <f aca="false">IF($C228="","",IF(E228="All Stages Closed","",IF(E228="S1 Schematic",IF(N228="","Not added",N228),IF(E228="S2 PCB Layout",IF(S228="","Not added",S228),IF(E228="S3 SI &amp; PI",IF(X228="","Not added",X228),IF(E228="S4 Bare-PCB Fab",IF(AC228="","Not added",AC228),IF(E228="S5 Assembly",IF(AH228="","Not added",AH228),IF(E228="S6 Bring-up",IF(AM228="","Not added",AM228),IF(AR228="","Not added",AR228)))))))))</f>
        <v/>
      </c>
      <c r="H228" s="32" t="str">
        <f aca="true">IF($C228="","",IF(OR(F228="Completed",F228="Cancelled"),"",IF(NOT(ISNUMBER(G228)),"No date set",IF(TODAY()&gt;G228,TODAY()-G228&amp;" days late",G228-TODAY()&amp;" days left"))))</f>
        <v/>
      </c>
      <c r="I228" s="31" t="str">
        <f aca="false">IF($C228="","",COUNTIF(M228,"Completed")+COUNTIF(R228,"Completed")+COUNTIF(W228,"Completed")+COUNTIF(AB228,"Completed")+COUNTIF(AG228,"Completed")+COUNTIF(AL228,"Completed")+COUNTIF(AQ228,"Completed"))</f>
        <v/>
      </c>
      <c r="J228" s="31" t="str">
        <f aca="false">IF($C228="","",7-(COUNTIF(M228,"NA")+COUNTIF(R228,"NA")+COUNTIF(W228,"NA")+COUNTIF(AB228,"NA")+COUNTIF(AG228,"NA")+COUNTIF(AL228,"NA")+COUNTIF(AQ228,"NA")))</f>
        <v/>
      </c>
      <c r="K228" s="34" t="str">
        <f aca="false">IFERROR(I228/J228,"")</f>
        <v/>
      </c>
      <c r="L228" s="29"/>
      <c r="M228" s="35"/>
      <c r="N228" s="36"/>
      <c r="O228" s="36"/>
      <c r="P228" s="30"/>
      <c r="Q228" s="29"/>
      <c r="R228" s="35"/>
      <c r="S228" s="36"/>
      <c r="T228" s="36"/>
      <c r="U228" s="30"/>
      <c r="V228" s="29"/>
      <c r="W228" s="35"/>
      <c r="X228" s="36"/>
      <c r="Y228" s="36"/>
      <c r="Z228" s="30"/>
      <c r="AA228" s="29"/>
      <c r="AB228" s="35"/>
      <c r="AC228" s="36"/>
      <c r="AD228" s="36"/>
      <c r="AE228" s="30"/>
      <c r="AF228" s="29"/>
      <c r="AG228" s="35"/>
      <c r="AH228" s="36"/>
      <c r="AI228" s="36"/>
      <c r="AJ228" s="30"/>
      <c r="AK228" s="29"/>
      <c r="AL228" s="35"/>
      <c r="AM228" s="36"/>
      <c r="AN228" s="36"/>
      <c r="AO228" s="30"/>
      <c r="AP228" s="29"/>
      <c r="AQ228" s="35"/>
      <c r="AR228" s="36"/>
      <c r="AS228" s="36"/>
      <c r="AT228" s="30"/>
      <c r="AU228" s="29"/>
      <c r="AV228" s="29"/>
      <c r="AW228" s="29"/>
      <c r="AX228" s="37"/>
      <c r="AY228" s="29"/>
      <c r="AZ228" s="38" t="str">
        <f aca="false">IF($C228="","",IF(OR(F228="Completed",F228="Cancelled"),"",IF(AND(OR(F228="On Hold",ISNUMBER(VALUE(LEFT(H228,2)))),AY228=""),"Reason not given","")))</f>
        <v/>
      </c>
      <c r="BA228" s="30"/>
    </row>
    <row r="229" customFormat="false" ht="19.5" hidden="false" customHeight="true" outlineLevel="0" collapsed="false">
      <c r="A229" s="28" t="str">
        <f aca="false">IF($C229="","",COUNTA($C$17:$C229))</f>
        <v/>
      </c>
      <c r="B229" s="29"/>
      <c r="C229" s="30"/>
      <c r="D229" s="29"/>
      <c r="E229" s="31" t="str">
        <f aca="false">IF($C229="","",IF(NOT(OR(M229="Completed",M229="NA",M229="Cancelled")),"S1 Schematic",IF(NOT(OR(R229="Completed",R229="NA",R229="Cancelled")),"S2 PCB Layout",IF(NOT(OR(W229="Completed",W229="NA",W229="Cancelled")),"S3 SI &amp; PI",IF(NOT(OR(AB229="Completed",AB229="NA",AB229="Cancelled")),"S4 Bare-PCB Fab",IF(NOT(OR(AG229="Completed",AG229="NA",AG229="Cancelled")),"S5 Assembly",IF(NOT(OR(AL229="Completed",AL229="NA",AL229="Cancelled")),"S6 Bring-up",IF(NOT(OR(AQ229="Completed",AQ229="NA",AQ229="Cancelled")),"S7 BOM Procurement","All Stages Closed"))))))))</f>
        <v/>
      </c>
      <c r="F229" s="32" t="str">
        <f aca="false">IF($C229="","",IF(COUNTIF(M229,"Cancelled")+COUNTIF(R229,"Cancelled")+COUNTIF(W229,"Cancelled")+COUNTIF(AB229,"Cancelled")+COUNTIF(AG229,"Cancelled")+COUNTIF(AL229,"Cancelled")+COUNTIF(AQ229,"Cancelled")&gt;0,"Cancelled",IF(E229="All Stages Closed","Completed",IF(E229="S1 Schematic",M229,IF(E229="S2 PCB Layout",R229,IF(E229="S3 SI &amp; PI",W229,IF(E229="S4 Bare-PCB Fab",AB229,IF(E229="S5 Assembly",AG229,IF(E229="S6 Bring-up",AL229,AQ229)))))))))</f>
        <v/>
      </c>
      <c r="G229" s="33" t="str">
        <f aca="false">IF($C229="","",IF(E229="All Stages Closed","",IF(E229="S1 Schematic",IF(N229="","Not added",N229),IF(E229="S2 PCB Layout",IF(S229="","Not added",S229),IF(E229="S3 SI &amp; PI",IF(X229="","Not added",X229),IF(E229="S4 Bare-PCB Fab",IF(AC229="","Not added",AC229),IF(E229="S5 Assembly",IF(AH229="","Not added",AH229),IF(E229="S6 Bring-up",IF(AM229="","Not added",AM229),IF(AR229="","Not added",AR229)))))))))</f>
        <v/>
      </c>
      <c r="H229" s="32" t="str">
        <f aca="true">IF($C229="","",IF(OR(F229="Completed",F229="Cancelled"),"",IF(NOT(ISNUMBER(G229)),"No date set",IF(TODAY()&gt;G229,TODAY()-G229&amp;" days late",G229-TODAY()&amp;" days left"))))</f>
        <v/>
      </c>
      <c r="I229" s="31" t="str">
        <f aca="false">IF($C229="","",COUNTIF(M229,"Completed")+COUNTIF(R229,"Completed")+COUNTIF(W229,"Completed")+COUNTIF(AB229,"Completed")+COUNTIF(AG229,"Completed")+COUNTIF(AL229,"Completed")+COUNTIF(AQ229,"Completed"))</f>
        <v/>
      </c>
      <c r="J229" s="31" t="str">
        <f aca="false">IF($C229="","",7-(COUNTIF(M229,"NA")+COUNTIF(R229,"NA")+COUNTIF(W229,"NA")+COUNTIF(AB229,"NA")+COUNTIF(AG229,"NA")+COUNTIF(AL229,"NA")+COUNTIF(AQ229,"NA")))</f>
        <v/>
      </c>
      <c r="K229" s="34" t="str">
        <f aca="false">IFERROR(I229/J229,"")</f>
        <v/>
      </c>
      <c r="L229" s="29"/>
      <c r="M229" s="35"/>
      <c r="N229" s="36"/>
      <c r="O229" s="36"/>
      <c r="P229" s="30"/>
      <c r="Q229" s="29"/>
      <c r="R229" s="35"/>
      <c r="S229" s="36"/>
      <c r="T229" s="36"/>
      <c r="U229" s="30"/>
      <c r="V229" s="29"/>
      <c r="W229" s="35"/>
      <c r="X229" s="36"/>
      <c r="Y229" s="36"/>
      <c r="Z229" s="30"/>
      <c r="AA229" s="29"/>
      <c r="AB229" s="35"/>
      <c r="AC229" s="36"/>
      <c r="AD229" s="36"/>
      <c r="AE229" s="30"/>
      <c r="AF229" s="29"/>
      <c r="AG229" s="35"/>
      <c r="AH229" s="36"/>
      <c r="AI229" s="36"/>
      <c r="AJ229" s="30"/>
      <c r="AK229" s="29"/>
      <c r="AL229" s="35"/>
      <c r="AM229" s="36"/>
      <c r="AN229" s="36"/>
      <c r="AO229" s="30"/>
      <c r="AP229" s="29"/>
      <c r="AQ229" s="35"/>
      <c r="AR229" s="36"/>
      <c r="AS229" s="36"/>
      <c r="AT229" s="30"/>
      <c r="AU229" s="29"/>
      <c r="AV229" s="29"/>
      <c r="AW229" s="29"/>
      <c r="AX229" s="37"/>
      <c r="AY229" s="29"/>
      <c r="AZ229" s="38" t="str">
        <f aca="false">IF($C229="","",IF(OR(F229="Completed",F229="Cancelled"),"",IF(AND(OR(F229="On Hold",ISNUMBER(VALUE(LEFT(H229,2)))),AY229=""),"Reason not given","")))</f>
        <v/>
      </c>
      <c r="BA229" s="30"/>
    </row>
    <row r="230" customFormat="false" ht="19.5" hidden="false" customHeight="true" outlineLevel="0" collapsed="false">
      <c r="A230" s="28" t="str">
        <f aca="false">IF($C230="","",COUNTA($C$17:$C230))</f>
        <v/>
      </c>
      <c r="B230" s="29"/>
      <c r="C230" s="30"/>
      <c r="D230" s="29"/>
      <c r="E230" s="31" t="str">
        <f aca="false">IF($C230="","",IF(NOT(OR(M230="Completed",M230="NA",M230="Cancelled")),"S1 Schematic",IF(NOT(OR(R230="Completed",R230="NA",R230="Cancelled")),"S2 PCB Layout",IF(NOT(OR(W230="Completed",W230="NA",W230="Cancelled")),"S3 SI &amp; PI",IF(NOT(OR(AB230="Completed",AB230="NA",AB230="Cancelled")),"S4 Bare-PCB Fab",IF(NOT(OR(AG230="Completed",AG230="NA",AG230="Cancelled")),"S5 Assembly",IF(NOT(OR(AL230="Completed",AL230="NA",AL230="Cancelled")),"S6 Bring-up",IF(NOT(OR(AQ230="Completed",AQ230="NA",AQ230="Cancelled")),"S7 BOM Procurement","All Stages Closed"))))))))</f>
        <v/>
      </c>
      <c r="F230" s="32" t="str">
        <f aca="false">IF($C230="","",IF(COUNTIF(M230,"Cancelled")+COUNTIF(R230,"Cancelled")+COUNTIF(W230,"Cancelled")+COUNTIF(AB230,"Cancelled")+COUNTIF(AG230,"Cancelled")+COUNTIF(AL230,"Cancelled")+COUNTIF(AQ230,"Cancelled")&gt;0,"Cancelled",IF(E230="All Stages Closed","Completed",IF(E230="S1 Schematic",M230,IF(E230="S2 PCB Layout",R230,IF(E230="S3 SI &amp; PI",W230,IF(E230="S4 Bare-PCB Fab",AB230,IF(E230="S5 Assembly",AG230,IF(E230="S6 Bring-up",AL230,AQ230)))))))))</f>
        <v/>
      </c>
      <c r="G230" s="33" t="str">
        <f aca="false">IF($C230="","",IF(E230="All Stages Closed","",IF(E230="S1 Schematic",IF(N230="","Not added",N230),IF(E230="S2 PCB Layout",IF(S230="","Not added",S230),IF(E230="S3 SI &amp; PI",IF(X230="","Not added",X230),IF(E230="S4 Bare-PCB Fab",IF(AC230="","Not added",AC230),IF(E230="S5 Assembly",IF(AH230="","Not added",AH230),IF(E230="S6 Bring-up",IF(AM230="","Not added",AM230),IF(AR230="","Not added",AR230)))))))))</f>
        <v/>
      </c>
      <c r="H230" s="32" t="str">
        <f aca="true">IF($C230="","",IF(OR(F230="Completed",F230="Cancelled"),"",IF(NOT(ISNUMBER(G230)),"No date set",IF(TODAY()&gt;G230,TODAY()-G230&amp;" days late",G230-TODAY()&amp;" days left"))))</f>
        <v/>
      </c>
      <c r="I230" s="31" t="str">
        <f aca="false">IF($C230="","",COUNTIF(M230,"Completed")+COUNTIF(R230,"Completed")+COUNTIF(W230,"Completed")+COUNTIF(AB230,"Completed")+COUNTIF(AG230,"Completed")+COUNTIF(AL230,"Completed")+COUNTIF(AQ230,"Completed"))</f>
        <v/>
      </c>
      <c r="J230" s="31" t="str">
        <f aca="false">IF($C230="","",7-(COUNTIF(M230,"NA")+COUNTIF(R230,"NA")+COUNTIF(W230,"NA")+COUNTIF(AB230,"NA")+COUNTIF(AG230,"NA")+COUNTIF(AL230,"NA")+COUNTIF(AQ230,"NA")))</f>
        <v/>
      </c>
      <c r="K230" s="34" t="str">
        <f aca="false">IFERROR(I230/J230,"")</f>
        <v/>
      </c>
      <c r="L230" s="29"/>
      <c r="M230" s="35"/>
      <c r="N230" s="36"/>
      <c r="O230" s="36"/>
      <c r="P230" s="30"/>
      <c r="Q230" s="29"/>
      <c r="R230" s="35"/>
      <c r="S230" s="36"/>
      <c r="T230" s="36"/>
      <c r="U230" s="30"/>
      <c r="V230" s="29"/>
      <c r="W230" s="35"/>
      <c r="X230" s="36"/>
      <c r="Y230" s="36"/>
      <c r="Z230" s="30"/>
      <c r="AA230" s="29"/>
      <c r="AB230" s="35"/>
      <c r="AC230" s="36"/>
      <c r="AD230" s="36"/>
      <c r="AE230" s="30"/>
      <c r="AF230" s="29"/>
      <c r="AG230" s="35"/>
      <c r="AH230" s="36"/>
      <c r="AI230" s="36"/>
      <c r="AJ230" s="30"/>
      <c r="AK230" s="29"/>
      <c r="AL230" s="35"/>
      <c r="AM230" s="36"/>
      <c r="AN230" s="36"/>
      <c r="AO230" s="30"/>
      <c r="AP230" s="29"/>
      <c r="AQ230" s="35"/>
      <c r="AR230" s="36"/>
      <c r="AS230" s="36"/>
      <c r="AT230" s="30"/>
      <c r="AU230" s="29"/>
      <c r="AV230" s="29"/>
      <c r="AW230" s="29"/>
      <c r="AX230" s="37"/>
      <c r="AY230" s="29"/>
      <c r="AZ230" s="38" t="str">
        <f aca="false">IF($C230="","",IF(OR(F230="Completed",F230="Cancelled"),"",IF(AND(OR(F230="On Hold",ISNUMBER(VALUE(LEFT(H230,2)))),AY230=""),"Reason not given","")))</f>
        <v/>
      </c>
      <c r="BA230" s="30"/>
    </row>
    <row r="231" customFormat="false" ht="19.5" hidden="false" customHeight="true" outlineLevel="0" collapsed="false">
      <c r="A231" s="28" t="str">
        <f aca="false">IF($C231="","",COUNTA($C$17:$C231))</f>
        <v/>
      </c>
      <c r="B231" s="29"/>
      <c r="C231" s="30"/>
      <c r="D231" s="29"/>
      <c r="E231" s="31" t="str">
        <f aca="false">IF($C231="","",IF(NOT(OR(M231="Completed",M231="NA",M231="Cancelled")),"S1 Schematic",IF(NOT(OR(R231="Completed",R231="NA",R231="Cancelled")),"S2 PCB Layout",IF(NOT(OR(W231="Completed",W231="NA",W231="Cancelled")),"S3 SI &amp; PI",IF(NOT(OR(AB231="Completed",AB231="NA",AB231="Cancelled")),"S4 Bare-PCB Fab",IF(NOT(OR(AG231="Completed",AG231="NA",AG231="Cancelled")),"S5 Assembly",IF(NOT(OR(AL231="Completed",AL231="NA",AL231="Cancelled")),"S6 Bring-up",IF(NOT(OR(AQ231="Completed",AQ231="NA",AQ231="Cancelled")),"S7 BOM Procurement","All Stages Closed"))))))))</f>
        <v/>
      </c>
      <c r="F231" s="32" t="str">
        <f aca="false">IF($C231="","",IF(COUNTIF(M231,"Cancelled")+COUNTIF(R231,"Cancelled")+COUNTIF(W231,"Cancelled")+COUNTIF(AB231,"Cancelled")+COUNTIF(AG231,"Cancelled")+COUNTIF(AL231,"Cancelled")+COUNTIF(AQ231,"Cancelled")&gt;0,"Cancelled",IF(E231="All Stages Closed","Completed",IF(E231="S1 Schematic",M231,IF(E231="S2 PCB Layout",R231,IF(E231="S3 SI &amp; PI",W231,IF(E231="S4 Bare-PCB Fab",AB231,IF(E231="S5 Assembly",AG231,IF(E231="S6 Bring-up",AL231,AQ231)))))))))</f>
        <v/>
      </c>
      <c r="G231" s="33" t="str">
        <f aca="false">IF($C231="","",IF(E231="All Stages Closed","",IF(E231="S1 Schematic",IF(N231="","Not added",N231),IF(E231="S2 PCB Layout",IF(S231="","Not added",S231),IF(E231="S3 SI &amp; PI",IF(X231="","Not added",X231),IF(E231="S4 Bare-PCB Fab",IF(AC231="","Not added",AC231),IF(E231="S5 Assembly",IF(AH231="","Not added",AH231),IF(E231="S6 Bring-up",IF(AM231="","Not added",AM231),IF(AR231="","Not added",AR231)))))))))</f>
        <v/>
      </c>
      <c r="H231" s="32" t="str">
        <f aca="true">IF($C231="","",IF(OR(F231="Completed",F231="Cancelled"),"",IF(NOT(ISNUMBER(G231)),"No date set",IF(TODAY()&gt;G231,TODAY()-G231&amp;" days late",G231-TODAY()&amp;" days left"))))</f>
        <v/>
      </c>
      <c r="I231" s="31" t="str">
        <f aca="false">IF($C231="","",COUNTIF(M231,"Completed")+COUNTIF(R231,"Completed")+COUNTIF(W231,"Completed")+COUNTIF(AB231,"Completed")+COUNTIF(AG231,"Completed")+COUNTIF(AL231,"Completed")+COUNTIF(AQ231,"Completed"))</f>
        <v/>
      </c>
      <c r="J231" s="31" t="str">
        <f aca="false">IF($C231="","",7-(COUNTIF(M231,"NA")+COUNTIF(R231,"NA")+COUNTIF(W231,"NA")+COUNTIF(AB231,"NA")+COUNTIF(AG231,"NA")+COUNTIF(AL231,"NA")+COUNTIF(AQ231,"NA")))</f>
        <v/>
      </c>
      <c r="K231" s="34" t="str">
        <f aca="false">IFERROR(I231/J231,"")</f>
        <v/>
      </c>
      <c r="L231" s="29"/>
      <c r="M231" s="35"/>
      <c r="N231" s="36"/>
      <c r="O231" s="36"/>
      <c r="P231" s="30"/>
      <c r="Q231" s="29"/>
      <c r="R231" s="35"/>
      <c r="S231" s="36"/>
      <c r="T231" s="36"/>
      <c r="U231" s="30"/>
      <c r="V231" s="29"/>
      <c r="W231" s="35"/>
      <c r="X231" s="36"/>
      <c r="Y231" s="36"/>
      <c r="Z231" s="30"/>
      <c r="AA231" s="29"/>
      <c r="AB231" s="35"/>
      <c r="AC231" s="36"/>
      <c r="AD231" s="36"/>
      <c r="AE231" s="30"/>
      <c r="AF231" s="29"/>
      <c r="AG231" s="35"/>
      <c r="AH231" s="36"/>
      <c r="AI231" s="36"/>
      <c r="AJ231" s="30"/>
      <c r="AK231" s="29"/>
      <c r="AL231" s="35"/>
      <c r="AM231" s="36"/>
      <c r="AN231" s="36"/>
      <c r="AO231" s="30"/>
      <c r="AP231" s="29"/>
      <c r="AQ231" s="35"/>
      <c r="AR231" s="36"/>
      <c r="AS231" s="36"/>
      <c r="AT231" s="30"/>
      <c r="AU231" s="29"/>
      <c r="AV231" s="29"/>
      <c r="AW231" s="29"/>
      <c r="AX231" s="37"/>
      <c r="AY231" s="29"/>
      <c r="AZ231" s="38" t="str">
        <f aca="false">IF($C231="","",IF(OR(F231="Completed",F231="Cancelled"),"",IF(AND(OR(F231="On Hold",ISNUMBER(VALUE(LEFT(H231,2)))),AY231=""),"Reason not given","")))</f>
        <v/>
      </c>
      <c r="BA231" s="30"/>
    </row>
    <row r="232" customFormat="false" ht="19.5" hidden="false" customHeight="true" outlineLevel="0" collapsed="false">
      <c r="A232" s="28" t="str">
        <f aca="false">IF($C232="","",COUNTA($C$17:$C232))</f>
        <v/>
      </c>
      <c r="B232" s="29"/>
      <c r="C232" s="30"/>
      <c r="D232" s="29"/>
      <c r="E232" s="31" t="str">
        <f aca="false">IF($C232="","",IF(NOT(OR(M232="Completed",M232="NA",M232="Cancelled")),"S1 Schematic",IF(NOT(OR(R232="Completed",R232="NA",R232="Cancelled")),"S2 PCB Layout",IF(NOT(OR(W232="Completed",W232="NA",W232="Cancelled")),"S3 SI &amp; PI",IF(NOT(OR(AB232="Completed",AB232="NA",AB232="Cancelled")),"S4 Bare-PCB Fab",IF(NOT(OR(AG232="Completed",AG232="NA",AG232="Cancelled")),"S5 Assembly",IF(NOT(OR(AL232="Completed",AL232="NA",AL232="Cancelled")),"S6 Bring-up",IF(NOT(OR(AQ232="Completed",AQ232="NA",AQ232="Cancelled")),"S7 BOM Procurement","All Stages Closed"))))))))</f>
        <v/>
      </c>
      <c r="F232" s="32" t="str">
        <f aca="false">IF($C232="","",IF(COUNTIF(M232,"Cancelled")+COUNTIF(R232,"Cancelled")+COUNTIF(W232,"Cancelled")+COUNTIF(AB232,"Cancelled")+COUNTIF(AG232,"Cancelled")+COUNTIF(AL232,"Cancelled")+COUNTIF(AQ232,"Cancelled")&gt;0,"Cancelled",IF(E232="All Stages Closed","Completed",IF(E232="S1 Schematic",M232,IF(E232="S2 PCB Layout",R232,IF(E232="S3 SI &amp; PI",W232,IF(E232="S4 Bare-PCB Fab",AB232,IF(E232="S5 Assembly",AG232,IF(E232="S6 Bring-up",AL232,AQ232)))))))))</f>
        <v/>
      </c>
      <c r="G232" s="33" t="str">
        <f aca="false">IF($C232="","",IF(E232="All Stages Closed","",IF(E232="S1 Schematic",IF(N232="","Not added",N232),IF(E232="S2 PCB Layout",IF(S232="","Not added",S232),IF(E232="S3 SI &amp; PI",IF(X232="","Not added",X232),IF(E232="S4 Bare-PCB Fab",IF(AC232="","Not added",AC232),IF(E232="S5 Assembly",IF(AH232="","Not added",AH232),IF(E232="S6 Bring-up",IF(AM232="","Not added",AM232),IF(AR232="","Not added",AR232)))))))))</f>
        <v/>
      </c>
      <c r="H232" s="32" t="str">
        <f aca="true">IF($C232="","",IF(OR(F232="Completed",F232="Cancelled"),"",IF(NOT(ISNUMBER(G232)),"No date set",IF(TODAY()&gt;G232,TODAY()-G232&amp;" days late",G232-TODAY()&amp;" days left"))))</f>
        <v/>
      </c>
      <c r="I232" s="31" t="str">
        <f aca="false">IF($C232="","",COUNTIF(M232,"Completed")+COUNTIF(R232,"Completed")+COUNTIF(W232,"Completed")+COUNTIF(AB232,"Completed")+COUNTIF(AG232,"Completed")+COUNTIF(AL232,"Completed")+COUNTIF(AQ232,"Completed"))</f>
        <v/>
      </c>
      <c r="J232" s="31" t="str">
        <f aca="false">IF($C232="","",7-(COUNTIF(M232,"NA")+COUNTIF(R232,"NA")+COUNTIF(W232,"NA")+COUNTIF(AB232,"NA")+COUNTIF(AG232,"NA")+COUNTIF(AL232,"NA")+COUNTIF(AQ232,"NA")))</f>
        <v/>
      </c>
      <c r="K232" s="34" t="str">
        <f aca="false">IFERROR(I232/J232,"")</f>
        <v/>
      </c>
      <c r="L232" s="29"/>
      <c r="M232" s="35"/>
      <c r="N232" s="36"/>
      <c r="O232" s="36"/>
      <c r="P232" s="30"/>
      <c r="Q232" s="29"/>
      <c r="R232" s="35"/>
      <c r="S232" s="36"/>
      <c r="T232" s="36"/>
      <c r="U232" s="30"/>
      <c r="V232" s="29"/>
      <c r="W232" s="35"/>
      <c r="X232" s="36"/>
      <c r="Y232" s="36"/>
      <c r="Z232" s="30"/>
      <c r="AA232" s="29"/>
      <c r="AB232" s="35"/>
      <c r="AC232" s="36"/>
      <c r="AD232" s="36"/>
      <c r="AE232" s="30"/>
      <c r="AF232" s="29"/>
      <c r="AG232" s="35"/>
      <c r="AH232" s="36"/>
      <c r="AI232" s="36"/>
      <c r="AJ232" s="30"/>
      <c r="AK232" s="29"/>
      <c r="AL232" s="35"/>
      <c r="AM232" s="36"/>
      <c r="AN232" s="36"/>
      <c r="AO232" s="30"/>
      <c r="AP232" s="29"/>
      <c r="AQ232" s="35"/>
      <c r="AR232" s="36"/>
      <c r="AS232" s="36"/>
      <c r="AT232" s="30"/>
      <c r="AU232" s="29"/>
      <c r="AV232" s="29"/>
      <c r="AW232" s="29"/>
      <c r="AX232" s="37"/>
      <c r="AY232" s="29"/>
      <c r="AZ232" s="38" t="str">
        <f aca="false">IF($C232="","",IF(OR(F232="Completed",F232="Cancelled"),"",IF(AND(OR(F232="On Hold",ISNUMBER(VALUE(LEFT(H232,2)))),AY232=""),"Reason not given","")))</f>
        <v/>
      </c>
      <c r="BA232" s="30"/>
    </row>
    <row r="233" customFormat="false" ht="19.5" hidden="false" customHeight="true" outlineLevel="0" collapsed="false">
      <c r="A233" s="28" t="str">
        <f aca="false">IF($C233="","",COUNTA($C$17:$C233))</f>
        <v/>
      </c>
      <c r="B233" s="29"/>
      <c r="C233" s="30"/>
      <c r="D233" s="29"/>
      <c r="E233" s="31" t="str">
        <f aca="false">IF($C233="","",IF(NOT(OR(M233="Completed",M233="NA",M233="Cancelled")),"S1 Schematic",IF(NOT(OR(R233="Completed",R233="NA",R233="Cancelled")),"S2 PCB Layout",IF(NOT(OR(W233="Completed",W233="NA",W233="Cancelled")),"S3 SI &amp; PI",IF(NOT(OR(AB233="Completed",AB233="NA",AB233="Cancelled")),"S4 Bare-PCB Fab",IF(NOT(OR(AG233="Completed",AG233="NA",AG233="Cancelled")),"S5 Assembly",IF(NOT(OR(AL233="Completed",AL233="NA",AL233="Cancelled")),"S6 Bring-up",IF(NOT(OR(AQ233="Completed",AQ233="NA",AQ233="Cancelled")),"S7 BOM Procurement","All Stages Closed"))))))))</f>
        <v/>
      </c>
      <c r="F233" s="32" t="str">
        <f aca="false">IF($C233="","",IF(COUNTIF(M233,"Cancelled")+COUNTIF(R233,"Cancelled")+COUNTIF(W233,"Cancelled")+COUNTIF(AB233,"Cancelled")+COUNTIF(AG233,"Cancelled")+COUNTIF(AL233,"Cancelled")+COUNTIF(AQ233,"Cancelled")&gt;0,"Cancelled",IF(E233="All Stages Closed","Completed",IF(E233="S1 Schematic",M233,IF(E233="S2 PCB Layout",R233,IF(E233="S3 SI &amp; PI",W233,IF(E233="S4 Bare-PCB Fab",AB233,IF(E233="S5 Assembly",AG233,IF(E233="S6 Bring-up",AL233,AQ233)))))))))</f>
        <v/>
      </c>
      <c r="G233" s="33" t="str">
        <f aca="false">IF($C233="","",IF(E233="All Stages Closed","",IF(E233="S1 Schematic",IF(N233="","Not added",N233),IF(E233="S2 PCB Layout",IF(S233="","Not added",S233),IF(E233="S3 SI &amp; PI",IF(X233="","Not added",X233),IF(E233="S4 Bare-PCB Fab",IF(AC233="","Not added",AC233),IF(E233="S5 Assembly",IF(AH233="","Not added",AH233),IF(E233="S6 Bring-up",IF(AM233="","Not added",AM233),IF(AR233="","Not added",AR233)))))))))</f>
        <v/>
      </c>
      <c r="H233" s="32" t="str">
        <f aca="true">IF($C233="","",IF(OR(F233="Completed",F233="Cancelled"),"",IF(NOT(ISNUMBER(G233)),"No date set",IF(TODAY()&gt;G233,TODAY()-G233&amp;" days late",G233-TODAY()&amp;" days left"))))</f>
        <v/>
      </c>
      <c r="I233" s="31" t="str">
        <f aca="false">IF($C233="","",COUNTIF(M233,"Completed")+COUNTIF(R233,"Completed")+COUNTIF(W233,"Completed")+COUNTIF(AB233,"Completed")+COUNTIF(AG233,"Completed")+COUNTIF(AL233,"Completed")+COUNTIF(AQ233,"Completed"))</f>
        <v/>
      </c>
      <c r="J233" s="31" t="str">
        <f aca="false">IF($C233="","",7-(COUNTIF(M233,"NA")+COUNTIF(R233,"NA")+COUNTIF(W233,"NA")+COUNTIF(AB233,"NA")+COUNTIF(AG233,"NA")+COUNTIF(AL233,"NA")+COUNTIF(AQ233,"NA")))</f>
        <v/>
      </c>
      <c r="K233" s="34" t="str">
        <f aca="false">IFERROR(I233/J233,"")</f>
        <v/>
      </c>
      <c r="L233" s="29"/>
      <c r="M233" s="35"/>
      <c r="N233" s="36"/>
      <c r="O233" s="36"/>
      <c r="P233" s="30"/>
      <c r="Q233" s="29"/>
      <c r="R233" s="35"/>
      <c r="S233" s="36"/>
      <c r="T233" s="36"/>
      <c r="U233" s="30"/>
      <c r="V233" s="29"/>
      <c r="W233" s="35"/>
      <c r="X233" s="36"/>
      <c r="Y233" s="36"/>
      <c r="Z233" s="30"/>
      <c r="AA233" s="29"/>
      <c r="AB233" s="35"/>
      <c r="AC233" s="36"/>
      <c r="AD233" s="36"/>
      <c r="AE233" s="30"/>
      <c r="AF233" s="29"/>
      <c r="AG233" s="35"/>
      <c r="AH233" s="36"/>
      <c r="AI233" s="36"/>
      <c r="AJ233" s="30"/>
      <c r="AK233" s="29"/>
      <c r="AL233" s="35"/>
      <c r="AM233" s="36"/>
      <c r="AN233" s="36"/>
      <c r="AO233" s="30"/>
      <c r="AP233" s="29"/>
      <c r="AQ233" s="35"/>
      <c r="AR233" s="36"/>
      <c r="AS233" s="36"/>
      <c r="AT233" s="30"/>
      <c r="AU233" s="29"/>
      <c r="AV233" s="29"/>
      <c r="AW233" s="29"/>
      <c r="AX233" s="37"/>
      <c r="AY233" s="29"/>
      <c r="AZ233" s="38" t="str">
        <f aca="false">IF($C233="","",IF(OR(F233="Completed",F233="Cancelled"),"",IF(AND(OR(F233="On Hold",ISNUMBER(VALUE(LEFT(H233,2)))),AY233=""),"Reason not given","")))</f>
        <v/>
      </c>
      <c r="BA233" s="30"/>
    </row>
    <row r="234" customFormat="false" ht="19.5" hidden="false" customHeight="true" outlineLevel="0" collapsed="false">
      <c r="A234" s="28" t="str">
        <f aca="false">IF($C234="","",COUNTA($C$17:$C234))</f>
        <v/>
      </c>
      <c r="B234" s="29"/>
      <c r="C234" s="30"/>
      <c r="D234" s="29"/>
      <c r="E234" s="31" t="str">
        <f aca="false">IF($C234="","",IF(NOT(OR(M234="Completed",M234="NA",M234="Cancelled")),"S1 Schematic",IF(NOT(OR(R234="Completed",R234="NA",R234="Cancelled")),"S2 PCB Layout",IF(NOT(OR(W234="Completed",W234="NA",W234="Cancelled")),"S3 SI &amp; PI",IF(NOT(OR(AB234="Completed",AB234="NA",AB234="Cancelled")),"S4 Bare-PCB Fab",IF(NOT(OR(AG234="Completed",AG234="NA",AG234="Cancelled")),"S5 Assembly",IF(NOT(OR(AL234="Completed",AL234="NA",AL234="Cancelled")),"S6 Bring-up",IF(NOT(OR(AQ234="Completed",AQ234="NA",AQ234="Cancelled")),"S7 BOM Procurement","All Stages Closed"))))))))</f>
        <v/>
      </c>
      <c r="F234" s="32" t="str">
        <f aca="false">IF($C234="","",IF(COUNTIF(M234,"Cancelled")+COUNTIF(R234,"Cancelled")+COUNTIF(W234,"Cancelled")+COUNTIF(AB234,"Cancelled")+COUNTIF(AG234,"Cancelled")+COUNTIF(AL234,"Cancelled")+COUNTIF(AQ234,"Cancelled")&gt;0,"Cancelled",IF(E234="All Stages Closed","Completed",IF(E234="S1 Schematic",M234,IF(E234="S2 PCB Layout",R234,IF(E234="S3 SI &amp; PI",W234,IF(E234="S4 Bare-PCB Fab",AB234,IF(E234="S5 Assembly",AG234,IF(E234="S6 Bring-up",AL234,AQ234)))))))))</f>
        <v/>
      </c>
      <c r="G234" s="33" t="str">
        <f aca="false">IF($C234="","",IF(E234="All Stages Closed","",IF(E234="S1 Schematic",IF(N234="","Not added",N234),IF(E234="S2 PCB Layout",IF(S234="","Not added",S234),IF(E234="S3 SI &amp; PI",IF(X234="","Not added",X234),IF(E234="S4 Bare-PCB Fab",IF(AC234="","Not added",AC234),IF(E234="S5 Assembly",IF(AH234="","Not added",AH234),IF(E234="S6 Bring-up",IF(AM234="","Not added",AM234),IF(AR234="","Not added",AR234)))))))))</f>
        <v/>
      </c>
      <c r="H234" s="32" t="str">
        <f aca="true">IF($C234="","",IF(OR(F234="Completed",F234="Cancelled"),"",IF(NOT(ISNUMBER(G234)),"No date set",IF(TODAY()&gt;G234,TODAY()-G234&amp;" days late",G234-TODAY()&amp;" days left"))))</f>
        <v/>
      </c>
      <c r="I234" s="31" t="str">
        <f aca="false">IF($C234="","",COUNTIF(M234,"Completed")+COUNTIF(R234,"Completed")+COUNTIF(W234,"Completed")+COUNTIF(AB234,"Completed")+COUNTIF(AG234,"Completed")+COUNTIF(AL234,"Completed")+COUNTIF(AQ234,"Completed"))</f>
        <v/>
      </c>
      <c r="J234" s="31" t="str">
        <f aca="false">IF($C234="","",7-(COUNTIF(M234,"NA")+COUNTIF(R234,"NA")+COUNTIF(W234,"NA")+COUNTIF(AB234,"NA")+COUNTIF(AG234,"NA")+COUNTIF(AL234,"NA")+COUNTIF(AQ234,"NA")))</f>
        <v/>
      </c>
      <c r="K234" s="34" t="str">
        <f aca="false">IFERROR(I234/J234,"")</f>
        <v/>
      </c>
      <c r="L234" s="29"/>
      <c r="M234" s="35"/>
      <c r="N234" s="36"/>
      <c r="O234" s="36"/>
      <c r="P234" s="30"/>
      <c r="Q234" s="29"/>
      <c r="R234" s="35"/>
      <c r="S234" s="36"/>
      <c r="T234" s="36"/>
      <c r="U234" s="30"/>
      <c r="V234" s="29"/>
      <c r="W234" s="35"/>
      <c r="X234" s="36"/>
      <c r="Y234" s="36"/>
      <c r="Z234" s="30"/>
      <c r="AA234" s="29"/>
      <c r="AB234" s="35"/>
      <c r="AC234" s="36"/>
      <c r="AD234" s="36"/>
      <c r="AE234" s="30"/>
      <c r="AF234" s="29"/>
      <c r="AG234" s="35"/>
      <c r="AH234" s="36"/>
      <c r="AI234" s="36"/>
      <c r="AJ234" s="30"/>
      <c r="AK234" s="29"/>
      <c r="AL234" s="35"/>
      <c r="AM234" s="36"/>
      <c r="AN234" s="36"/>
      <c r="AO234" s="30"/>
      <c r="AP234" s="29"/>
      <c r="AQ234" s="35"/>
      <c r="AR234" s="36"/>
      <c r="AS234" s="36"/>
      <c r="AT234" s="30"/>
      <c r="AU234" s="29"/>
      <c r="AV234" s="29"/>
      <c r="AW234" s="29"/>
      <c r="AX234" s="37"/>
      <c r="AY234" s="29"/>
      <c r="AZ234" s="38" t="str">
        <f aca="false">IF($C234="","",IF(OR(F234="Completed",F234="Cancelled"),"",IF(AND(OR(F234="On Hold",ISNUMBER(VALUE(LEFT(H234,2)))),AY234=""),"Reason not given","")))</f>
        <v/>
      </c>
      <c r="BA234" s="30"/>
    </row>
    <row r="235" customFormat="false" ht="19.5" hidden="false" customHeight="true" outlineLevel="0" collapsed="false">
      <c r="A235" s="28" t="str">
        <f aca="false">IF($C235="","",COUNTA($C$17:$C235))</f>
        <v/>
      </c>
      <c r="B235" s="29"/>
      <c r="C235" s="30"/>
      <c r="D235" s="29"/>
      <c r="E235" s="31" t="str">
        <f aca="false">IF($C235="","",IF(NOT(OR(M235="Completed",M235="NA",M235="Cancelled")),"S1 Schematic",IF(NOT(OR(R235="Completed",R235="NA",R235="Cancelled")),"S2 PCB Layout",IF(NOT(OR(W235="Completed",W235="NA",W235="Cancelled")),"S3 SI &amp; PI",IF(NOT(OR(AB235="Completed",AB235="NA",AB235="Cancelled")),"S4 Bare-PCB Fab",IF(NOT(OR(AG235="Completed",AG235="NA",AG235="Cancelled")),"S5 Assembly",IF(NOT(OR(AL235="Completed",AL235="NA",AL235="Cancelled")),"S6 Bring-up",IF(NOT(OR(AQ235="Completed",AQ235="NA",AQ235="Cancelled")),"S7 BOM Procurement","All Stages Closed"))))))))</f>
        <v/>
      </c>
      <c r="F235" s="32" t="str">
        <f aca="false">IF($C235="","",IF(COUNTIF(M235,"Cancelled")+COUNTIF(R235,"Cancelled")+COUNTIF(W235,"Cancelled")+COUNTIF(AB235,"Cancelled")+COUNTIF(AG235,"Cancelled")+COUNTIF(AL235,"Cancelled")+COUNTIF(AQ235,"Cancelled")&gt;0,"Cancelled",IF(E235="All Stages Closed","Completed",IF(E235="S1 Schematic",M235,IF(E235="S2 PCB Layout",R235,IF(E235="S3 SI &amp; PI",W235,IF(E235="S4 Bare-PCB Fab",AB235,IF(E235="S5 Assembly",AG235,IF(E235="S6 Bring-up",AL235,AQ235)))))))))</f>
        <v/>
      </c>
      <c r="G235" s="33" t="str">
        <f aca="false">IF($C235="","",IF(E235="All Stages Closed","",IF(E235="S1 Schematic",IF(N235="","Not added",N235),IF(E235="S2 PCB Layout",IF(S235="","Not added",S235),IF(E235="S3 SI &amp; PI",IF(X235="","Not added",X235),IF(E235="S4 Bare-PCB Fab",IF(AC235="","Not added",AC235),IF(E235="S5 Assembly",IF(AH235="","Not added",AH235),IF(E235="S6 Bring-up",IF(AM235="","Not added",AM235),IF(AR235="","Not added",AR235)))))))))</f>
        <v/>
      </c>
      <c r="H235" s="32" t="str">
        <f aca="true">IF($C235="","",IF(OR(F235="Completed",F235="Cancelled"),"",IF(NOT(ISNUMBER(G235)),"No date set",IF(TODAY()&gt;G235,TODAY()-G235&amp;" days late",G235-TODAY()&amp;" days left"))))</f>
        <v/>
      </c>
      <c r="I235" s="31" t="str">
        <f aca="false">IF($C235="","",COUNTIF(M235,"Completed")+COUNTIF(R235,"Completed")+COUNTIF(W235,"Completed")+COUNTIF(AB235,"Completed")+COUNTIF(AG235,"Completed")+COUNTIF(AL235,"Completed")+COUNTIF(AQ235,"Completed"))</f>
        <v/>
      </c>
      <c r="J235" s="31" t="str">
        <f aca="false">IF($C235="","",7-(COUNTIF(M235,"NA")+COUNTIF(R235,"NA")+COUNTIF(W235,"NA")+COUNTIF(AB235,"NA")+COUNTIF(AG235,"NA")+COUNTIF(AL235,"NA")+COUNTIF(AQ235,"NA")))</f>
        <v/>
      </c>
      <c r="K235" s="34" t="str">
        <f aca="false">IFERROR(I235/J235,"")</f>
        <v/>
      </c>
      <c r="L235" s="29"/>
      <c r="M235" s="35"/>
      <c r="N235" s="36"/>
      <c r="O235" s="36"/>
      <c r="P235" s="30"/>
      <c r="Q235" s="29"/>
      <c r="R235" s="35"/>
      <c r="S235" s="36"/>
      <c r="T235" s="36"/>
      <c r="U235" s="30"/>
      <c r="V235" s="29"/>
      <c r="W235" s="35"/>
      <c r="X235" s="36"/>
      <c r="Y235" s="36"/>
      <c r="Z235" s="30"/>
      <c r="AA235" s="29"/>
      <c r="AB235" s="35"/>
      <c r="AC235" s="36"/>
      <c r="AD235" s="36"/>
      <c r="AE235" s="30"/>
      <c r="AF235" s="29"/>
      <c r="AG235" s="35"/>
      <c r="AH235" s="36"/>
      <c r="AI235" s="36"/>
      <c r="AJ235" s="30"/>
      <c r="AK235" s="29"/>
      <c r="AL235" s="35"/>
      <c r="AM235" s="36"/>
      <c r="AN235" s="36"/>
      <c r="AO235" s="30"/>
      <c r="AP235" s="29"/>
      <c r="AQ235" s="35"/>
      <c r="AR235" s="36"/>
      <c r="AS235" s="36"/>
      <c r="AT235" s="30"/>
      <c r="AU235" s="29"/>
      <c r="AV235" s="29"/>
      <c r="AW235" s="29"/>
      <c r="AX235" s="37"/>
      <c r="AY235" s="29"/>
      <c r="AZ235" s="38" t="str">
        <f aca="false">IF($C235="","",IF(OR(F235="Completed",F235="Cancelled"),"",IF(AND(OR(F235="On Hold",ISNUMBER(VALUE(LEFT(H235,2)))),AY235=""),"Reason not given","")))</f>
        <v/>
      </c>
      <c r="BA235" s="30"/>
    </row>
    <row r="236" customFormat="false" ht="19.5" hidden="false" customHeight="true" outlineLevel="0" collapsed="false">
      <c r="A236" s="28" t="str">
        <f aca="false">IF($C236="","",COUNTA($C$17:$C236))</f>
        <v/>
      </c>
      <c r="B236" s="29"/>
      <c r="C236" s="30"/>
      <c r="D236" s="29"/>
      <c r="E236" s="31" t="str">
        <f aca="false">IF($C236="","",IF(NOT(OR(M236="Completed",M236="NA",M236="Cancelled")),"S1 Schematic",IF(NOT(OR(R236="Completed",R236="NA",R236="Cancelled")),"S2 PCB Layout",IF(NOT(OR(W236="Completed",W236="NA",W236="Cancelled")),"S3 SI &amp; PI",IF(NOT(OR(AB236="Completed",AB236="NA",AB236="Cancelled")),"S4 Bare-PCB Fab",IF(NOT(OR(AG236="Completed",AG236="NA",AG236="Cancelled")),"S5 Assembly",IF(NOT(OR(AL236="Completed",AL236="NA",AL236="Cancelled")),"S6 Bring-up",IF(NOT(OR(AQ236="Completed",AQ236="NA",AQ236="Cancelled")),"S7 BOM Procurement","All Stages Closed"))))))))</f>
        <v/>
      </c>
      <c r="F236" s="32" t="str">
        <f aca="false">IF($C236="","",IF(COUNTIF(M236,"Cancelled")+COUNTIF(R236,"Cancelled")+COUNTIF(W236,"Cancelled")+COUNTIF(AB236,"Cancelled")+COUNTIF(AG236,"Cancelled")+COUNTIF(AL236,"Cancelled")+COUNTIF(AQ236,"Cancelled")&gt;0,"Cancelled",IF(E236="All Stages Closed","Completed",IF(E236="S1 Schematic",M236,IF(E236="S2 PCB Layout",R236,IF(E236="S3 SI &amp; PI",W236,IF(E236="S4 Bare-PCB Fab",AB236,IF(E236="S5 Assembly",AG236,IF(E236="S6 Bring-up",AL236,AQ236)))))))))</f>
        <v/>
      </c>
      <c r="G236" s="33" t="str">
        <f aca="false">IF($C236="","",IF(E236="All Stages Closed","",IF(E236="S1 Schematic",IF(N236="","Not added",N236),IF(E236="S2 PCB Layout",IF(S236="","Not added",S236),IF(E236="S3 SI &amp; PI",IF(X236="","Not added",X236),IF(E236="S4 Bare-PCB Fab",IF(AC236="","Not added",AC236),IF(E236="S5 Assembly",IF(AH236="","Not added",AH236),IF(E236="S6 Bring-up",IF(AM236="","Not added",AM236),IF(AR236="","Not added",AR236)))))))))</f>
        <v/>
      </c>
      <c r="H236" s="32" t="str">
        <f aca="true">IF($C236="","",IF(OR(F236="Completed",F236="Cancelled"),"",IF(NOT(ISNUMBER(G236)),"No date set",IF(TODAY()&gt;G236,TODAY()-G236&amp;" days late",G236-TODAY()&amp;" days left"))))</f>
        <v/>
      </c>
      <c r="I236" s="31" t="str">
        <f aca="false">IF($C236="","",COUNTIF(M236,"Completed")+COUNTIF(R236,"Completed")+COUNTIF(W236,"Completed")+COUNTIF(AB236,"Completed")+COUNTIF(AG236,"Completed")+COUNTIF(AL236,"Completed")+COUNTIF(AQ236,"Completed"))</f>
        <v/>
      </c>
      <c r="J236" s="31" t="str">
        <f aca="false">IF($C236="","",7-(COUNTIF(M236,"NA")+COUNTIF(R236,"NA")+COUNTIF(W236,"NA")+COUNTIF(AB236,"NA")+COUNTIF(AG236,"NA")+COUNTIF(AL236,"NA")+COUNTIF(AQ236,"NA")))</f>
        <v/>
      </c>
      <c r="K236" s="34" t="str">
        <f aca="false">IFERROR(I236/J236,"")</f>
        <v/>
      </c>
      <c r="L236" s="29"/>
      <c r="M236" s="35"/>
      <c r="N236" s="36"/>
      <c r="O236" s="36"/>
      <c r="P236" s="30"/>
      <c r="Q236" s="29"/>
      <c r="R236" s="35"/>
      <c r="S236" s="36"/>
      <c r="T236" s="36"/>
      <c r="U236" s="30"/>
      <c r="V236" s="29"/>
      <c r="W236" s="35"/>
      <c r="X236" s="36"/>
      <c r="Y236" s="36"/>
      <c r="Z236" s="30"/>
      <c r="AA236" s="29"/>
      <c r="AB236" s="35"/>
      <c r="AC236" s="36"/>
      <c r="AD236" s="36"/>
      <c r="AE236" s="30"/>
      <c r="AF236" s="29"/>
      <c r="AG236" s="35"/>
      <c r="AH236" s="36"/>
      <c r="AI236" s="36"/>
      <c r="AJ236" s="30"/>
      <c r="AK236" s="29"/>
      <c r="AL236" s="35"/>
      <c r="AM236" s="36"/>
      <c r="AN236" s="36"/>
      <c r="AO236" s="30"/>
      <c r="AP236" s="29"/>
      <c r="AQ236" s="35"/>
      <c r="AR236" s="36"/>
      <c r="AS236" s="36"/>
      <c r="AT236" s="30"/>
      <c r="AU236" s="29"/>
      <c r="AV236" s="29"/>
      <c r="AW236" s="29"/>
      <c r="AX236" s="37"/>
      <c r="AY236" s="29"/>
      <c r="AZ236" s="38" t="str">
        <f aca="false">IF($C236="","",IF(OR(F236="Completed",F236="Cancelled"),"",IF(AND(OR(F236="On Hold",ISNUMBER(VALUE(LEFT(H236,2)))),AY236=""),"Reason not given","")))</f>
        <v/>
      </c>
      <c r="BA236" s="30"/>
    </row>
    <row r="237" customFormat="false" ht="19.5" hidden="false" customHeight="true" outlineLevel="0" collapsed="false">
      <c r="A237" s="28" t="str">
        <f aca="false">IF($C237="","",COUNTA($C$17:$C237))</f>
        <v/>
      </c>
      <c r="B237" s="29"/>
      <c r="C237" s="30"/>
      <c r="D237" s="29"/>
      <c r="E237" s="31" t="str">
        <f aca="false">IF($C237="","",IF(NOT(OR(M237="Completed",M237="NA",M237="Cancelled")),"S1 Schematic",IF(NOT(OR(R237="Completed",R237="NA",R237="Cancelled")),"S2 PCB Layout",IF(NOT(OR(W237="Completed",W237="NA",W237="Cancelled")),"S3 SI &amp; PI",IF(NOT(OR(AB237="Completed",AB237="NA",AB237="Cancelled")),"S4 Bare-PCB Fab",IF(NOT(OR(AG237="Completed",AG237="NA",AG237="Cancelled")),"S5 Assembly",IF(NOT(OR(AL237="Completed",AL237="NA",AL237="Cancelled")),"S6 Bring-up",IF(NOT(OR(AQ237="Completed",AQ237="NA",AQ237="Cancelled")),"S7 BOM Procurement","All Stages Closed"))))))))</f>
        <v/>
      </c>
      <c r="F237" s="32" t="str">
        <f aca="false">IF($C237="","",IF(COUNTIF(M237,"Cancelled")+COUNTIF(R237,"Cancelled")+COUNTIF(W237,"Cancelled")+COUNTIF(AB237,"Cancelled")+COUNTIF(AG237,"Cancelled")+COUNTIF(AL237,"Cancelled")+COUNTIF(AQ237,"Cancelled")&gt;0,"Cancelled",IF(E237="All Stages Closed","Completed",IF(E237="S1 Schematic",M237,IF(E237="S2 PCB Layout",R237,IF(E237="S3 SI &amp; PI",W237,IF(E237="S4 Bare-PCB Fab",AB237,IF(E237="S5 Assembly",AG237,IF(E237="S6 Bring-up",AL237,AQ237)))))))))</f>
        <v/>
      </c>
      <c r="G237" s="33" t="str">
        <f aca="false">IF($C237="","",IF(E237="All Stages Closed","",IF(E237="S1 Schematic",IF(N237="","Not added",N237),IF(E237="S2 PCB Layout",IF(S237="","Not added",S237),IF(E237="S3 SI &amp; PI",IF(X237="","Not added",X237),IF(E237="S4 Bare-PCB Fab",IF(AC237="","Not added",AC237),IF(E237="S5 Assembly",IF(AH237="","Not added",AH237),IF(E237="S6 Bring-up",IF(AM237="","Not added",AM237),IF(AR237="","Not added",AR237)))))))))</f>
        <v/>
      </c>
      <c r="H237" s="32" t="str">
        <f aca="true">IF($C237="","",IF(OR(F237="Completed",F237="Cancelled"),"",IF(NOT(ISNUMBER(G237)),"No date set",IF(TODAY()&gt;G237,TODAY()-G237&amp;" days late",G237-TODAY()&amp;" days left"))))</f>
        <v/>
      </c>
      <c r="I237" s="31" t="str">
        <f aca="false">IF($C237="","",COUNTIF(M237,"Completed")+COUNTIF(R237,"Completed")+COUNTIF(W237,"Completed")+COUNTIF(AB237,"Completed")+COUNTIF(AG237,"Completed")+COUNTIF(AL237,"Completed")+COUNTIF(AQ237,"Completed"))</f>
        <v/>
      </c>
      <c r="J237" s="31" t="str">
        <f aca="false">IF($C237="","",7-(COUNTIF(M237,"NA")+COUNTIF(R237,"NA")+COUNTIF(W237,"NA")+COUNTIF(AB237,"NA")+COUNTIF(AG237,"NA")+COUNTIF(AL237,"NA")+COUNTIF(AQ237,"NA")))</f>
        <v/>
      </c>
      <c r="K237" s="34" t="str">
        <f aca="false">IFERROR(I237/J237,"")</f>
        <v/>
      </c>
      <c r="L237" s="29"/>
      <c r="M237" s="35"/>
      <c r="N237" s="36"/>
      <c r="O237" s="36"/>
      <c r="P237" s="30"/>
      <c r="Q237" s="29"/>
      <c r="R237" s="35"/>
      <c r="S237" s="36"/>
      <c r="T237" s="36"/>
      <c r="U237" s="30"/>
      <c r="V237" s="29"/>
      <c r="W237" s="35"/>
      <c r="X237" s="36"/>
      <c r="Y237" s="36"/>
      <c r="Z237" s="30"/>
      <c r="AA237" s="29"/>
      <c r="AB237" s="35"/>
      <c r="AC237" s="36"/>
      <c r="AD237" s="36"/>
      <c r="AE237" s="30"/>
      <c r="AF237" s="29"/>
      <c r="AG237" s="35"/>
      <c r="AH237" s="36"/>
      <c r="AI237" s="36"/>
      <c r="AJ237" s="30"/>
      <c r="AK237" s="29"/>
      <c r="AL237" s="35"/>
      <c r="AM237" s="36"/>
      <c r="AN237" s="36"/>
      <c r="AO237" s="30"/>
      <c r="AP237" s="29"/>
      <c r="AQ237" s="35"/>
      <c r="AR237" s="36"/>
      <c r="AS237" s="36"/>
      <c r="AT237" s="30"/>
      <c r="AU237" s="29"/>
      <c r="AV237" s="29"/>
      <c r="AW237" s="29"/>
      <c r="AX237" s="37"/>
      <c r="AY237" s="29"/>
      <c r="AZ237" s="38" t="str">
        <f aca="false">IF($C237="","",IF(OR(F237="Completed",F237="Cancelled"),"",IF(AND(OR(F237="On Hold",ISNUMBER(VALUE(LEFT(H237,2)))),AY237=""),"Reason not given","")))</f>
        <v/>
      </c>
      <c r="BA237" s="30"/>
    </row>
    <row r="238" customFormat="false" ht="19.5" hidden="false" customHeight="true" outlineLevel="0" collapsed="false">
      <c r="A238" s="28" t="str">
        <f aca="false">IF($C238="","",COUNTA($C$17:$C238))</f>
        <v/>
      </c>
      <c r="B238" s="29"/>
      <c r="C238" s="30"/>
      <c r="D238" s="29"/>
      <c r="E238" s="31" t="str">
        <f aca="false">IF($C238="","",IF(NOT(OR(M238="Completed",M238="NA",M238="Cancelled")),"S1 Schematic",IF(NOT(OR(R238="Completed",R238="NA",R238="Cancelled")),"S2 PCB Layout",IF(NOT(OR(W238="Completed",W238="NA",W238="Cancelled")),"S3 SI &amp; PI",IF(NOT(OR(AB238="Completed",AB238="NA",AB238="Cancelled")),"S4 Bare-PCB Fab",IF(NOT(OR(AG238="Completed",AG238="NA",AG238="Cancelled")),"S5 Assembly",IF(NOT(OR(AL238="Completed",AL238="NA",AL238="Cancelled")),"S6 Bring-up",IF(NOT(OR(AQ238="Completed",AQ238="NA",AQ238="Cancelled")),"S7 BOM Procurement","All Stages Closed"))))))))</f>
        <v/>
      </c>
      <c r="F238" s="32" t="str">
        <f aca="false">IF($C238="","",IF(COUNTIF(M238,"Cancelled")+COUNTIF(R238,"Cancelled")+COUNTIF(W238,"Cancelled")+COUNTIF(AB238,"Cancelled")+COUNTIF(AG238,"Cancelled")+COUNTIF(AL238,"Cancelled")+COUNTIF(AQ238,"Cancelled")&gt;0,"Cancelled",IF(E238="All Stages Closed","Completed",IF(E238="S1 Schematic",M238,IF(E238="S2 PCB Layout",R238,IF(E238="S3 SI &amp; PI",W238,IF(E238="S4 Bare-PCB Fab",AB238,IF(E238="S5 Assembly",AG238,IF(E238="S6 Bring-up",AL238,AQ238)))))))))</f>
        <v/>
      </c>
      <c r="G238" s="33" t="str">
        <f aca="false">IF($C238="","",IF(E238="All Stages Closed","",IF(E238="S1 Schematic",IF(N238="","Not added",N238),IF(E238="S2 PCB Layout",IF(S238="","Not added",S238),IF(E238="S3 SI &amp; PI",IF(X238="","Not added",X238),IF(E238="S4 Bare-PCB Fab",IF(AC238="","Not added",AC238),IF(E238="S5 Assembly",IF(AH238="","Not added",AH238),IF(E238="S6 Bring-up",IF(AM238="","Not added",AM238),IF(AR238="","Not added",AR238)))))))))</f>
        <v/>
      </c>
      <c r="H238" s="32" t="str">
        <f aca="true">IF($C238="","",IF(OR(F238="Completed",F238="Cancelled"),"",IF(NOT(ISNUMBER(G238)),"No date set",IF(TODAY()&gt;G238,TODAY()-G238&amp;" days late",G238-TODAY()&amp;" days left"))))</f>
        <v/>
      </c>
      <c r="I238" s="31" t="str">
        <f aca="false">IF($C238="","",COUNTIF(M238,"Completed")+COUNTIF(R238,"Completed")+COUNTIF(W238,"Completed")+COUNTIF(AB238,"Completed")+COUNTIF(AG238,"Completed")+COUNTIF(AL238,"Completed")+COUNTIF(AQ238,"Completed"))</f>
        <v/>
      </c>
      <c r="J238" s="31" t="str">
        <f aca="false">IF($C238="","",7-(COUNTIF(M238,"NA")+COUNTIF(R238,"NA")+COUNTIF(W238,"NA")+COUNTIF(AB238,"NA")+COUNTIF(AG238,"NA")+COUNTIF(AL238,"NA")+COUNTIF(AQ238,"NA")))</f>
        <v/>
      </c>
      <c r="K238" s="34" t="str">
        <f aca="false">IFERROR(I238/J238,"")</f>
        <v/>
      </c>
      <c r="L238" s="29"/>
      <c r="M238" s="35"/>
      <c r="N238" s="36"/>
      <c r="O238" s="36"/>
      <c r="P238" s="30"/>
      <c r="Q238" s="29"/>
      <c r="R238" s="35"/>
      <c r="S238" s="36"/>
      <c r="T238" s="36"/>
      <c r="U238" s="30"/>
      <c r="V238" s="29"/>
      <c r="W238" s="35"/>
      <c r="X238" s="36"/>
      <c r="Y238" s="36"/>
      <c r="Z238" s="30"/>
      <c r="AA238" s="29"/>
      <c r="AB238" s="35"/>
      <c r="AC238" s="36"/>
      <c r="AD238" s="36"/>
      <c r="AE238" s="30"/>
      <c r="AF238" s="29"/>
      <c r="AG238" s="35"/>
      <c r="AH238" s="36"/>
      <c r="AI238" s="36"/>
      <c r="AJ238" s="30"/>
      <c r="AK238" s="29"/>
      <c r="AL238" s="35"/>
      <c r="AM238" s="36"/>
      <c r="AN238" s="36"/>
      <c r="AO238" s="30"/>
      <c r="AP238" s="29"/>
      <c r="AQ238" s="35"/>
      <c r="AR238" s="36"/>
      <c r="AS238" s="36"/>
      <c r="AT238" s="30"/>
      <c r="AU238" s="29"/>
      <c r="AV238" s="29"/>
      <c r="AW238" s="29"/>
      <c r="AX238" s="37"/>
      <c r="AY238" s="29"/>
      <c r="AZ238" s="38" t="str">
        <f aca="false">IF($C238="","",IF(OR(F238="Completed",F238="Cancelled"),"",IF(AND(OR(F238="On Hold",ISNUMBER(VALUE(LEFT(H238,2)))),AY238=""),"Reason not given","")))</f>
        <v/>
      </c>
      <c r="BA238" s="30"/>
    </row>
    <row r="239" customFormat="false" ht="19.5" hidden="false" customHeight="true" outlineLevel="0" collapsed="false">
      <c r="A239" s="28" t="str">
        <f aca="false">IF($C239="","",COUNTA($C$17:$C239))</f>
        <v/>
      </c>
      <c r="B239" s="29"/>
      <c r="C239" s="30"/>
      <c r="D239" s="29"/>
      <c r="E239" s="31" t="str">
        <f aca="false">IF($C239="","",IF(NOT(OR(M239="Completed",M239="NA",M239="Cancelled")),"S1 Schematic",IF(NOT(OR(R239="Completed",R239="NA",R239="Cancelled")),"S2 PCB Layout",IF(NOT(OR(W239="Completed",W239="NA",W239="Cancelled")),"S3 SI &amp; PI",IF(NOT(OR(AB239="Completed",AB239="NA",AB239="Cancelled")),"S4 Bare-PCB Fab",IF(NOT(OR(AG239="Completed",AG239="NA",AG239="Cancelled")),"S5 Assembly",IF(NOT(OR(AL239="Completed",AL239="NA",AL239="Cancelled")),"S6 Bring-up",IF(NOT(OR(AQ239="Completed",AQ239="NA",AQ239="Cancelled")),"S7 BOM Procurement","All Stages Closed"))))))))</f>
        <v/>
      </c>
      <c r="F239" s="32" t="str">
        <f aca="false">IF($C239="","",IF(COUNTIF(M239,"Cancelled")+COUNTIF(R239,"Cancelled")+COUNTIF(W239,"Cancelled")+COUNTIF(AB239,"Cancelled")+COUNTIF(AG239,"Cancelled")+COUNTIF(AL239,"Cancelled")+COUNTIF(AQ239,"Cancelled")&gt;0,"Cancelled",IF(E239="All Stages Closed","Completed",IF(E239="S1 Schematic",M239,IF(E239="S2 PCB Layout",R239,IF(E239="S3 SI &amp; PI",W239,IF(E239="S4 Bare-PCB Fab",AB239,IF(E239="S5 Assembly",AG239,IF(E239="S6 Bring-up",AL239,AQ239)))))))))</f>
        <v/>
      </c>
      <c r="G239" s="33" t="str">
        <f aca="false">IF($C239="","",IF(E239="All Stages Closed","",IF(E239="S1 Schematic",IF(N239="","Not added",N239),IF(E239="S2 PCB Layout",IF(S239="","Not added",S239),IF(E239="S3 SI &amp; PI",IF(X239="","Not added",X239),IF(E239="S4 Bare-PCB Fab",IF(AC239="","Not added",AC239),IF(E239="S5 Assembly",IF(AH239="","Not added",AH239),IF(E239="S6 Bring-up",IF(AM239="","Not added",AM239),IF(AR239="","Not added",AR239)))))))))</f>
        <v/>
      </c>
      <c r="H239" s="32" t="str">
        <f aca="true">IF($C239="","",IF(OR(F239="Completed",F239="Cancelled"),"",IF(NOT(ISNUMBER(G239)),"No date set",IF(TODAY()&gt;G239,TODAY()-G239&amp;" days late",G239-TODAY()&amp;" days left"))))</f>
        <v/>
      </c>
      <c r="I239" s="31" t="str">
        <f aca="false">IF($C239="","",COUNTIF(M239,"Completed")+COUNTIF(R239,"Completed")+COUNTIF(W239,"Completed")+COUNTIF(AB239,"Completed")+COUNTIF(AG239,"Completed")+COUNTIF(AL239,"Completed")+COUNTIF(AQ239,"Completed"))</f>
        <v/>
      </c>
      <c r="J239" s="31" t="str">
        <f aca="false">IF($C239="","",7-(COUNTIF(M239,"NA")+COUNTIF(R239,"NA")+COUNTIF(W239,"NA")+COUNTIF(AB239,"NA")+COUNTIF(AG239,"NA")+COUNTIF(AL239,"NA")+COUNTIF(AQ239,"NA")))</f>
        <v/>
      </c>
      <c r="K239" s="34" t="str">
        <f aca="false">IFERROR(I239/J239,"")</f>
        <v/>
      </c>
      <c r="L239" s="29"/>
      <c r="M239" s="35"/>
      <c r="N239" s="36"/>
      <c r="O239" s="36"/>
      <c r="P239" s="30"/>
      <c r="Q239" s="29"/>
      <c r="R239" s="35"/>
      <c r="S239" s="36"/>
      <c r="T239" s="36"/>
      <c r="U239" s="30"/>
      <c r="V239" s="29"/>
      <c r="W239" s="35"/>
      <c r="X239" s="36"/>
      <c r="Y239" s="36"/>
      <c r="Z239" s="30"/>
      <c r="AA239" s="29"/>
      <c r="AB239" s="35"/>
      <c r="AC239" s="36"/>
      <c r="AD239" s="36"/>
      <c r="AE239" s="30"/>
      <c r="AF239" s="29"/>
      <c r="AG239" s="35"/>
      <c r="AH239" s="36"/>
      <c r="AI239" s="36"/>
      <c r="AJ239" s="30"/>
      <c r="AK239" s="29"/>
      <c r="AL239" s="35"/>
      <c r="AM239" s="36"/>
      <c r="AN239" s="36"/>
      <c r="AO239" s="30"/>
      <c r="AP239" s="29"/>
      <c r="AQ239" s="35"/>
      <c r="AR239" s="36"/>
      <c r="AS239" s="36"/>
      <c r="AT239" s="30"/>
      <c r="AU239" s="29"/>
      <c r="AV239" s="29"/>
      <c r="AW239" s="29"/>
      <c r="AX239" s="37"/>
      <c r="AY239" s="29"/>
      <c r="AZ239" s="38" t="str">
        <f aca="false">IF($C239="","",IF(OR(F239="Completed",F239="Cancelled"),"",IF(AND(OR(F239="On Hold",ISNUMBER(VALUE(LEFT(H239,2)))),AY239=""),"Reason not given","")))</f>
        <v/>
      </c>
      <c r="BA239" s="30"/>
    </row>
    <row r="240" customFormat="false" ht="19.5" hidden="false" customHeight="true" outlineLevel="0" collapsed="false">
      <c r="A240" s="28" t="str">
        <f aca="false">IF($C240="","",COUNTA($C$17:$C240))</f>
        <v/>
      </c>
      <c r="B240" s="29"/>
      <c r="C240" s="30"/>
      <c r="D240" s="29"/>
      <c r="E240" s="31" t="str">
        <f aca="false">IF($C240="","",IF(NOT(OR(M240="Completed",M240="NA",M240="Cancelled")),"S1 Schematic",IF(NOT(OR(R240="Completed",R240="NA",R240="Cancelled")),"S2 PCB Layout",IF(NOT(OR(W240="Completed",W240="NA",W240="Cancelled")),"S3 SI &amp; PI",IF(NOT(OR(AB240="Completed",AB240="NA",AB240="Cancelled")),"S4 Bare-PCB Fab",IF(NOT(OR(AG240="Completed",AG240="NA",AG240="Cancelled")),"S5 Assembly",IF(NOT(OR(AL240="Completed",AL240="NA",AL240="Cancelled")),"S6 Bring-up",IF(NOT(OR(AQ240="Completed",AQ240="NA",AQ240="Cancelled")),"S7 BOM Procurement","All Stages Closed"))))))))</f>
        <v/>
      </c>
      <c r="F240" s="32" t="str">
        <f aca="false">IF($C240="","",IF(COUNTIF(M240,"Cancelled")+COUNTIF(R240,"Cancelled")+COUNTIF(W240,"Cancelled")+COUNTIF(AB240,"Cancelled")+COUNTIF(AG240,"Cancelled")+COUNTIF(AL240,"Cancelled")+COUNTIF(AQ240,"Cancelled")&gt;0,"Cancelled",IF(E240="All Stages Closed","Completed",IF(E240="S1 Schematic",M240,IF(E240="S2 PCB Layout",R240,IF(E240="S3 SI &amp; PI",W240,IF(E240="S4 Bare-PCB Fab",AB240,IF(E240="S5 Assembly",AG240,IF(E240="S6 Bring-up",AL240,AQ240)))))))))</f>
        <v/>
      </c>
      <c r="G240" s="33" t="str">
        <f aca="false">IF($C240="","",IF(E240="All Stages Closed","",IF(E240="S1 Schematic",IF(N240="","Not added",N240),IF(E240="S2 PCB Layout",IF(S240="","Not added",S240),IF(E240="S3 SI &amp; PI",IF(X240="","Not added",X240),IF(E240="S4 Bare-PCB Fab",IF(AC240="","Not added",AC240),IF(E240="S5 Assembly",IF(AH240="","Not added",AH240),IF(E240="S6 Bring-up",IF(AM240="","Not added",AM240),IF(AR240="","Not added",AR240)))))))))</f>
        <v/>
      </c>
      <c r="H240" s="32" t="str">
        <f aca="true">IF($C240="","",IF(OR(F240="Completed",F240="Cancelled"),"",IF(NOT(ISNUMBER(G240)),"No date set",IF(TODAY()&gt;G240,TODAY()-G240&amp;" days late",G240-TODAY()&amp;" days left"))))</f>
        <v/>
      </c>
      <c r="I240" s="31" t="str">
        <f aca="false">IF($C240="","",COUNTIF(M240,"Completed")+COUNTIF(R240,"Completed")+COUNTIF(W240,"Completed")+COUNTIF(AB240,"Completed")+COUNTIF(AG240,"Completed")+COUNTIF(AL240,"Completed")+COUNTIF(AQ240,"Completed"))</f>
        <v/>
      </c>
      <c r="J240" s="31" t="str">
        <f aca="false">IF($C240="","",7-(COUNTIF(M240,"NA")+COUNTIF(R240,"NA")+COUNTIF(W240,"NA")+COUNTIF(AB240,"NA")+COUNTIF(AG240,"NA")+COUNTIF(AL240,"NA")+COUNTIF(AQ240,"NA")))</f>
        <v/>
      </c>
      <c r="K240" s="34" t="str">
        <f aca="false">IFERROR(I240/J240,"")</f>
        <v/>
      </c>
      <c r="L240" s="29"/>
      <c r="M240" s="35"/>
      <c r="N240" s="36"/>
      <c r="O240" s="36"/>
      <c r="P240" s="30"/>
      <c r="Q240" s="29"/>
      <c r="R240" s="35"/>
      <c r="S240" s="36"/>
      <c r="T240" s="36"/>
      <c r="U240" s="30"/>
      <c r="V240" s="29"/>
      <c r="W240" s="35"/>
      <c r="X240" s="36"/>
      <c r="Y240" s="36"/>
      <c r="Z240" s="30"/>
      <c r="AA240" s="29"/>
      <c r="AB240" s="35"/>
      <c r="AC240" s="36"/>
      <c r="AD240" s="36"/>
      <c r="AE240" s="30"/>
      <c r="AF240" s="29"/>
      <c r="AG240" s="35"/>
      <c r="AH240" s="36"/>
      <c r="AI240" s="36"/>
      <c r="AJ240" s="30"/>
      <c r="AK240" s="29"/>
      <c r="AL240" s="35"/>
      <c r="AM240" s="36"/>
      <c r="AN240" s="36"/>
      <c r="AO240" s="30"/>
      <c r="AP240" s="29"/>
      <c r="AQ240" s="35"/>
      <c r="AR240" s="36"/>
      <c r="AS240" s="36"/>
      <c r="AT240" s="30"/>
      <c r="AU240" s="29"/>
      <c r="AV240" s="29"/>
      <c r="AW240" s="29"/>
      <c r="AX240" s="37"/>
      <c r="AY240" s="29"/>
      <c r="AZ240" s="38" t="str">
        <f aca="false">IF($C240="","",IF(OR(F240="Completed",F240="Cancelled"),"",IF(AND(OR(F240="On Hold",ISNUMBER(VALUE(LEFT(H240,2)))),AY240=""),"Reason not given","")))</f>
        <v/>
      </c>
      <c r="BA240" s="30"/>
    </row>
    <row r="241" customFormat="false" ht="19.5" hidden="false" customHeight="true" outlineLevel="0" collapsed="false">
      <c r="A241" s="28" t="str">
        <f aca="false">IF($C241="","",COUNTA($C$17:$C241))</f>
        <v/>
      </c>
      <c r="B241" s="29"/>
      <c r="C241" s="30"/>
      <c r="D241" s="29"/>
      <c r="E241" s="31" t="str">
        <f aca="false">IF($C241="","",IF(NOT(OR(M241="Completed",M241="NA",M241="Cancelled")),"S1 Schematic",IF(NOT(OR(R241="Completed",R241="NA",R241="Cancelled")),"S2 PCB Layout",IF(NOT(OR(W241="Completed",W241="NA",W241="Cancelled")),"S3 SI &amp; PI",IF(NOT(OR(AB241="Completed",AB241="NA",AB241="Cancelled")),"S4 Bare-PCB Fab",IF(NOT(OR(AG241="Completed",AG241="NA",AG241="Cancelled")),"S5 Assembly",IF(NOT(OR(AL241="Completed",AL241="NA",AL241="Cancelled")),"S6 Bring-up",IF(NOT(OR(AQ241="Completed",AQ241="NA",AQ241="Cancelled")),"S7 BOM Procurement","All Stages Closed"))))))))</f>
        <v/>
      </c>
      <c r="F241" s="32" t="str">
        <f aca="false">IF($C241="","",IF(COUNTIF(M241,"Cancelled")+COUNTIF(R241,"Cancelled")+COUNTIF(W241,"Cancelled")+COUNTIF(AB241,"Cancelled")+COUNTIF(AG241,"Cancelled")+COUNTIF(AL241,"Cancelled")+COUNTIF(AQ241,"Cancelled")&gt;0,"Cancelled",IF(E241="All Stages Closed","Completed",IF(E241="S1 Schematic",M241,IF(E241="S2 PCB Layout",R241,IF(E241="S3 SI &amp; PI",W241,IF(E241="S4 Bare-PCB Fab",AB241,IF(E241="S5 Assembly",AG241,IF(E241="S6 Bring-up",AL241,AQ241)))))))))</f>
        <v/>
      </c>
      <c r="G241" s="33" t="str">
        <f aca="false">IF($C241="","",IF(E241="All Stages Closed","",IF(E241="S1 Schematic",IF(N241="","Not added",N241),IF(E241="S2 PCB Layout",IF(S241="","Not added",S241),IF(E241="S3 SI &amp; PI",IF(X241="","Not added",X241),IF(E241="S4 Bare-PCB Fab",IF(AC241="","Not added",AC241),IF(E241="S5 Assembly",IF(AH241="","Not added",AH241),IF(E241="S6 Bring-up",IF(AM241="","Not added",AM241),IF(AR241="","Not added",AR241)))))))))</f>
        <v/>
      </c>
      <c r="H241" s="32" t="str">
        <f aca="true">IF($C241="","",IF(OR(F241="Completed",F241="Cancelled"),"",IF(NOT(ISNUMBER(G241)),"No date set",IF(TODAY()&gt;G241,TODAY()-G241&amp;" days late",G241-TODAY()&amp;" days left"))))</f>
        <v/>
      </c>
      <c r="I241" s="31" t="str">
        <f aca="false">IF($C241="","",COUNTIF(M241,"Completed")+COUNTIF(R241,"Completed")+COUNTIF(W241,"Completed")+COUNTIF(AB241,"Completed")+COUNTIF(AG241,"Completed")+COUNTIF(AL241,"Completed")+COUNTIF(AQ241,"Completed"))</f>
        <v/>
      </c>
      <c r="J241" s="31" t="str">
        <f aca="false">IF($C241="","",7-(COUNTIF(M241,"NA")+COUNTIF(R241,"NA")+COUNTIF(W241,"NA")+COUNTIF(AB241,"NA")+COUNTIF(AG241,"NA")+COUNTIF(AL241,"NA")+COUNTIF(AQ241,"NA")))</f>
        <v/>
      </c>
      <c r="K241" s="34" t="str">
        <f aca="false">IFERROR(I241/J241,"")</f>
        <v/>
      </c>
      <c r="L241" s="29"/>
      <c r="M241" s="35"/>
      <c r="N241" s="36"/>
      <c r="O241" s="36"/>
      <c r="P241" s="30"/>
      <c r="Q241" s="29"/>
      <c r="R241" s="35"/>
      <c r="S241" s="36"/>
      <c r="T241" s="36"/>
      <c r="U241" s="30"/>
      <c r="V241" s="29"/>
      <c r="W241" s="35"/>
      <c r="X241" s="36"/>
      <c r="Y241" s="36"/>
      <c r="Z241" s="30"/>
      <c r="AA241" s="29"/>
      <c r="AB241" s="35"/>
      <c r="AC241" s="36"/>
      <c r="AD241" s="36"/>
      <c r="AE241" s="30"/>
      <c r="AF241" s="29"/>
      <c r="AG241" s="35"/>
      <c r="AH241" s="36"/>
      <c r="AI241" s="36"/>
      <c r="AJ241" s="30"/>
      <c r="AK241" s="29"/>
      <c r="AL241" s="35"/>
      <c r="AM241" s="36"/>
      <c r="AN241" s="36"/>
      <c r="AO241" s="30"/>
      <c r="AP241" s="29"/>
      <c r="AQ241" s="35"/>
      <c r="AR241" s="36"/>
      <c r="AS241" s="36"/>
      <c r="AT241" s="30"/>
      <c r="AU241" s="29"/>
      <c r="AV241" s="29"/>
      <c r="AW241" s="29"/>
      <c r="AX241" s="37"/>
      <c r="AY241" s="29"/>
      <c r="AZ241" s="38" t="str">
        <f aca="false">IF($C241="","",IF(OR(F241="Completed",F241="Cancelled"),"",IF(AND(OR(F241="On Hold",ISNUMBER(VALUE(LEFT(H241,2)))),AY241=""),"Reason not given","")))</f>
        <v/>
      </c>
      <c r="BA241" s="30"/>
    </row>
    <row r="242" customFormat="false" ht="19.5" hidden="false" customHeight="true" outlineLevel="0" collapsed="false">
      <c r="A242" s="28" t="str">
        <f aca="false">IF($C242="","",COUNTA($C$17:$C242))</f>
        <v/>
      </c>
      <c r="B242" s="29"/>
      <c r="C242" s="30"/>
      <c r="D242" s="29"/>
      <c r="E242" s="31" t="str">
        <f aca="false">IF($C242="","",IF(NOT(OR(M242="Completed",M242="NA",M242="Cancelled")),"S1 Schematic",IF(NOT(OR(R242="Completed",R242="NA",R242="Cancelled")),"S2 PCB Layout",IF(NOT(OR(W242="Completed",W242="NA",W242="Cancelled")),"S3 SI &amp; PI",IF(NOT(OR(AB242="Completed",AB242="NA",AB242="Cancelled")),"S4 Bare-PCB Fab",IF(NOT(OR(AG242="Completed",AG242="NA",AG242="Cancelled")),"S5 Assembly",IF(NOT(OR(AL242="Completed",AL242="NA",AL242="Cancelled")),"S6 Bring-up",IF(NOT(OR(AQ242="Completed",AQ242="NA",AQ242="Cancelled")),"S7 BOM Procurement","All Stages Closed"))))))))</f>
        <v/>
      </c>
      <c r="F242" s="32" t="str">
        <f aca="false">IF($C242="","",IF(COUNTIF(M242,"Cancelled")+COUNTIF(R242,"Cancelled")+COUNTIF(W242,"Cancelled")+COUNTIF(AB242,"Cancelled")+COUNTIF(AG242,"Cancelled")+COUNTIF(AL242,"Cancelled")+COUNTIF(AQ242,"Cancelled")&gt;0,"Cancelled",IF(E242="All Stages Closed","Completed",IF(E242="S1 Schematic",M242,IF(E242="S2 PCB Layout",R242,IF(E242="S3 SI &amp; PI",W242,IF(E242="S4 Bare-PCB Fab",AB242,IF(E242="S5 Assembly",AG242,IF(E242="S6 Bring-up",AL242,AQ242)))))))))</f>
        <v/>
      </c>
      <c r="G242" s="33" t="str">
        <f aca="false">IF($C242="","",IF(E242="All Stages Closed","",IF(E242="S1 Schematic",IF(N242="","Not added",N242),IF(E242="S2 PCB Layout",IF(S242="","Not added",S242),IF(E242="S3 SI &amp; PI",IF(X242="","Not added",X242),IF(E242="S4 Bare-PCB Fab",IF(AC242="","Not added",AC242),IF(E242="S5 Assembly",IF(AH242="","Not added",AH242),IF(E242="S6 Bring-up",IF(AM242="","Not added",AM242),IF(AR242="","Not added",AR242)))))))))</f>
        <v/>
      </c>
      <c r="H242" s="32" t="str">
        <f aca="true">IF($C242="","",IF(OR(F242="Completed",F242="Cancelled"),"",IF(NOT(ISNUMBER(G242)),"No date set",IF(TODAY()&gt;G242,TODAY()-G242&amp;" days late",G242-TODAY()&amp;" days left"))))</f>
        <v/>
      </c>
      <c r="I242" s="31" t="str">
        <f aca="false">IF($C242="","",COUNTIF(M242,"Completed")+COUNTIF(R242,"Completed")+COUNTIF(W242,"Completed")+COUNTIF(AB242,"Completed")+COUNTIF(AG242,"Completed")+COUNTIF(AL242,"Completed")+COUNTIF(AQ242,"Completed"))</f>
        <v/>
      </c>
      <c r="J242" s="31" t="str">
        <f aca="false">IF($C242="","",7-(COUNTIF(M242,"NA")+COUNTIF(R242,"NA")+COUNTIF(W242,"NA")+COUNTIF(AB242,"NA")+COUNTIF(AG242,"NA")+COUNTIF(AL242,"NA")+COUNTIF(AQ242,"NA")))</f>
        <v/>
      </c>
      <c r="K242" s="34" t="str">
        <f aca="false">IFERROR(I242/J242,"")</f>
        <v/>
      </c>
      <c r="L242" s="29"/>
      <c r="M242" s="35"/>
      <c r="N242" s="36"/>
      <c r="O242" s="36"/>
      <c r="P242" s="30"/>
      <c r="Q242" s="29"/>
      <c r="R242" s="35"/>
      <c r="S242" s="36"/>
      <c r="T242" s="36"/>
      <c r="U242" s="30"/>
      <c r="V242" s="29"/>
      <c r="W242" s="35"/>
      <c r="X242" s="36"/>
      <c r="Y242" s="36"/>
      <c r="Z242" s="30"/>
      <c r="AA242" s="29"/>
      <c r="AB242" s="35"/>
      <c r="AC242" s="36"/>
      <c r="AD242" s="36"/>
      <c r="AE242" s="30"/>
      <c r="AF242" s="29"/>
      <c r="AG242" s="35"/>
      <c r="AH242" s="36"/>
      <c r="AI242" s="36"/>
      <c r="AJ242" s="30"/>
      <c r="AK242" s="29"/>
      <c r="AL242" s="35"/>
      <c r="AM242" s="36"/>
      <c r="AN242" s="36"/>
      <c r="AO242" s="30"/>
      <c r="AP242" s="29"/>
      <c r="AQ242" s="35"/>
      <c r="AR242" s="36"/>
      <c r="AS242" s="36"/>
      <c r="AT242" s="30"/>
      <c r="AU242" s="29"/>
      <c r="AV242" s="29"/>
      <c r="AW242" s="29"/>
      <c r="AX242" s="37"/>
      <c r="AY242" s="29"/>
      <c r="AZ242" s="38" t="str">
        <f aca="false">IF($C242="","",IF(OR(F242="Completed",F242="Cancelled"),"",IF(AND(OR(F242="On Hold",ISNUMBER(VALUE(LEFT(H242,2)))),AY242=""),"Reason not given","")))</f>
        <v/>
      </c>
      <c r="BA242" s="30"/>
    </row>
    <row r="243" customFormat="false" ht="19.5" hidden="false" customHeight="true" outlineLevel="0" collapsed="false">
      <c r="A243" s="28" t="str">
        <f aca="false">IF($C243="","",COUNTA($C$17:$C243))</f>
        <v/>
      </c>
      <c r="B243" s="29"/>
      <c r="C243" s="30"/>
      <c r="D243" s="29"/>
      <c r="E243" s="31" t="str">
        <f aca="false">IF($C243="","",IF(NOT(OR(M243="Completed",M243="NA",M243="Cancelled")),"S1 Schematic",IF(NOT(OR(R243="Completed",R243="NA",R243="Cancelled")),"S2 PCB Layout",IF(NOT(OR(W243="Completed",W243="NA",W243="Cancelled")),"S3 SI &amp; PI",IF(NOT(OR(AB243="Completed",AB243="NA",AB243="Cancelled")),"S4 Bare-PCB Fab",IF(NOT(OR(AG243="Completed",AG243="NA",AG243="Cancelled")),"S5 Assembly",IF(NOT(OR(AL243="Completed",AL243="NA",AL243="Cancelled")),"S6 Bring-up",IF(NOT(OR(AQ243="Completed",AQ243="NA",AQ243="Cancelled")),"S7 BOM Procurement","All Stages Closed"))))))))</f>
        <v/>
      </c>
      <c r="F243" s="32" t="str">
        <f aca="false">IF($C243="","",IF(COUNTIF(M243,"Cancelled")+COUNTIF(R243,"Cancelled")+COUNTIF(W243,"Cancelled")+COUNTIF(AB243,"Cancelled")+COUNTIF(AG243,"Cancelled")+COUNTIF(AL243,"Cancelled")+COUNTIF(AQ243,"Cancelled")&gt;0,"Cancelled",IF(E243="All Stages Closed","Completed",IF(E243="S1 Schematic",M243,IF(E243="S2 PCB Layout",R243,IF(E243="S3 SI &amp; PI",W243,IF(E243="S4 Bare-PCB Fab",AB243,IF(E243="S5 Assembly",AG243,IF(E243="S6 Bring-up",AL243,AQ243)))))))))</f>
        <v/>
      </c>
      <c r="G243" s="33" t="str">
        <f aca="false">IF($C243="","",IF(E243="All Stages Closed","",IF(E243="S1 Schematic",IF(N243="","Not added",N243),IF(E243="S2 PCB Layout",IF(S243="","Not added",S243),IF(E243="S3 SI &amp; PI",IF(X243="","Not added",X243),IF(E243="S4 Bare-PCB Fab",IF(AC243="","Not added",AC243),IF(E243="S5 Assembly",IF(AH243="","Not added",AH243),IF(E243="S6 Bring-up",IF(AM243="","Not added",AM243),IF(AR243="","Not added",AR243)))))))))</f>
        <v/>
      </c>
      <c r="H243" s="32" t="str">
        <f aca="true">IF($C243="","",IF(OR(F243="Completed",F243="Cancelled"),"",IF(NOT(ISNUMBER(G243)),"No date set",IF(TODAY()&gt;G243,TODAY()-G243&amp;" days late",G243-TODAY()&amp;" days left"))))</f>
        <v/>
      </c>
      <c r="I243" s="31" t="str">
        <f aca="false">IF($C243="","",COUNTIF(M243,"Completed")+COUNTIF(R243,"Completed")+COUNTIF(W243,"Completed")+COUNTIF(AB243,"Completed")+COUNTIF(AG243,"Completed")+COUNTIF(AL243,"Completed")+COUNTIF(AQ243,"Completed"))</f>
        <v/>
      </c>
      <c r="J243" s="31" t="str">
        <f aca="false">IF($C243="","",7-(COUNTIF(M243,"NA")+COUNTIF(R243,"NA")+COUNTIF(W243,"NA")+COUNTIF(AB243,"NA")+COUNTIF(AG243,"NA")+COUNTIF(AL243,"NA")+COUNTIF(AQ243,"NA")))</f>
        <v/>
      </c>
      <c r="K243" s="34" t="str">
        <f aca="false">IFERROR(I243/J243,"")</f>
        <v/>
      </c>
      <c r="L243" s="29"/>
      <c r="M243" s="35"/>
      <c r="N243" s="36"/>
      <c r="O243" s="36"/>
      <c r="P243" s="30"/>
      <c r="Q243" s="29"/>
      <c r="R243" s="35"/>
      <c r="S243" s="36"/>
      <c r="T243" s="36"/>
      <c r="U243" s="30"/>
      <c r="V243" s="29"/>
      <c r="W243" s="35"/>
      <c r="X243" s="36"/>
      <c r="Y243" s="36"/>
      <c r="Z243" s="30"/>
      <c r="AA243" s="29"/>
      <c r="AB243" s="35"/>
      <c r="AC243" s="36"/>
      <c r="AD243" s="36"/>
      <c r="AE243" s="30"/>
      <c r="AF243" s="29"/>
      <c r="AG243" s="35"/>
      <c r="AH243" s="36"/>
      <c r="AI243" s="36"/>
      <c r="AJ243" s="30"/>
      <c r="AK243" s="29"/>
      <c r="AL243" s="35"/>
      <c r="AM243" s="36"/>
      <c r="AN243" s="36"/>
      <c r="AO243" s="30"/>
      <c r="AP243" s="29"/>
      <c r="AQ243" s="35"/>
      <c r="AR243" s="36"/>
      <c r="AS243" s="36"/>
      <c r="AT243" s="30"/>
      <c r="AU243" s="29"/>
      <c r="AV243" s="29"/>
      <c r="AW243" s="29"/>
      <c r="AX243" s="37"/>
      <c r="AY243" s="29"/>
      <c r="AZ243" s="38" t="str">
        <f aca="false">IF($C243="","",IF(OR(F243="Completed",F243="Cancelled"),"",IF(AND(OR(F243="On Hold",ISNUMBER(VALUE(LEFT(H243,2)))),AY243=""),"Reason not given","")))</f>
        <v/>
      </c>
      <c r="BA243" s="30"/>
    </row>
    <row r="244" customFormat="false" ht="19.5" hidden="false" customHeight="true" outlineLevel="0" collapsed="false">
      <c r="A244" s="28" t="str">
        <f aca="false">IF($C244="","",COUNTA($C$17:$C244))</f>
        <v/>
      </c>
      <c r="B244" s="29"/>
      <c r="C244" s="30"/>
      <c r="D244" s="29"/>
      <c r="E244" s="31" t="str">
        <f aca="false">IF($C244="","",IF(NOT(OR(M244="Completed",M244="NA",M244="Cancelled")),"S1 Schematic",IF(NOT(OR(R244="Completed",R244="NA",R244="Cancelled")),"S2 PCB Layout",IF(NOT(OR(W244="Completed",W244="NA",W244="Cancelled")),"S3 SI &amp; PI",IF(NOT(OR(AB244="Completed",AB244="NA",AB244="Cancelled")),"S4 Bare-PCB Fab",IF(NOT(OR(AG244="Completed",AG244="NA",AG244="Cancelled")),"S5 Assembly",IF(NOT(OR(AL244="Completed",AL244="NA",AL244="Cancelled")),"S6 Bring-up",IF(NOT(OR(AQ244="Completed",AQ244="NA",AQ244="Cancelled")),"S7 BOM Procurement","All Stages Closed"))))))))</f>
        <v/>
      </c>
      <c r="F244" s="32" t="str">
        <f aca="false">IF($C244="","",IF(COUNTIF(M244,"Cancelled")+COUNTIF(R244,"Cancelled")+COUNTIF(W244,"Cancelled")+COUNTIF(AB244,"Cancelled")+COUNTIF(AG244,"Cancelled")+COUNTIF(AL244,"Cancelled")+COUNTIF(AQ244,"Cancelled")&gt;0,"Cancelled",IF(E244="All Stages Closed","Completed",IF(E244="S1 Schematic",M244,IF(E244="S2 PCB Layout",R244,IF(E244="S3 SI &amp; PI",W244,IF(E244="S4 Bare-PCB Fab",AB244,IF(E244="S5 Assembly",AG244,IF(E244="S6 Bring-up",AL244,AQ244)))))))))</f>
        <v/>
      </c>
      <c r="G244" s="33" t="str">
        <f aca="false">IF($C244="","",IF(E244="All Stages Closed","",IF(E244="S1 Schematic",IF(N244="","Not added",N244),IF(E244="S2 PCB Layout",IF(S244="","Not added",S244),IF(E244="S3 SI &amp; PI",IF(X244="","Not added",X244),IF(E244="S4 Bare-PCB Fab",IF(AC244="","Not added",AC244),IF(E244="S5 Assembly",IF(AH244="","Not added",AH244),IF(E244="S6 Bring-up",IF(AM244="","Not added",AM244),IF(AR244="","Not added",AR244)))))))))</f>
        <v/>
      </c>
      <c r="H244" s="32" t="str">
        <f aca="true">IF($C244="","",IF(OR(F244="Completed",F244="Cancelled"),"",IF(NOT(ISNUMBER(G244)),"No date set",IF(TODAY()&gt;G244,TODAY()-G244&amp;" days late",G244-TODAY()&amp;" days left"))))</f>
        <v/>
      </c>
      <c r="I244" s="31" t="str">
        <f aca="false">IF($C244="","",COUNTIF(M244,"Completed")+COUNTIF(R244,"Completed")+COUNTIF(W244,"Completed")+COUNTIF(AB244,"Completed")+COUNTIF(AG244,"Completed")+COUNTIF(AL244,"Completed")+COUNTIF(AQ244,"Completed"))</f>
        <v/>
      </c>
      <c r="J244" s="31" t="str">
        <f aca="false">IF($C244="","",7-(COUNTIF(M244,"NA")+COUNTIF(R244,"NA")+COUNTIF(W244,"NA")+COUNTIF(AB244,"NA")+COUNTIF(AG244,"NA")+COUNTIF(AL244,"NA")+COUNTIF(AQ244,"NA")))</f>
        <v/>
      </c>
      <c r="K244" s="34" t="str">
        <f aca="false">IFERROR(I244/J244,"")</f>
        <v/>
      </c>
      <c r="L244" s="29"/>
      <c r="M244" s="35"/>
      <c r="N244" s="36"/>
      <c r="O244" s="36"/>
      <c r="P244" s="30"/>
      <c r="Q244" s="29"/>
      <c r="R244" s="35"/>
      <c r="S244" s="36"/>
      <c r="T244" s="36"/>
      <c r="U244" s="30"/>
      <c r="V244" s="29"/>
      <c r="W244" s="35"/>
      <c r="X244" s="36"/>
      <c r="Y244" s="36"/>
      <c r="Z244" s="30"/>
      <c r="AA244" s="29"/>
      <c r="AB244" s="35"/>
      <c r="AC244" s="36"/>
      <c r="AD244" s="36"/>
      <c r="AE244" s="30"/>
      <c r="AF244" s="29"/>
      <c r="AG244" s="35"/>
      <c r="AH244" s="36"/>
      <c r="AI244" s="36"/>
      <c r="AJ244" s="30"/>
      <c r="AK244" s="29"/>
      <c r="AL244" s="35"/>
      <c r="AM244" s="36"/>
      <c r="AN244" s="36"/>
      <c r="AO244" s="30"/>
      <c r="AP244" s="29"/>
      <c r="AQ244" s="35"/>
      <c r="AR244" s="36"/>
      <c r="AS244" s="36"/>
      <c r="AT244" s="30"/>
      <c r="AU244" s="29"/>
      <c r="AV244" s="29"/>
      <c r="AW244" s="29"/>
      <c r="AX244" s="37"/>
      <c r="AY244" s="29"/>
      <c r="AZ244" s="38" t="str">
        <f aca="false">IF($C244="","",IF(OR(F244="Completed",F244="Cancelled"),"",IF(AND(OR(F244="On Hold",ISNUMBER(VALUE(LEFT(H244,2)))),AY244=""),"Reason not given","")))</f>
        <v/>
      </c>
      <c r="BA244" s="30"/>
    </row>
    <row r="245" customFormat="false" ht="19.5" hidden="false" customHeight="true" outlineLevel="0" collapsed="false">
      <c r="A245" s="28" t="str">
        <f aca="false">IF($C245="","",COUNTA($C$17:$C245))</f>
        <v/>
      </c>
      <c r="B245" s="29"/>
      <c r="C245" s="30"/>
      <c r="D245" s="29"/>
      <c r="E245" s="31" t="str">
        <f aca="false">IF($C245="","",IF(NOT(OR(M245="Completed",M245="NA",M245="Cancelled")),"S1 Schematic",IF(NOT(OR(R245="Completed",R245="NA",R245="Cancelled")),"S2 PCB Layout",IF(NOT(OR(W245="Completed",W245="NA",W245="Cancelled")),"S3 SI &amp; PI",IF(NOT(OR(AB245="Completed",AB245="NA",AB245="Cancelled")),"S4 Bare-PCB Fab",IF(NOT(OR(AG245="Completed",AG245="NA",AG245="Cancelled")),"S5 Assembly",IF(NOT(OR(AL245="Completed",AL245="NA",AL245="Cancelled")),"S6 Bring-up",IF(NOT(OR(AQ245="Completed",AQ245="NA",AQ245="Cancelled")),"S7 BOM Procurement","All Stages Closed"))))))))</f>
        <v/>
      </c>
      <c r="F245" s="32" t="str">
        <f aca="false">IF($C245="","",IF(COUNTIF(M245,"Cancelled")+COUNTIF(R245,"Cancelled")+COUNTIF(W245,"Cancelled")+COUNTIF(AB245,"Cancelled")+COUNTIF(AG245,"Cancelled")+COUNTIF(AL245,"Cancelled")+COUNTIF(AQ245,"Cancelled")&gt;0,"Cancelled",IF(E245="All Stages Closed","Completed",IF(E245="S1 Schematic",M245,IF(E245="S2 PCB Layout",R245,IF(E245="S3 SI &amp; PI",W245,IF(E245="S4 Bare-PCB Fab",AB245,IF(E245="S5 Assembly",AG245,IF(E245="S6 Bring-up",AL245,AQ245)))))))))</f>
        <v/>
      </c>
      <c r="G245" s="33" t="str">
        <f aca="false">IF($C245="","",IF(E245="All Stages Closed","",IF(E245="S1 Schematic",IF(N245="","Not added",N245),IF(E245="S2 PCB Layout",IF(S245="","Not added",S245),IF(E245="S3 SI &amp; PI",IF(X245="","Not added",X245),IF(E245="S4 Bare-PCB Fab",IF(AC245="","Not added",AC245),IF(E245="S5 Assembly",IF(AH245="","Not added",AH245),IF(E245="S6 Bring-up",IF(AM245="","Not added",AM245),IF(AR245="","Not added",AR245)))))))))</f>
        <v/>
      </c>
      <c r="H245" s="32" t="str">
        <f aca="true">IF($C245="","",IF(OR(F245="Completed",F245="Cancelled"),"",IF(NOT(ISNUMBER(G245)),"No date set",IF(TODAY()&gt;G245,TODAY()-G245&amp;" days late",G245-TODAY()&amp;" days left"))))</f>
        <v/>
      </c>
      <c r="I245" s="31" t="str">
        <f aca="false">IF($C245="","",COUNTIF(M245,"Completed")+COUNTIF(R245,"Completed")+COUNTIF(W245,"Completed")+COUNTIF(AB245,"Completed")+COUNTIF(AG245,"Completed")+COUNTIF(AL245,"Completed")+COUNTIF(AQ245,"Completed"))</f>
        <v/>
      </c>
      <c r="J245" s="31" t="str">
        <f aca="false">IF($C245="","",7-(COUNTIF(M245,"NA")+COUNTIF(R245,"NA")+COUNTIF(W245,"NA")+COUNTIF(AB245,"NA")+COUNTIF(AG245,"NA")+COUNTIF(AL245,"NA")+COUNTIF(AQ245,"NA")))</f>
        <v/>
      </c>
      <c r="K245" s="34" t="str">
        <f aca="false">IFERROR(I245/J245,"")</f>
        <v/>
      </c>
      <c r="L245" s="29"/>
      <c r="M245" s="35"/>
      <c r="N245" s="36"/>
      <c r="O245" s="36"/>
      <c r="P245" s="30"/>
      <c r="Q245" s="29"/>
      <c r="R245" s="35"/>
      <c r="S245" s="36"/>
      <c r="T245" s="36"/>
      <c r="U245" s="30"/>
      <c r="V245" s="29"/>
      <c r="W245" s="35"/>
      <c r="X245" s="36"/>
      <c r="Y245" s="36"/>
      <c r="Z245" s="30"/>
      <c r="AA245" s="29"/>
      <c r="AB245" s="35"/>
      <c r="AC245" s="36"/>
      <c r="AD245" s="36"/>
      <c r="AE245" s="30"/>
      <c r="AF245" s="29"/>
      <c r="AG245" s="35"/>
      <c r="AH245" s="36"/>
      <c r="AI245" s="36"/>
      <c r="AJ245" s="30"/>
      <c r="AK245" s="29"/>
      <c r="AL245" s="35"/>
      <c r="AM245" s="36"/>
      <c r="AN245" s="36"/>
      <c r="AO245" s="30"/>
      <c r="AP245" s="29"/>
      <c r="AQ245" s="35"/>
      <c r="AR245" s="36"/>
      <c r="AS245" s="36"/>
      <c r="AT245" s="30"/>
      <c r="AU245" s="29"/>
      <c r="AV245" s="29"/>
      <c r="AW245" s="29"/>
      <c r="AX245" s="37"/>
      <c r="AY245" s="29"/>
      <c r="AZ245" s="38" t="str">
        <f aca="false">IF($C245="","",IF(OR(F245="Completed",F245="Cancelled"),"",IF(AND(OR(F245="On Hold",ISNUMBER(VALUE(LEFT(H245,2)))),AY245=""),"Reason not given","")))</f>
        <v/>
      </c>
      <c r="BA245" s="30"/>
    </row>
    <row r="246" customFormat="false" ht="19.5" hidden="false" customHeight="true" outlineLevel="0" collapsed="false">
      <c r="A246" s="28" t="str">
        <f aca="false">IF($C246="","",COUNTA($C$17:$C246))</f>
        <v/>
      </c>
      <c r="B246" s="29"/>
      <c r="C246" s="30"/>
      <c r="D246" s="29"/>
      <c r="E246" s="31" t="str">
        <f aca="false">IF($C246="","",IF(NOT(OR(M246="Completed",M246="NA",M246="Cancelled")),"S1 Schematic",IF(NOT(OR(R246="Completed",R246="NA",R246="Cancelled")),"S2 PCB Layout",IF(NOT(OR(W246="Completed",W246="NA",W246="Cancelled")),"S3 SI &amp; PI",IF(NOT(OR(AB246="Completed",AB246="NA",AB246="Cancelled")),"S4 Bare-PCB Fab",IF(NOT(OR(AG246="Completed",AG246="NA",AG246="Cancelled")),"S5 Assembly",IF(NOT(OR(AL246="Completed",AL246="NA",AL246="Cancelled")),"S6 Bring-up",IF(NOT(OR(AQ246="Completed",AQ246="NA",AQ246="Cancelled")),"S7 BOM Procurement","All Stages Closed"))))))))</f>
        <v/>
      </c>
      <c r="F246" s="32" t="str">
        <f aca="false">IF($C246="","",IF(COUNTIF(M246,"Cancelled")+COUNTIF(R246,"Cancelled")+COUNTIF(W246,"Cancelled")+COUNTIF(AB246,"Cancelled")+COUNTIF(AG246,"Cancelled")+COUNTIF(AL246,"Cancelled")+COUNTIF(AQ246,"Cancelled")&gt;0,"Cancelled",IF(E246="All Stages Closed","Completed",IF(E246="S1 Schematic",M246,IF(E246="S2 PCB Layout",R246,IF(E246="S3 SI &amp; PI",W246,IF(E246="S4 Bare-PCB Fab",AB246,IF(E246="S5 Assembly",AG246,IF(E246="S6 Bring-up",AL246,AQ246)))))))))</f>
        <v/>
      </c>
      <c r="G246" s="33" t="str">
        <f aca="false">IF($C246="","",IF(E246="All Stages Closed","",IF(E246="S1 Schematic",IF(N246="","Not added",N246),IF(E246="S2 PCB Layout",IF(S246="","Not added",S246),IF(E246="S3 SI &amp; PI",IF(X246="","Not added",X246),IF(E246="S4 Bare-PCB Fab",IF(AC246="","Not added",AC246),IF(E246="S5 Assembly",IF(AH246="","Not added",AH246),IF(E246="S6 Bring-up",IF(AM246="","Not added",AM246),IF(AR246="","Not added",AR246)))))))))</f>
        <v/>
      </c>
      <c r="H246" s="32" t="str">
        <f aca="true">IF($C246="","",IF(OR(F246="Completed",F246="Cancelled"),"",IF(NOT(ISNUMBER(G246)),"No date set",IF(TODAY()&gt;G246,TODAY()-G246&amp;" days late",G246-TODAY()&amp;" days left"))))</f>
        <v/>
      </c>
      <c r="I246" s="31" t="str">
        <f aca="false">IF($C246="","",COUNTIF(M246,"Completed")+COUNTIF(R246,"Completed")+COUNTIF(W246,"Completed")+COUNTIF(AB246,"Completed")+COUNTIF(AG246,"Completed")+COUNTIF(AL246,"Completed")+COUNTIF(AQ246,"Completed"))</f>
        <v/>
      </c>
      <c r="J246" s="31" t="str">
        <f aca="false">IF($C246="","",7-(COUNTIF(M246,"NA")+COUNTIF(R246,"NA")+COUNTIF(W246,"NA")+COUNTIF(AB246,"NA")+COUNTIF(AG246,"NA")+COUNTIF(AL246,"NA")+COUNTIF(AQ246,"NA")))</f>
        <v/>
      </c>
      <c r="K246" s="34" t="str">
        <f aca="false">IFERROR(I246/J246,"")</f>
        <v/>
      </c>
      <c r="L246" s="29"/>
      <c r="M246" s="35"/>
      <c r="N246" s="36"/>
      <c r="O246" s="36"/>
      <c r="P246" s="30"/>
      <c r="Q246" s="29"/>
      <c r="R246" s="35"/>
      <c r="S246" s="36"/>
      <c r="T246" s="36"/>
      <c r="U246" s="30"/>
      <c r="V246" s="29"/>
      <c r="W246" s="35"/>
      <c r="X246" s="36"/>
      <c r="Y246" s="36"/>
      <c r="Z246" s="30"/>
      <c r="AA246" s="29"/>
      <c r="AB246" s="35"/>
      <c r="AC246" s="36"/>
      <c r="AD246" s="36"/>
      <c r="AE246" s="30"/>
      <c r="AF246" s="29"/>
      <c r="AG246" s="35"/>
      <c r="AH246" s="36"/>
      <c r="AI246" s="36"/>
      <c r="AJ246" s="30"/>
      <c r="AK246" s="29"/>
      <c r="AL246" s="35"/>
      <c r="AM246" s="36"/>
      <c r="AN246" s="36"/>
      <c r="AO246" s="30"/>
      <c r="AP246" s="29"/>
      <c r="AQ246" s="35"/>
      <c r="AR246" s="36"/>
      <c r="AS246" s="36"/>
      <c r="AT246" s="30"/>
      <c r="AU246" s="29"/>
      <c r="AV246" s="29"/>
      <c r="AW246" s="29"/>
      <c r="AX246" s="37"/>
      <c r="AY246" s="29"/>
      <c r="AZ246" s="38" t="str">
        <f aca="false">IF($C246="","",IF(OR(F246="Completed",F246="Cancelled"),"",IF(AND(OR(F246="On Hold",ISNUMBER(VALUE(LEFT(H246,2)))),AY246=""),"Reason not given","")))</f>
        <v/>
      </c>
      <c r="BA246" s="30"/>
    </row>
    <row r="247" customFormat="false" ht="19.5" hidden="false" customHeight="true" outlineLevel="0" collapsed="false">
      <c r="A247" s="28" t="str">
        <f aca="false">IF($C247="","",COUNTA($C$17:$C247))</f>
        <v/>
      </c>
      <c r="B247" s="29"/>
      <c r="C247" s="30"/>
      <c r="D247" s="29"/>
      <c r="E247" s="31" t="str">
        <f aca="false">IF($C247="","",IF(NOT(OR(M247="Completed",M247="NA",M247="Cancelled")),"S1 Schematic",IF(NOT(OR(R247="Completed",R247="NA",R247="Cancelled")),"S2 PCB Layout",IF(NOT(OR(W247="Completed",W247="NA",W247="Cancelled")),"S3 SI &amp; PI",IF(NOT(OR(AB247="Completed",AB247="NA",AB247="Cancelled")),"S4 Bare-PCB Fab",IF(NOT(OR(AG247="Completed",AG247="NA",AG247="Cancelled")),"S5 Assembly",IF(NOT(OR(AL247="Completed",AL247="NA",AL247="Cancelled")),"S6 Bring-up",IF(NOT(OR(AQ247="Completed",AQ247="NA",AQ247="Cancelled")),"S7 BOM Procurement","All Stages Closed"))))))))</f>
        <v/>
      </c>
      <c r="F247" s="32" t="str">
        <f aca="false">IF($C247="","",IF(COUNTIF(M247,"Cancelled")+COUNTIF(R247,"Cancelled")+COUNTIF(W247,"Cancelled")+COUNTIF(AB247,"Cancelled")+COUNTIF(AG247,"Cancelled")+COUNTIF(AL247,"Cancelled")+COUNTIF(AQ247,"Cancelled")&gt;0,"Cancelled",IF(E247="All Stages Closed","Completed",IF(E247="S1 Schematic",M247,IF(E247="S2 PCB Layout",R247,IF(E247="S3 SI &amp; PI",W247,IF(E247="S4 Bare-PCB Fab",AB247,IF(E247="S5 Assembly",AG247,IF(E247="S6 Bring-up",AL247,AQ247)))))))))</f>
        <v/>
      </c>
      <c r="G247" s="33" t="str">
        <f aca="false">IF($C247="","",IF(E247="All Stages Closed","",IF(E247="S1 Schematic",IF(N247="","Not added",N247),IF(E247="S2 PCB Layout",IF(S247="","Not added",S247),IF(E247="S3 SI &amp; PI",IF(X247="","Not added",X247),IF(E247="S4 Bare-PCB Fab",IF(AC247="","Not added",AC247),IF(E247="S5 Assembly",IF(AH247="","Not added",AH247),IF(E247="S6 Bring-up",IF(AM247="","Not added",AM247),IF(AR247="","Not added",AR247)))))))))</f>
        <v/>
      </c>
      <c r="H247" s="32" t="str">
        <f aca="true">IF($C247="","",IF(OR(F247="Completed",F247="Cancelled"),"",IF(NOT(ISNUMBER(G247)),"No date set",IF(TODAY()&gt;G247,TODAY()-G247&amp;" days late",G247-TODAY()&amp;" days left"))))</f>
        <v/>
      </c>
      <c r="I247" s="31" t="str">
        <f aca="false">IF($C247="","",COUNTIF(M247,"Completed")+COUNTIF(R247,"Completed")+COUNTIF(W247,"Completed")+COUNTIF(AB247,"Completed")+COUNTIF(AG247,"Completed")+COUNTIF(AL247,"Completed")+COUNTIF(AQ247,"Completed"))</f>
        <v/>
      </c>
      <c r="J247" s="31" t="str">
        <f aca="false">IF($C247="","",7-(COUNTIF(M247,"NA")+COUNTIF(R247,"NA")+COUNTIF(W247,"NA")+COUNTIF(AB247,"NA")+COUNTIF(AG247,"NA")+COUNTIF(AL247,"NA")+COUNTIF(AQ247,"NA")))</f>
        <v/>
      </c>
      <c r="K247" s="34" t="str">
        <f aca="false">IFERROR(I247/J247,"")</f>
        <v/>
      </c>
      <c r="L247" s="29"/>
      <c r="M247" s="35"/>
      <c r="N247" s="36"/>
      <c r="O247" s="36"/>
      <c r="P247" s="30"/>
      <c r="Q247" s="29"/>
      <c r="R247" s="35"/>
      <c r="S247" s="36"/>
      <c r="T247" s="36"/>
      <c r="U247" s="30"/>
      <c r="V247" s="29"/>
      <c r="W247" s="35"/>
      <c r="X247" s="36"/>
      <c r="Y247" s="36"/>
      <c r="Z247" s="30"/>
      <c r="AA247" s="29"/>
      <c r="AB247" s="35"/>
      <c r="AC247" s="36"/>
      <c r="AD247" s="36"/>
      <c r="AE247" s="30"/>
      <c r="AF247" s="29"/>
      <c r="AG247" s="35"/>
      <c r="AH247" s="36"/>
      <c r="AI247" s="36"/>
      <c r="AJ247" s="30"/>
      <c r="AK247" s="29"/>
      <c r="AL247" s="35"/>
      <c r="AM247" s="36"/>
      <c r="AN247" s="36"/>
      <c r="AO247" s="30"/>
      <c r="AP247" s="29"/>
      <c r="AQ247" s="35"/>
      <c r="AR247" s="36"/>
      <c r="AS247" s="36"/>
      <c r="AT247" s="30"/>
      <c r="AU247" s="29"/>
      <c r="AV247" s="29"/>
      <c r="AW247" s="29"/>
      <c r="AX247" s="37"/>
      <c r="AY247" s="29"/>
      <c r="AZ247" s="38" t="str">
        <f aca="false">IF($C247="","",IF(OR(F247="Completed",F247="Cancelled"),"",IF(AND(OR(F247="On Hold",ISNUMBER(VALUE(LEFT(H247,2)))),AY247=""),"Reason not given","")))</f>
        <v/>
      </c>
      <c r="BA247" s="30"/>
    </row>
    <row r="248" customFormat="false" ht="19.5" hidden="false" customHeight="true" outlineLevel="0" collapsed="false">
      <c r="A248" s="28" t="str">
        <f aca="false">IF($C248="","",COUNTA($C$17:$C248))</f>
        <v/>
      </c>
      <c r="B248" s="29"/>
      <c r="C248" s="30"/>
      <c r="D248" s="29"/>
      <c r="E248" s="31" t="str">
        <f aca="false">IF($C248="","",IF(NOT(OR(M248="Completed",M248="NA",M248="Cancelled")),"S1 Schematic",IF(NOT(OR(R248="Completed",R248="NA",R248="Cancelled")),"S2 PCB Layout",IF(NOT(OR(W248="Completed",W248="NA",W248="Cancelled")),"S3 SI &amp; PI",IF(NOT(OR(AB248="Completed",AB248="NA",AB248="Cancelled")),"S4 Bare-PCB Fab",IF(NOT(OR(AG248="Completed",AG248="NA",AG248="Cancelled")),"S5 Assembly",IF(NOT(OR(AL248="Completed",AL248="NA",AL248="Cancelled")),"S6 Bring-up",IF(NOT(OR(AQ248="Completed",AQ248="NA",AQ248="Cancelled")),"S7 BOM Procurement","All Stages Closed"))))))))</f>
        <v/>
      </c>
      <c r="F248" s="32" t="str">
        <f aca="false">IF($C248="","",IF(COUNTIF(M248,"Cancelled")+COUNTIF(R248,"Cancelled")+COUNTIF(W248,"Cancelled")+COUNTIF(AB248,"Cancelled")+COUNTIF(AG248,"Cancelled")+COUNTIF(AL248,"Cancelled")+COUNTIF(AQ248,"Cancelled")&gt;0,"Cancelled",IF(E248="All Stages Closed","Completed",IF(E248="S1 Schematic",M248,IF(E248="S2 PCB Layout",R248,IF(E248="S3 SI &amp; PI",W248,IF(E248="S4 Bare-PCB Fab",AB248,IF(E248="S5 Assembly",AG248,IF(E248="S6 Bring-up",AL248,AQ248)))))))))</f>
        <v/>
      </c>
      <c r="G248" s="33" t="str">
        <f aca="false">IF($C248="","",IF(E248="All Stages Closed","",IF(E248="S1 Schematic",IF(N248="","Not added",N248),IF(E248="S2 PCB Layout",IF(S248="","Not added",S248),IF(E248="S3 SI &amp; PI",IF(X248="","Not added",X248),IF(E248="S4 Bare-PCB Fab",IF(AC248="","Not added",AC248),IF(E248="S5 Assembly",IF(AH248="","Not added",AH248),IF(E248="S6 Bring-up",IF(AM248="","Not added",AM248),IF(AR248="","Not added",AR248)))))))))</f>
        <v/>
      </c>
      <c r="H248" s="32" t="str">
        <f aca="true">IF($C248="","",IF(OR(F248="Completed",F248="Cancelled"),"",IF(NOT(ISNUMBER(G248)),"No date set",IF(TODAY()&gt;G248,TODAY()-G248&amp;" days late",G248-TODAY()&amp;" days left"))))</f>
        <v/>
      </c>
      <c r="I248" s="31" t="str">
        <f aca="false">IF($C248="","",COUNTIF(M248,"Completed")+COUNTIF(R248,"Completed")+COUNTIF(W248,"Completed")+COUNTIF(AB248,"Completed")+COUNTIF(AG248,"Completed")+COUNTIF(AL248,"Completed")+COUNTIF(AQ248,"Completed"))</f>
        <v/>
      </c>
      <c r="J248" s="31" t="str">
        <f aca="false">IF($C248="","",7-(COUNTIF(M248,"NA")+COUNTIF(R248,"NA")+COUNTIF(W248,"NA")+COUNTIF(AB248,"NA")+COUNTIF(AG248,"NA")+COUNTIF(AL248,"NA")+COUNTIF(AQ248,"NA")))</f>
        <v/>
      </c>
      <c r="K248" s="34" t="str">
        <f aca="false">IFERROR(I248/J248,"")</f>
        <v/>
      </c>
      <c r="L248" s="29"/>
      <c r="M248" s="35"/>
      <c r="N248" s="36"/>
      <c r="O248" s="36"/>
      <c r="P248" s="30"/>
      <c r="Q248" s="29"/>
      <c r="R248" s="35"/>
      <c r="S248" s="36"/>
      <c r="T248" s="36"/>
      <c r="U248" s="30"/>
      <c r="V248" s="29"/>
      <c r="W248" s="35"/>
      <c r="X248" s="36"/>
      <c r="Y248" s="36"/>
      <c r="Z248" s="30"/>
      <c r="AA248" s="29"/>
      <c r="AB248" s="35"/>
      <c r="AC248" s="36"/>
      <c r="AD248" s="36"/>
      <c r="AE248" s="30"/>
      <c r="AF248" s="29"/>
      <c r="AG248" s="35"/>
      <c r="AH248" s="36"/>
      <c r="AI248" s="36"/>
      <c r="AJ248" s="30"/>
      <c r="AK248" s="29"/>
      <c r="AL248" s="35"/>
      <c r="AM248" s="36"/>
      <c r="AN248" s="36"/>
      <c r="AO248" s="30"/>
      <c r="AP248" s="29"/>
      <c r="AQ248" s="35"/>
      <c r="AR248" s="36"/>
      <c r="AS248" s="36"/>
      <c r="AT248" s="30"/>
      <c r="AU248" s="29"/>
      <c r="AV248" s="29"/>
      <c r="AW248" s="29"/>
      <c r="AX248" s="37"/>
      <c r="AY248" s="29"/>
      <c r="AZ248" s="38" t="str">
        <f aca="false">IF($C248="","",IF(OR(F248="Completed",F248="Cancelled"),"",IF(AND(OR(F248="On Hold",ISNUMBER(VALUE(LEFT(H248,2)))),AY248=""),"Reason not given","")))</f>
        <v/>
      </c>
      <c r="BA248" s="30"/>
    </row>
    <row r="249" customFormat="false" ht="19.5" hidden="false" customHeight="true" outlineLevel="0" collapsed="false">
      <c r="A249" s="28" t="str">
        <f aca="false">IF($C249="","",COUNTA($C$17:$C249))</f>
        <v/>
      </c>
      <c r="B249" s="29"/>
      <c r="C249" s="30"/>
      <c r="D249" s="29"/>
      <c r="E249" s="31" t="str">
        <f aca="false">IF($C249="","",IF(NOT(OR(M249="Completed",M249="NA",M249="Cancelled")),"S1 Schematic",IF(NOT(OR(R249="Completed",R249="NA",R249="Cancelled")),"S2 PCB Layout",IF(NOT(OR(W249="Completed",W249="NA",W249="Cancelled")),"S3 SI &amp; PI",IF(NOT(OR(AB249="Completed",AB249="NA",AB249="Cancelled")),"S4 Bare-PCB Fab",IF(NOT(OR(AG249="Completed",AG249="NA",AG249="Cancelled")),"S5 Assembly",IF(NOT(OR(AL249="Completed",AL249="NA",AL249="Cancelled")),"S6 Bring-up",IF(NOT(OR(AQ249="Completed",AQ249="NA",AQ249="Cancelled")),"S7 BOM Procurement","All Stages Closed"))))))))</f>
        <v/>
      </c>
      <c r="F249" s="32" t="str">
        <f aca="false">IF($C249="","",IF(COUNTIF(M249,"Cancelled")+COUNTIF(R249,"Cancelled")+COUNTIF(W249,"Cancelled")+COUNTIF(AB249,"Cancelled")+COUNTIF(AG249,"Cancelled")+COUNTIF(AL249,"Cancelled")+COUNTIF(AQ249,"Cancelled")&gt;0,"Cancelled",IF(E249="All Stages Closed","Completed",IF(E249="S1 Schematic",M249,IF(E249="S2 PCB Layout",R249,IF(E249="S3 SI &amp; PI",W249,IF(E249="S4 Bare-PCB Fab",AB249,IF(E249="S5 Assembly",AG249,IF(E249="S6 Bring-up",AL249,AQ249)))))))))</f>
        <v/>
      </c>
      <c r="G249" s="33" t="str">
        <f aca="false">IF($C249="","",IF(E249="All Stages Closed","",IF(E249="S1 Schematic",IF(N249="","Not added",N249),IF(E249="S2 PCB Layout",IF(S249="","Not added",S249),IF(E249="S3 SI &amp; PI",IF(X249="","Not added",X249),IF(E249="S4 Bare-PCB Fab",IF(AC249="","Not added",AC249),IF(E249="S5 Assembly",IF(AH249="","Not added",AH249),IF(E249="S6 Bring-up",IF(AM249="","Not added",AM249),IF(AR249="","Not added",AR249)))))))))</f>
        <v/>
      </c>
      <c r="H249" s="32" t="str">
        <f aca="true">IF($C249="","",IF(OR(F249="Completed",F249="Cancelled"),"",IF(NOT(ISNUMBER(G249)),"No date set",IF(TODAY()&gt;G249,TODAY()-G249&amp;" days late",G249-TODAY()&amp;" days left"))))</f>
        <v/>
      </c>
      <c r="I249" s="31" t="str">
        <f aca="false">IF($C249="","",COUNTIF(M249,"Completed")+COUNTIF(R249,"Completed")+COUNTIF(W249,"Completed")+COUNTIF(AB249,"Completed")+COUNTIF(AG249,"Completed")+COUNTIF(AL249,"Completed")+COUNTIF(AQ249,"Completed"))</f>
        <v/>
      </c>
      <c r="J249" s="31" t="str">
        <f aca="false">IF($C249="","",7-(COUNTIF(M249,"NA")+COUNTIF(R249,"NA")+COUNTIF(W249,"NA")+COUNTIF(AB249,"NA")+COUNTIF(AG249,"NA")+COUNTIF(AL249,"NA")+COUNTIF(AQ249,"NA")))</f>
        <v/>
      </c>
      <c r="K249" s="34" t="str">
        <f aca="false">IFERROR(I249/J249,"")</f>
        <v/>
      </c>
      <c r="L249" s="29"/>
      <c r="M249" s="35"/>
      <c r="N249" s="36"/>
      <c r="O249" s="36"/>
      <c r="P249" s="30"/>
      <c r="Q249" s="29"/>
      <c r="R249" s="35"/>
      <c r="S249" s="36"/>
      <c r="T249" s="36"/>
      <c r="U249" s="30"/>
      <c r="V249" s="29"/>
      <c r="W249" s="35"/>
      <c r="X249" s="36"/>
      <c r="Y249" s="36"/>
      <c r="Z249" s="30"/>
      <c r="AA249" s="29"/>
      <c r="AB249" s="35"/>
      <c r="AC249" s="36"/>
      <c r="AD249" s="36"/>
      <c r="AE249" s="30"/>
      <c r="AF249" s="29"/>
      <c r="AG249" s="35"/>
      <c r="AH249" s="36"/>
      <c r="AI249" s="36"/>
      <c r="AJ249" s="30"/>
      <c r="AK249" s="29"/>
      <c r="AL249" s="35"/>
      <c r="AM249" s="36"/>
      <c r="AN249" s="36"/>
      <c r="AO249" s="30"/>
      <c r="AP249" s="29"/>
      <c r="AQ249" s="35"/>
      <c r="AR249" s="36"/>
      <c r="AS249" s="36"/>
      <c r="AT249" s="30"/>
      <c r="AU249" s="29"/>
      <c r="AV249" s="29"/>
      <c r="AW249" s="29"/>
      <c r="AX249" s="37"/>
      <c r="AY249" s="29"/>
      <c r="AZ249" s="38" t="str">
        <f aca="false">IF($C249="","",IF(OR(F249="Completed",F249="Cancelled"),"",IF(AND(OR(F249="On Hold",ISNUMBER(VALUE(LEFT(H249,2)))),AY249=""),"Reason not given","")))</f>
        <v/>
      </c>
      <c r="BA249" s="30"/>
    </row>
    <row r="250" customFormat="false" ht="19.5" hidden="false" customHeight="true" outlineLevel="0" collapsed="false">
      <c r="A250" s="28" t="str">
        <f aca="false">IF($C250="","",COUNTA($C$17:$C250))</f>
        <v/>
      </c>
      <c r="B250" s="29"/>
      <c r="C250" s="30"/>
      <c r="D250" s="29"/>
      <c r="E250" s="31" t="str">
        <f aca="false">IF($C250="","",IF(NOT(OR(M250="Completed",M250="NA",M250="Cancelled")),"S1 Schematic",IF(NOT(OR(R250="Completed",R250="NA",R250="Cancelled")),"S2 PCB Layout",IF(NOT(OR(W250="Completed",W250="NA",W250="Cancelled")),"S3 SI &amp; PI",IF(NOT(OR(AB250="Completed",AB250="NA",AB250="Cancelled")),"S4 Bare-PCB Fab",IF(NOT(OR(AG250="Completed",AG250="NA",AG250="Cancelled")),"S5 Assembly",IF(NOT(OR(AL250="Completed",AL250="NA",AL250="Cancelled")),"S6 Bring-up",IF(NOT(OR(AQ250="Completed",AQ250="NA",AQ250="Cancelled")),"S7 BOM Procurement","All Stages Closed"))))))))</f>
        <v/>
      </c>
      <c r="F250" s="32" t="str">
        <f aca="false">IF($C250="","",IF(COUNTIF(M250,"Cancelled")+COUNTIF(R250,"Cancelled")+COUNTIF(W250,"Cancelled")+COUNTIF(AB250,"Cancelled")+COUNTIF(AG250,"Cancelled")+COUNTIF(AL250,"Cancelled")+COUNTIF(AQ250,"Cancelled")&gt;0,"Cancelled",IF(E250="All Stages Closed","Completed",IF(E250="S1 Schematic",M250,IF(E250="S2 PCB Layout",R250,IF(E250="S3 SI &amp; PI",W250,IF(E250="S4 Bare-PCB Fab",AB250,IF(E250="S5 Assembly",AG250,IF(E250="S6 Bring-up",AL250,AQ250)))))))))</f>
        <v/>
      </c>
      <c r="G250" s="33" t="str">
        <f aca="false">IF($C250="","",IF(E250="All Stages Closed","",IF(E250="S1 Schematic",IF(N250="","Not added",N250),IF(E250="S2 PCB Layout",IF(S250="","Not added",S250),IF(E250="S3 SI &amp; PI",IF(X250="","Not added",X250),IF(E250="S4 Bare-PCB Fab",IF(AC250="","Not added",AC250),IF(E250="S5 Assembly",IF(AH250="","Not added",AH250),IF(E250="S6 Bring-up",IF(AM250="","Not added",AM250),IF(AR250="","Not added",AR250)))))))))</f>
        <v/>
      </c>
      <c r="H250" s="32" t="str">
        <f aca="true">IF($C250="","",IF(OR(F250="Completed",F250="Cancelled"),"",IF(NOT(ISNUMBER(G250)),"No date set",IF(TODAY()&gt;G250,TODAY()-G250&amp;" days late",G250-TODAY()&amp;" days left"))))</f>
        <v/>
      </c>
      <c r="I250" s="31" t="str">
        <f aca="false">IF($C250="","",COUNTIF(M250,"Completed")+COUNTIF(R250,"Completed")+COUNTIF(W250,"Completed")+COUNTIF(AB250,"Completed")+COUNTIF(AG250,"Completed")+COUNTIF(AL250,"Completed")+COUNTIF(AQ250,"Completed"))</f>
        <v/>
      </c>
      <c r="J250" s="31" t="str">
        <f aca="false">IF($C250="","",7-(COUNTIF(M250,"NA")+COUNTIF(R250,"NA")+COUNTIF(W250,"NA")+COUNTIF(AB250,"NA")+COUNTIF(AG250,"NA")+COUNTIF(AL250,"NA")+COUNTIF(AQ250,"NA")))</f>
        <v/>
      </c>
      <c r="K250" s="34" t="str">
        <f aca="false">IFERROR(I250/J250,"")</f>
        <v/>
      </c>
      <c r="L250" s="29"/>
      <c r="M250" s="35"/>
      <c r="N250" s="36"/>
      <c r="O250" s="36"/>
      <c r="P250" s="30"/>
      <c r="Q250" s="29"/>
      <c r="R250" s="35"/>
      <c r="S250" s="36"/>
      <c r="T250" s="36"/>
      <c r="U250" s="30"/>
      <c r="V250" s="29"/>
      <c r="W250" s="35"/>
      <c r="X250" s="36"/>
      <c r="Y250" s="36"/>
      <c r="Z250" s="30"/>
      <c r="AA250" s="29"/>
      <c r="AB250" s="35"/>
      <c r="AC250" s="36"/>
      <c r="AD250" s="36"/>
      <c r="AE250" s="30"/>
      <c r="AF250" s="29"/>
      <c r="AG250" s="35"/>
      <c r="AH250" s="36"/>
      <c r="AI250" s="36"/>
      <c r="AJ250" s="30"/>
      <c r="AK250" s="29"/>
      <c r="AL250" s="35"/>
      <c r="AM250" s="36"/>
      <c r="AN250" s="36"/>
      <c r="AO250" s="30"/>
      <c r="AP250" s="29"/>
      <c r="AQ250" s="35"/>
      <c r="AR250" s="36"/>
      <c r="AS250" s="36"/>
      <c r="AT250" s="30"/>
      <c r="AU250" s="29"/>
      <c r="AV250" s="29"/>
      <c r="AW250" s="29"/>
      <c r="AX250" s="37"/>
      <c r="AY250" s="29"/>
      <c r="AZ250" s="38" t="str">
        <f aca="false">IF($C250="","",IF(OR(F250="Completed",F250="Cancelled"),"",IF(AND(OR(F250="On Hold",ISNUMBER(VALUE(LEFT(H250,2)))),AY250=""),"Reason not given","")))</f>
        <v/>
      </c>
      <c r="BA250" s="30"/>
    </row>
    <row r="251" customFormat="false" ht="19.5" hidden="false" customHeight="true" outlineLevel="0" collapsed="false">
      <c r="A251" s="28" t="str">
        <f aca="false">IF($C251="","",COUNTA($C$17:$C251))</f>
        <v/>
      </c>
      <c r="B251" s="29"/>
      <c r="C251" s="30"/>
      <c r="D251" s="29"/>
      <c r="E251" s="31" t="str">
        <f aca="false">IF($C251="","",IF(NOT(OR(M251="Completed",M251="NA",M251="Cancelled")),"S1 Schematic",IF(NOT(OR(R251="Completed",R251="NA",R251="Cancelled")),"S2 PCB Layout",IF(NOT(OR(W251="Completed",W251="NA",W251="Cancelled")),"S3 SI &amp; PI",IF(NOT(OR(AB251="Completed",AB251="NA",AB251="Cancelled")),"S4 Bare-PCB Fab",IF(NOT(OR(AG251="Completed",AG251="NA",AG251="Cancelled")),"S5 Assembly",IF(NOT(OR(AL251="Completed",AL251="NA",AL251="Cancelled")),"S6 Bring-up",IF(NOT(OR(AQ251="Completed",AQ251="NA",AQ251="Cancelled")),"S7 BOM Procurement","All Stages Closed"))))))))</f>
        <v/>
      </c>
      <c r="F251" s="32" t="str">
        <f aca="false">IF($C251="","",IF(COUNTIF(M251,"Cancelled")+COUNTIF(R251,"Cancelled")+COUNTIF(W251,"Cancelled")+COUNTIF(AB251,"Cancelled")+COUNTIF(AG251,"Cancelled")+COUNTIF(AL251,"Cancelled")+COUNTIF(AQ251,"Cancelled")&gt;0,"Cancelled",IF(E251="All Stages Closed","Completed",IF(E251="S1 Schematic",M251,IF(E251="S2 PCB Layout",R251,IF(E251="S3 SI &amp; PI",W251,IF(E251="S4 Bare-PCB Fab",AB251,IF(E251="S5 Assembly",AG251,IF(E251="S6 Bring-up",AL251,AQ251)))))))))</f>
        <v/>
      </c>
      <c r="G251" s="33" t="str">
        <f aca="false">IF($C251="","",IF(E251="All Stages Closed","",IF(E251="S1 Schematic",IF(N251="","Not added",N251),IF(E251="S2 PCB Layout",IF(S251="","Not added",S251),IF(E251="S3 SI &amp; PI",IF(X251="","Not added",X251),IF(E251="S4 Bare-PCB Fab",IF(AC251="","Not added",AC251),IF(E251="S5 Assembly",IF(AH251="","Not added",AH251),IF(E251="S6 Bring-up",IF(AM251="","Not added",AM251),IF(AR251="","Not added",AR251)))))))))</f>
        <v/>
      </c>
      <c r="H251" s="32" t="str">
        <f aca="true">IF($C251="","",IF(OR(F251="Completed",F251="Cancelled"),"",IF(NOT(ISNUMBER(G251)),"No date set",IF(TODAY()&gt;G251,TODAY()-G251&amp;" days late",G251-TODAY()&amp;" days left"))))</f>
        <v/>
      </c>
      <c r="I251" s="31" t="str">
        <f aca="false">IF($C251="","",COUNTIF(M251,"Completed")+COUNTIF(R251,"Completed")+COUNTIF(W251,"Completed")+COUNTIF(AB251,"Completed")+COUNTIF(AG251,"Completed")+COUNTIF(AL251,"Completed")+COUNTIF(AQ251,"Completed"))</f>
        <v/>
      </c>
      <c r="J251" s="31" t="str">
        <f aca="false">IF($C251="","",7-(COUNTIF(M251,"NA")+COUNTIF(R251,"NA")+COUNTIF(W251,"NA")+COUNTIF(AB251,"NA")+COUNTIF(AG251,"NA")+COUNTIF(AL251,"NA")+COUNTIF(AQ251,"NA")))</f>
        <v/>
      </c>
      <c r="K251" s="34" t="str">
        <f aca="false">IFERROR(I251/J251,"")</f>
        <v/>
      </c>
      <c r="L251" s="29"/>
      <c r="M251" s="35"/>
      <c r="N251" s="36"/>
      <c r="O251" s="36"/>
      <c r="P251" s="30"/>
      <c r="Q251" s="29"/>
      <c r="R251" s="35"/>
      <c r="S251" s="36"/>
      <c r="T251" s="36"/>
      <c r="U251" s="30"/>
      <c r="V251" s="29"/>
      <c r="W251" s="35"/>
      <c r="X251" s="36"/>
      <c r="Y251" s="36"/>
      <c r="Z251" s="30"/>
      <c r="AA251" s="29"/>
      <c r="AB251" s="35"/>
      <c r="AC251" s="36"/>
      <c r="AD251" s="36"/>
      <c r="AE251" s="30"/>
      <c r="AF251" s="29"/>
      <c r="AG251" s="35"/>
      <c r="AH251" s="36"/>
      <c r="AI251" s="36"/>
      <c r="AJ251" s="30"/>
      <c r="AK251" s="29"/>
      <c r="AL251" s="35"/>
      <c r="AM251" s="36"/>
      <c r="AN251" s="36"/>
      <c r="AO251" s="30"/>
      <c r="AP251" s="29"/>
      <c r="AQ251" s="35"/>
      <c r="AR251" s="36"/>
      <c r="AS251" s="36"/>
      <c r="AT251" s="30"/>
      <c r="AU251" s="29"/>
      <c r="AV251" s="29"/>
      <c r="AW251" s="29"/>
      <c r="AX251" s="37"/>
      <c r="AY251" s="29"/>
      <c r="AZ251" s="38" t="str">
        <f aca="false">IF($C251="","",IF(OR(F251="Completed",F251="Cancelled"),"",IF(AND(OR(F251="On Hold",ISNUMBER(VALUE(LEFT(H251,2)))),AY251=""),"Reason not given","")))</f>
        <v/>
      </c>
      <c r="BA251" s="30"/>
    </row>
    <row r="252" customFormat="false" ht="19.5" hidden="false" customHeight="true" outlineLevel="0" collapsed="false">
      <c r="A252" s="28" t="str">
        <f aca="false">IF($C252="","",COUNTA($C$17:$C252))</f>
        <v/>
      </c>
      <c r="B252" s="29"/>
      <c r="C252" s="30"/>
      <c r="D252" s="29"/>
      <c r="E252" s="31" t="str">
        <f aca="false">IF($C252="","",IF(NOT(OR(M252="Completed",M252="NA",M252="Cancelled")),"S1 Schematic",IF(NOT(OR(R252="Completed",R252="NA",R252="Cancelled")),"S2 PCB Layout",IF(NOT(OR(W252="Completed",W252="NA",W252="Cancelled")),"S3 SI &amp; PI",IF(NOT(OR(AB252="Completed",AB252="NA",AB252="Cancelled")),"S4 Bare-PCB Fab",IF(NOT(OR(AG252="Completed",AG252="NA",AG252="Cancelled")),"S5 Assembly",IF(NOT(OR(AL252="Completed",AL252="NA",AL252="Cancelled")),"S6 Bring-up",IF(NOT(OR(AQ252="Completed",AQ252="NA",AQ252="Cancelled")),"S7 BOM Procurement","All Stages Closed"))))))))</f>
        <v/>
      </c>
      <c r="F252" s="32" t="str">
        <f aca="false">IF($C252="","",IF(COUNTIF(M252,"Cancelled")+COUNTIF(R252,"Cancelled")+COUNTIF(W252,"Cancelled")+COUNTIF(AB252,"Cancelled")+COUNTIF(AG252,"Cancelled")+COUNTIF(AL252,"Cancelled")+COUNTIF(AQ252,"Cancelled")&gt;0,"Cancelled",IF(E252="All Stages Closed","Completed",IF(E252="S1 Schematic",M252,IF(E252="S2 PCB Layout",R252,IF(E252="S3 SI &amp; PI",W252,IF(E252="S4 Bare-PCB Fab",AB252,IF(E252="S5 Assembly",AG252,IF(E252="S6 Bring-up",AL252,AQ252)))))))))</f>
        <v/>
      </c>
      <c r="G252" s="33" t="str">
        <f aca="false">IF($C252="","",IF(E252="All Stages Closed","",IF(E252="S1 Schematic",IF(N252="","Not added",N252),IF(E252="S2 PCB Layout",IF(S252="","Not added",S252),IF(E252="S3 SI &amp; PI",IF(X252="","Not added",X252),IF(E252="S4 Bare-PCB Fab",IF(AC252="","Not added",AC252),IF(E252="S5 Assembly",IF(AH252="","Not added",AH252),IF(E252="S6 Bring-up",IF(AM252="","Not added",AM252),IF(AR252="","Not added",AR252)))))))))</f>
        <v/>
      </c>
      <c r="H252" s="32" t="str">
        <f aca="true">IF($C252="","",IF(OR(F252="Completed",F252="Cancelled"),"",IF(NOT(ISNUMBER(G252)),"No date set",IF(TODAY()&gt;G252,TODAY()-G252&amp;" days late",G252-TODAY()&amp;" days left"))))</f>
        <v/>
      </c>
      <c r="I252" s="31" t="str">
        <f aca="false">IF($C252="","",COUNTIF(M252,"Completed")+COUNTIF(R252,"Completed")+COUNTIF(W252,"Completed")+COUNTIF(AB252,"Completed")+COUNTIF(AG252,"Completed")+COUNTIF(AL252,"Completed")+COUNTIF(AQ252,"Completed"))</f>
        <v/>
      </c>
      <c r="J252" s="31" t="str">
        <f aca="false">IF($C252="","",7-(COUNTIF(M252,"NA")+COUNTIF(R252,"NA")+COUNTIF(W252,"NA")+COUNTIF(AB252,"NA")+COUNTIF(AG252,"NA")+COUNTIF(AL252,"NA")+COUNTIF(AQ252,"NA")))</f>
        <v/>
      </c>
      <c r="K252" s="34" t="str">
        <f aca="false">IFERROR(I252/J252,"")</f>
        <v/>
      </c>
      <c r="L252" s="29"/>
      <c r="M252" s="35"/>
      <c r="N252" s="36"/>
      <c r="O252" s="36"/>
      <c r="P252" s="30"/>
      <c r="Q252" s="29"/>
      <c r="R252" s="35"/>
      <c r="S252" s="36"/>
      <c r="T252" s="36"/>
      <c r="U252" s="30"/>
      <c r="V252" s="29"/>
      <c r="W252" s="35"/>
      <c r="X252" s="36"/>
      <c r="Y252" s="36"/>
      <c r="Z252" s="30"/>
      <c r="AA252" s="29"/>
      <c r="AB252" s="35"/>
      <c r="AC252" s="36"/>
      <c r="AD252" s="36"/>
      <c r="AE252" s="30"/>
      <c r="AF252" s="29"/>
      <c r="AG252" s="35"/>
      <c r="AH252" s="36"/>
      <c r="AI252" s="36"/>
      <c r="AJ252" s="30"/>
      <c r="AK252" s="29"/>
      <c r="AL252" s="35"/>
      <c r="AM252" s="36"/>
      <c r="AN252" s="36"/>
      <c r="AO252" s="30"/>
      <c r="AP252" s="29"/>
      <c r="AQ252" s="35"/>
      <c r="AR252" s="36"/>
      <c r="AS252" s="36"/>
      <c r="AT252" s="30"/>
      <c r="AU252" s="29"/>
      <c r="AV252" s="29"/>
      <c r="AW252" s="29"/>
      <c r="AX252" s="37"/>
      <c r="AY252" s="29"/>
      <c r="AZ252" s="38" t="str">
        <f aca="false">IF($C252="","",IF(OR(F252="Completed",F252="Cancelled"),"",IF(AND(OR(F252="On Hold",ISNUMBER(VALUE(LEFT(H252,2)))),AY252=""),"Reason not given","")))</f>
        <v/>
      </c>
      <c r="BA252" s="30"/>
    </row>
    <row r="253" customFormat="false" ht="19.5" hidden="false" customHeight="true" outlineLevel="0" collapsed="false">
      <c r="A253" s="28" t="str">
        <f aca="false">IF($C253="","",COUNTA($C$17:$C253))</f>
        <v/>
      </c>
      <c r="B253" s="29"/>
      <c r="C253" s="30"/>
      <c r="D253" s="29"/>
      <c r="E253" s="31" t="str">
        <f aca="false">IF($C253="","",IF(NOT(OR(M253="Completed",M253="NA",M253="Cancelled")),"S1 Schematic",IF(NOT(OR(R253="Completed",R253="NA",R253="Cancelled")),"S2 PCB Layout",IF(NOT(OR(W253="Completed",W253="NA",W253="Cancelled")),"S3 SI &amp; PI",IF(NOT(OR(AB253="Completed",AB253="NA",AB253="Cancelled")),"S4 Bare-PCB Fab",IF(NOT(OR(AG253="Completed",AG253="NA",AG253="Cancelled")),"S5 Assembly",IF(NOT(OR(AL253="Completed",AL253="NA",AL253="Cancelled")),"S6 Bring-up",IF(NOT(OR(AQ253="Completed",AQ253="NA",AQ253="Cancelled")),"S7 BOM Procurement","All Stages Closed"))))))))</f>
        <v/>
      </c>
      <c r="F253" s="32" t="str">
        <f aca="false">IF($C253="","",IF(COUNTIF(M253,"Cancelled")+COUNTIF(R253,"Cancelled")+COUNTIF(W253,"Cancelled")+COUNTIF(AB253,"Cancelled")+COUNTIF(AG253,"Cancelled")+COUNTIF(AL253,"Cancelled")+COUNTIF(AQ253,"Cancelled")&gt;0,"Cancelled",IF(E253="All Stages Closed","Completed",IF(E253="S1 Schematic",M253,IF(E253="S2 PCB Layout",R253,IF(E253="S3 SI &amp; PI",W253,IF(E253="S4 Bare-PCB Fab",AB253,IF(E253="S5 Assembly",AG253,IF(E253="S6 Bring-up",AL253,AQ253)))))))))</f>
        <v/>
      </c>
      <c r="G253" s="33" t="str">
        <f aca="false">IF($C253="","",IF(E253="All Stages Closed","",IF(E253="S1 Schematic",IF(N253="","Not added",N253),IF(E253="S2 PCB Layout",IF(S253="","Not added",S253),IF(E253="S3 SI &amp; PI",IF(X253="","Not added",X253),IF(E253="S4 Bare-PCB Fab",IF(AC253="","Not added",AC253),IF(E253="S5 Assembly",IF(AH253="","Not added",AH253),IF(E253="S6 Bring-up",IF(AM253="","Not added",AM253),IF(AR253="","Not added",AR253)))))))))</f>
        <v/>
      </c>
      <c r="H253" s="32" t="str">
        <f aca="true">IF($C253="","",IF(OR(F253="Completed",F253="Cancelled"),"",IF(NOT(ISNUMBER(G253)),"No date set",IF(TODAY()&gt;G253,TODAY()-G253&amp;" days late",G253-TODAY()&amp;" days left"))))</f>
        <v/>
      </c>
      <c r="I253" s="31" t="str">
        <f aca="false">IF($C253="","",COUNTIF(M253,"Completed")+COUNTIF(R253,"Completed")+COUNTIF(W253,"Completed")+COUNTIF(AB253,"Completed")+COUNTIF(AG253,"Completed")+COUNTIF(AL253,"Completed")+COUNTIF(AQ253,"Completed"))</f>
        <v/>
      </c>
      <c r="J253" s="31" t="str">
        <f aca="false">IF($C253="","",7-(COUNTIF(M253,"NA")+COUNTIF(R253,"NA")+COUNTIF(W253,"NA")+COUNTIF(AB253,"NA")+COUNTIF(AG253,"NA")+COUNTIF(AL253,"NA")+COUNTIF(AQ253,"NA")))</f>
        <v/>
      </c>
      <c r="K253" s="34" t="str">
        <f aca="false">IFERROR(I253/J253,"")</f>
        <v/>
      </c>
      <c r="L253" s="29"/>
      <c r="M253" s="35"/>
      <c r="N253" s="36"/>
      <c r="O253" s="36"/>
      <c r="P253" s="30"/>
      <c r="Q253" s="29"/>
      <c r="R253" s="35"/>
      <c r="S253" s="36"/>
      <c r="T253" s="36"/>
      <c r="U253" s="30"/>
      <c r="V253" s="29"/>
      <c r="W253" s="35"/>
      <c r="X253" s="36"/>
      <c r="Y253" s="36"/>
      <c r="Z253" s="30"/>
      <c r="AA253" s="29"/>
      <c r="AB253" s="35"/>
      <c r="AC253" s="36"/>
      <c r="AD253" s="36"/>
      <c r="AE253" s="30"/>
      <c r="AF253" s="29"/>
      <c r="AG253" s="35"/>
      <c r="AH253" s="36"/>
      <c r="AI253" s="36"/>
      <c r="AJ253" s="30"/>
      <c r="AK253" s="29"/>
      <c r="AL253" s="35"/>
      <c r="AM253" s="36"/>
      <c r="AN253" s="36"/>
      <c r="AO253" s="30"/>
      <c r="AP253" s="29"/>
      <c r="AQ253" s="35"/>
      <c r="AR253" s="36"/>
      <c r="AS253" s="36"/>
      <c r="AT253" s="30"/>
      <c r="AU253" s="29"/>
      <c r="AV253" s="29"/>
      <c r="AW253" s="29"/>
      <c r="AX253" s="37"/>
      <c r="AY253" s="29"/>
      <c r="AZ253" s="38" t="str">
        <f aca="false">IF($C253="","",IF(OR(F253="Completed",F253="Cancelled"),"",IF(AND(OR(F253="On Hold",ISNUMBER(VALUE(LEFT(H253,2)))),AY253=""),"Reason not given","")))</f>
        <v/>
      </c>
      <c r="BA253" s="30"/>
    </row>
    <row r="254" customFormat="false" ht="19.5" hidden="false" customHeight="true" outlineLevel="0" collapsed="false">
      <c r="A254" s="28" t="str">
        <f aca="false">IF($C254="","",COUNTA($C$17:$C254))</f>
        <v/>
      </c>
      <c r="B254" s="29"/>
      <c r="C254" s="30"/>
      <c r="D254" s="29"/>
      <c r="E254" s="31" t="str">
        <f aca="false">IF($C254="","",IF(NOT(OR(M254="Completed",M254="NA",M254="Cancelled")),"S1 Schematic",IF(NOT(OR(R254="Completed",R254="NA",R254="Cancelled")),"S2 PCB Layout",IF(NOT(OR(W254="Completed",W254="NA",W254="Cancelled")),"S3 SI &amp; PI",IF(NOT(OR(AB254="Completed",AB254="NA",AB254="Cancelled")),"S4 Bare-PCB Fab",IF(NOT(OR(AG254="Completed",AG254="NA",AG254="Cancelled")),"S5 Assembly",IF(NOT(OR(AL254="Completed",AL254="NA",AL254="Cancelled")),"S6 Bring-up",IF(NOT(OR(AQ254="Completed",AQ254="NA",AQ254="Cancelled")),"S7 BOM Procurement","All Stages Closed"))))))))</f>
        <v/>
      </c>
      <c r="F254" s="32" t="str">
        <f aca="false">IF($C254="","",IF(COUNTIF(M254,"Cancelled")+COUNTIF(R254,"Cancelled")+COUNTIF(W254,"Cancelled")+COUNTIF(AB254,"Cancelled")+COUNTIF(AG254,"Cancelled")+COUNTIF(AL254,"Cancelled")+COUNTIF(AQ254,"Cancelled")&gt;0,"Cancelled",IF(E254="All Stages Closed","Completed",IF(E254="S1 Schematic",M254,IF(E254="S2 PCB Layout",R254,IF(E254="S3 SI &amp; PI",W254,IF(E254="S4 Bare-PCB Fab",AB254,IF(E254="S5 Assembly",AG254,IF(E254="S6 Bring-up",AL254,AQ254)))))))))</f>
        <v/>
      </c>
      <c r="G254" s="33" t="str">
        <f aca="false">IF($C254="","",IF(E254="All Stages Closed","",IF(E254="S1 Schematic",IF(N254="","Not added",N254),IF(E254="S2 PCB Layout",IF(S254="","Not added",S254),IF(E254="S3 SI &amp; PI",IF(X254="","Not added",X254),IF(E254="S4 Bare-PCB Fab",IF(AC254="","Not added",AC254),IF(E254="S5 Assembly",IF(AH254="","Not added",AH254),IF(E254="S6 Bring-up",IF(AM254="","Not added",AM254),IF(AR254="","Not added",AR254)))))))))</f>
        <v/>
      </c>
      <c r="H254" s="32" t="str">
        <f aca="true">IF($C254="","",IF(OR(F254="Completed",F254="Cancelled"),"",IF(NOT(ISNUMBER(G254)),"No date set",IF(TODAY()&gt;G254,TODAY()-G254&amp;" days late",G254-TODAY()&amp;" days left"))))</f>
        <v/>
      </c>
      <c r="I254" s="31" t="str">
        <f aca="false">IF($C254="","",COUNTIF(M254,"Completed")+COUNTIF(R254,"Completed")+COUNTIF(W254,"Completed")+COUNTIF(AB254,"Completed")+COUNTIF(AG254,"Completed")+COUNTIF(AL254,"Completed")+COUNTIF(AQ254,"Completed"))</f>
        <v/>
      </c>
      <c r="J254" s="31" t="str">
        <f aca="false">IF($C254="","",7-(COUNTIF(M254,"NA")+COUNTIF(R254,"NA")+COUNTIF(W254,"NA")+COUNTIF(AB254,"NA")+COUNTIF(AG254,"NA")+COUNTIF(AL254,"NA")+COUNTIF(AQ254,"NA")))</f>
        <v/>
      </c>
      <c r="K254" s="34" t="str">
        <f aca="false">IFERROR(I254/J254,"")</f>
        <v/>
      </c>
      <c r="L254" s="29"/>
      <c r="M254" s="35"/>
      <c r="N254" s="36"/>
      <c r="O254" s="36"/>
      <c r="P254" s="30"/>
      <c r="Q254" s="29"/>
      <c r="R254" s="35"/>
      <c r="S254" s="36"/>
      <c r="T254" s="36"/>
      <c r="U254" s="30"/>
      <c r="V254" s="29"/>
      <c r="W254" s="35"/>
      <c r="X254" s="36"/>
      <c r="Y254" s="36"/>
      <c r="Z254" s="30"/>
      <c r="AA254" s="29"/>
      <c r="AB254" s="35"/>
      <c r="AC254" s="36"/>
      <c r="AD254" s="36"/>
      <c r="AE254" s="30"/>
      <c r="AF254" s="29"/>
      <c r="AG254" s="35"/>
      <c r="AH254" s="36"/>
      <c r="AI254" s="36"/>
      <c r="AJ254" s="30"/>
      <c r="AK254" s="29"/>
      <c r="AL254" s="35"/>
      <c r="AM254" s="36"/>
      <c r="AN254" s="36"/>
      <c r="AO254" s="30"/>
      <c r="AP254" s="29"/>
      <c r="AQ254" s="35"/>
      <c r="AR254" s="36"/>
      <c r="AS254" s="36"/>
      <c r="AT254" s="30"/>
      <c r="AU254" s="29"/>
      <c r="AV254" s="29"/>
      <c r="AW254" s="29"/>
      <c r="AX254" s="37"/>
      <c r="AY254" s="29"/>
      <c r="AZ254" s="38" t="str">
        <f aca="false">IF($C254="","",IF(OR(F254="Completed",F254="Cancelled"),"",IF(AND(OR(F254="On Hold",ISNUMBER(VALUE(LEFT(H254,2)))),AY254=""),"Reason not given","")))</f>
        <v/>
      </c>
      <c r="BA254" s="30"/>
    </row>
    <row r="255" customFormat="false" ht="19.5" hidden="false" customHeight="true" outlineLevel="0" collapsed="false">
      <c r="A255" s="28" t="str">
        <f aca="false">IF($C255="","",COUNTA($C$17:$C255))</f>
        <v/>
      </c>
      <c r="B255" s="29"/>
      <c r="C255" s="30"/>
      <c r="D255" s="29"/>
      <c r="E255" s="31" t="str">
        <f aca="false">IF($C255="","",IF(NOT(OR(M255="Completed",M255="NA",M255="Cancelled")),"S1 Schematic",IF(NOT(OR(R255="Completed",R255="NA",R255="Cancelled")),"S2 PCB Layout",IF(NOT(OR(W255="Completed",W255="NA",W255="Cancelled")),"S3 SI &amp; PI",IF(NOT(OR(AB255="Completed",AB255="NA",AB255="Cancelled")),"S4 Bare-PCB Fab",IF(NOT(OR(AG255="Completed",AG255="NA",AG255="Cancelled")),"S5 Assembly",IF(NOT(OR(AL255="Completed",AL255="NA",AL255="Cancelled")),"S6 Bring-up",IF(NOT(OR(AQ255="Completed",AQ255="NA",AQ255="Cancelled")),"S7 BOM Procurement","All Stages Closed"))))))))</f>
        <v/>
      </c>
      <c r="F255" s="32" t="str">
        <f aca="false">IF($C255="","",IF(COUNTIF(M255,"Cancelled")+COUNTIF(R255,"Cancelled")+COUNTIF(W255,"Cancelled")+COUNTIF(AB255,"Cancelled")+COUNTIF(AG255,"Cancelled")+COUNTIF(AL255,"Cancelled")+COUNTIF(AQ255,"Cancelled")&gt;0,"Cancelled",IF(E255="All Stages Closed","Completed",IF(E255="S1 Schematic",M255,IF(E255="S2 PCB Layout",R255,IF(E255="S3 SI &amp; PI",W255,IF(E255="S4 Bare-PCB Fab",AB255,IF(E255="S5 Assembly",AG255,IF(E255="S6 Bring-up",AL255,AQ255)))))))))</f>
        <v/>
      </c>
      <c r="G255" s="33" t="str">
        <f aca="false">IF($C255="","",IF(E255="All Stages Closed","",IF(E255="S1 Schematic",IF(N255="","Not added",N255),IF(E255="S2 PCB Layout",IF(S255="","Not added",S255),IF(E255="S3 SI &amp; PI",IF(X255="","Not added",X255),IF(E255="S4 Bare-PCB Fab",IF(AC255="","Not added",AC255),IF(E255="S5 Assembly",IF(AH255="","Not added",AH255),IF(E255="S6 Bring-up",IF(AM255="","Not added",AM255),IF(AR255="","Not added",AR255)))))))))</f>
        <v/>
      </c>
      <c r="H255" s="32" t="str">
        <f aca="true">IF($C255="","",IF(OR(F255="Completed",F255="Cancelled"),"",IF(NOT(ISNUMBER(G255)),"No date set",IF(TODAY()&gt;G255,TODAY()-G255&amp;" days late",G255-TODAY()&amp;" days left"))))</f>
        <v/>
      </c>
      <c r="I255" s="31" t="str">
        <f aca="false">IF($C255="","",COUNTIF(M255,"Completed")+COUNTIF(R255,"Completed")+COUNTIF(W255,"Completed")+COUNTIF(AB255,"Completed")+COUNTIF(AG255,"Completed")+COUNTIF(AL255,"Completed")+COUNTIF(AQ255,"Completed"))</f>
        <v/>
      </c>
      <c r="J255" s="31" t="str">
        <f aca="false">IF($C255="","",7-(COUNTIF(M255,"NA")+COUNTIF(R255,"NA")+COUNTIF(W255,"NA")+COUNTIF(AB255,"NA")+COUNTIF(AG255,"NA")+COUNTIF(AL255,"NA")+COUNTIF(AQ255,"NA")))</f>
        <v/>
      </c>
      <c r="K255" s="34" t="str">
        <f aca="false">IFERROR(I255/J255,"")</f>
        <v/>
      </c>
      <c r="L255" s="29"/>
      <c r="M255" s="35"/>
      <c r="N255" s="36"/>
      <c r="O255" s="36"/>
      <c r="P255" s="30"/>
      <c r="Q255" s="29"/>
      <c r="R255" s="35"/>
      <c r="S255" s="36"/>
      <c r="T255" s="36"/>
      <c r="U255" s="30"/>
      <c r="V255" s="29"/>
      <c r="W255" s="35"/>
      <c r="X255" s="36"/>
      <c r="Y255" s="36"/>
      <c r="Z255" s="30"/>
      <c r="AA255" s="29"/>
      <c r="AB255" s="35"/>
      <c r="AC255" s="36"/>
      <c r="AD255" s="36"/>
      <c r="AE255" s="30"/>
      <c r="AF255" s="29"/>
      <c r="AG255" s="35"/>
      <c r="AH255" s="36"/>
      <c r="AI255" s="36"/>
      <c r="AJ255" s="30"/>
      <c r="AK255" s="29"/>
      <c r="AL255" s="35"/>
      <c r="AM255" s="36"/>
      <c r="AN255" s="36"/>
      <c r="AO255" s="30"/>
      <c r="AP255" s="29"/>
      <c r="AQ255" s="35"/>
      <c r="AR255" s="36"/>
      <c r="AS255" s="36"/>
      <c r="AT255" s="30"/>
      <c r="AU255" s="29"/>
      <c r="AV255" s="29"/>
      <c r="AW255" s="29"/>
      <c r="AX255" s="37"/>
      <c r="AY255" s="29"/>
      <c r="AZ255" s="38" t="str">
        <f aca="false">IF($C255="","",IF(OR(F255="Completed",F255="Cancelled"),"",IF(AND(OR(F255="On Hold",ISNUMBER(VALUE(LEFT(H255,2)))),AY255=""),"Reason not given","")))</f>
        <v/>
      </c>
      <c r="BA255" s="30"/>
    </row>
    <row r="256" customFormat="false" ht="19.5" hidden="false" customHeight="true" outlineLevel="0" collapsed="false">
      <c r="A256" s="28" t="str">
        <f aca="false">IF($C256="","",COUNTA($C$17:$C256))</f>
        <v/>
      </c>
      <c r="B256" s="29"/>
      <c r="C256" s="30"/>
      <c r="D256" s="29"/>
      <c r="E256" s="31" t="str">
        <f aca="false">IF($C256="","",IF(NOT(OR(M256="Completed",M256="NA",M256="Cancelled")),"S1 Schematic",IF(NOT(OR(R256="Completed",R256="NA",R256="Cancelled")),"S2 PCB Layout",IF(NOT(OR(W256="Completed",W256="NA",W256="Cancelled")),"S3 SI &amp; PI",IF(NOT(OR(AB256="Completed",AB256="NA",AB256="Cancelled")),"S4 Bare-PCB Fab",IF(NOT(OR(AG256="Completed",AG256="NA",AG256="Cancelled")),"S5 Assembly",IF(NOT(OR(AL256="Completed",AL256="NA",AL256="Cancelled")),"S6 Bring-up",IF(NOT(OR(AQ256="Completed",AQ256="NA",AQ256="Cancelled")),"S7 BOM Procurement","All Stages Closed"))))))))</f>
        <v/>
      </c>
      <c r="F256" s="32" t="str">
        <f aca="false">IF($C256="","",IF(COUNTIF(M256,"Cancelled")+COUNTIF(R256,"Cancelled")+COUNTIF(W256,"Cancelled")+COUNTIF(AB256,"Cancelled")+COUNTIF(AG256,"Cancelled")+COUNTIF(AL256,"Cancelled")+COUNTIF(AQ256,"Cancelled")&gt;0,"Cancelled",IF(E256="All Stages Closed","Completed",IF(E256="S1 Schematic",M256,IF(E256="S2 PCB Layout",R256,IF(E256="S3 SI &amp; PI",W256,IF(E256="S4 Bare-PCB Fab",AB256,IF(E256="S5 Assembly",AG256,IF(E256="S6 Bring-up",AL256,AQ256)))))))))</f>
        <v/>
      </c>
      <c r="G256" s="33" t="str">
        <f aca="false">IF($C256="","",IF(E256="All Stages Closed","",IF(E256="S1 Schematic",IF(N256="","Not added",N256),IF(E256="S2 PCB Layout",IF(S256="","Not added",S256),IF(E256="S3 SI &amp; PI",IF(X256="","Not added",X256),IF(E256="S4 Bare-PCB Fab",IF(AC256="","Not added",AC256),IF(E256="S5 Assembly",IF(AH256="","Not added",AH256),IF(E256="S6 Bring-up",IF(AM256="","Not added",AM256),IF(AR256="","Not added",AR256)))))))))</f>
        <v/>
      </c>
      <c r="H256" s="32" t="str">
        <f aca="true">IF($C256="","",IF(OR(F256="Completed",F256="Cancelled"),"",IF(NOT(ISNUMBER(G256)),"No date set",IF(TODAY()&gt;G256,TODAY()-G256&amp;" days late",G256-TODAY()&amp;" days left"))))</f>
        <v/>
      </c>
      <c r="I256" s="31" t="str">
        <f aca="false">IF($C256="","",COUNTIF(M256,"Completed")+COUNTIF(R256,"Completed")+COUNTIF(W256,"Completed")+COUNTIF(AB256,"Completed")+COUNTIF(AG256,"Completed")+COUNTIF(AL256,"Completed")+COUNTIF(AQ256,"Completed"))</f>
        <v/>
      </c>
      <c r="J256" s="31" t="str">
        <f aca="false">IF($C256="","",7-(COUNTIF(M256,"NA")+COUNTIF(R256,"NA")+COUNTIF(W256,"NA")+COUNTIF(AB256,"NA")+COUNTIF(AG256,"NA")+COUNTIF(AL256,"NA")+COUNTIF(AQ256,"NA")))</f>
        <v/>
      </c>
      <c r="K256" s="34" t="str">
        <f aca="false">IFERROR(I256/J256,"")</f>
        <v/>
      </c>
      <c r="L256" s="29"/>
      <c r="M256" s="35"/>
      <c r="N256" s="36"/>
      <c r="O256" s="36"/>
      <c r="P256" s="30"/>
      <c r="Q256" s="29"/>
      <c r="R256" s="35"/>
      <c r="S256" s="36"/>
      <c r="T256" s="36"/>
      <c r="U256" s="30"/>
      <c r="V256" s="29"/>
      <c r="W256" s="35"/>
      <c r="X256" s="36"/>
      <c r="Y256" s="36"/>
      <c r="Z256" s="30"/>
      <c r="AA256" s="29"/>
      <c r="AB256" s="35"/>
      <c r="AC256" s="36"/>
      <c r="AD256" s="36"/>
      <c r="AE256" s="30"/>
      <c r="AF256" s="29"/>
      <c r="AG256" s="35"/>
      <c r="AH256" s="36"/>
      <c r="AI256" s="36"/>
      <c r="AJ256" s="30"/>
      <c r="AK256" s="29"/>
      <c r="AL256" s="35"/>
      <c r="AM256" s="36"/>
      <c r="AN256" s="36"/>
      <c r="AO256" s="30"/>
      <c r="AP256" s="29"/>
      <c r="AQ256" s="35"/>
      <c r="AR256" s="36"/>
      <c r="AS256" s="36"/>
      <c r="AT256" s="30"/>
      <c r="AU256" s="29"/>
      <c r="AV256" s="29"/>
      <c r="AW256" s="29"/>
      <c r="AX256" s="37"/>
      <c r="AY256" s="29"/>
      <c r="AZ256" s="38" t="str">
        <f aca="false">IF($C256="","",IF(OR(F256="Completed",F256="Cancelled"),"",IF(AND(OR(F256="On Hold",ISNUMBER(VALUE(LEFT(H256,2)))),AY256=""),"Reason not given","")))</f>
        <v/>
      </c>
      <c r="BA256" s="30"/>
    </row>
    <row r="257" customFormat="false" ht="19.5" hidden="false" customHeight="true" outlineLevel="0" collapsed="false">
      <c r="A257" s="28" t="str">
        <f aca="false">IF($C257="","",COUNTA($C$17:$C257))</f>
        <v/>
      </c>
      <c r="B257" s="29"/>
      <c r="C257" s="30"/>
      <c r="D257" s="29"/>
      <c r="E257" s="31" t="str">
        <f aca="false">IF($C257="","",IF(NOT(OR(M257="Completed",M257="NA",M257="Cancelled")),"S1 Schematic",IF(NOT(OR(R257="Completed",R257="NA",R257="Cancelled")),"S2 PCB Layout",IF(NOT(OR(W257="Completed",W257="NA",W257="Cancelled")),"S3 SI &amp; PI",IF(NOT(OR(AB257="Completed",AB257="NA",AB257="Cancelled")),"S4 Bare-PCB Fab",IF(NOT(OR(AG257="Completed",AG257="NA",AG257="Cancelled")),"S5 Assembly",IF(NOT(OR(AL257="Completed",AL257="NA",AL257="Cancelled")),"S6 Bring-up",IF(NOT(OR(AQ257="Completed",AQ257="NA",AQ257="Cancelled")),"S7 BOM Procurement","All Stages Closed"))))))))</f>
        <v/>
      </c>
      <c r="F257" s="32" t="str">
        <f aca="false">IF($C257="","",IF(COUNTIF(M257,"Cancelled")+COUNTIF(R257,"Cancelled")+COUNTIF(W257,"Cancelled")+COUNTIF(AB257,"Cancelled")+COUNTIF(AG257,"Cancelled")+COUNTIF(AL257,"Cancelled")+COUNTIF(AQ257,"Cancelled")&gt;0,"Cancelled",IF(E257="All Stages Closed","Completed",IF(E257="S1 Schematic",M257,IF(E257="S2 PCB Layout",R257,IF(E257="S3 SI &amp; PI",W257,IF(E257="S4 Bare-PCB Fab",AB257,IF(E257="S5 Assembly",AG257,IF(E257="S6 Bring-up",AL257,AQ257)))))))))</f>
        <v/>
      </c>
      <c r="G257" s="33" t="str">
        <f aca="false">IF($C257="","",IF(E257="All Stages Closed","",IF(E257="S1 Schematic",IF(N257="","Not added",N257),IF(E257="S2 PCB Layout",IF(S257="","Not added",S257),IF(E257="S3 SI &amp; PI",IF(X257="","Not added",X257),IF(E257="S4 Bare-PCB Fab",IF(AC257="","Not added",AC257),IF(E257="S5 Assembly",IF(AH257="","Not added",AH257),IF(E257="S6 Bring-up",IF(AM257="","Not added",AM257),IF(AR257="","Not added",AR257)))))))))</f>
        <v/>
      </c>
      <c r="H257" s="32" t="str">
        <f aca="true">IF($C257="","",IF(OR(F257="Completed",F257="Cancelled"),"",IF(NOT(ISNUMBER(G257)),"No date set",IF(TODAY()&gt;G257,TODAY()-G257&amp;" days late",G257-TODAY()&amp;" days left"))))</f>
        <v/>
      </c>
      <c r="I257" s="31" t="str">
        <f aca="false">IF($C257="","",COUNTIF(M257,"Completed")+COUNTIF(R257,"Completed")+COUNTIF(W257,"Completed")+COUNTIF(AB257,"Completed")+COUNTIF(AG257,"Completed")+COUNTIF(AL257,"Completed")+COUNTIF(AQ257,"Completed"))</f>
        <v/>
      </c>
      <c r="J257" s="31" t="str">
        <f aca="false">IF($C257="","",7-(COUNTIF(M257,"NA")+COUNTIF(R257,"NA")+COUNTIF(W257,"NA")+COUNTIF(AB257,"NA")+COUNTIF(AG257,"NA")+COUNTIF(AL257,"NA")+COUNTIF(AQ257,"NA")))</f>
        <v/>
      </c>
      <c r="K257" s="34" t="str">
        <f aca="false">IFERROR(I257/J257,"")</f>
        <v/>
      </c>
      <c r="L257" s="29"/>
      <c r="M257" s="35"/>
      <c r="N257" s="36"/>
      <c r="O257" s="36"/>
      <c r="P257" s="30"/>
      <c r="Q257" s="29"/>
      <c r="R257" s="35"/>
      <c r="S257" s="36"/>
      <c r="T257" s="36"/>
      <c r="U257" s="30"/>
      <c r="V257" s="29"/>
      <c r="W257" s="35"/>
      <c r="X257" s="36"/>
      <c r="Y257" s="36"/>
      <c r="Z257" s="30"/>
      <c r="AA257" s="29"/>
      <c r="AB257" s="35"/>
      <c r="AC257" s="36"/>
      <c r="AD257" s="36"/>
      <c r="AE257" s="30"/>
      <c r="AF257" s="29"/>
      <c r="AG257" s="35"/>
      <c r="AH257" s="36"/>
      <c r="AI257" s="36"/>
      <c r="AJ257" s="30"/>
      <c r="AK257" s="29"/>
      <c r="AL257" s="35"/>
      <c r="AM257" s="36"/>
      <c r="AN257" s="36"/>
      <c r="AO257" s="30"/>
      <c r="AP257" s="29"/>
      <c r="AQ257" s="35"/>
      <c r="AR257" s="36"/>
      <c r="AS257" s="36"/>
      <c r="AT257" s="30"/>
      <c r="AU257" s="29"/>
      <c r="AV257" s="29"/>
      <c r="AW257" s="29"/>
      <c r="AX257" s="37"/>
      <c r="AY257" s="29"/>
      <c r="AZ257" s="38" t="str">
        <f aca="false">IF($C257="","",IF(OR(F257="Completed",F257="Cancelled"),"",IF(AND(OR(F257="On Hold",ISNUMBER(VALUE(LEFT(H257,2)))),AY257=""),"Reason not given","")))</f>
        <v/>
      </c>
      <c r="BA257" s="30"/>
    </row>
    <row r="258" customFormat="false" ht="19.5" hidden="false" customHeight="true" outlineLevel="0" collapsed="false">
      <c r="A258" s="28" t="str">
        <f aca="false">IF($C258="","",COUNTA($C$17:$C258))</f>
        <v/>
      </c>
      <c r="B258" s="29"/>
      <c r="C258" s="30"/>
      <c r="D258" s="29"/>
      <c r="E258" s="31" t="str">
        <f aca="false">IF($C258="","",IF(NOT(OR(M258="Completed",M258="NA",M258="Cancelled")),"S1 Schematic",IF(NOT(OR(R258="Completed",R258="NA",R258="Cancelled")),"S2 PCB Layout",IF(NOT(OR(W258="Completed",W258="NA",W258="Cancelled")),"S3 SI &amp; PI",IF(NOT(OR(AB258="Completed",AB258="NA",AB258="Cancelled")),"S4 Bare-PCB Fab",IF(NOT(OR(AG258="Completed",AG258="NA",AG258="Cancelled")),"S5 Assembly",IF(NOT(OR(AL258="Completed",AL258="NA",AL258="Cancelled")),"S6 Bring-up",IF(NOT(OR(AQ258="Completed",AQ258="NA",AQ258="Cancelled")),"S7 BOM Procurement","All Stages Closed"))))))))</f>
        <v/>
      </c>
      <c r="F258" s="32" t="str">
        <f aca="false">IF($C258="","",IF(COUNTIF(M258,"Cancelled")+COUNTIF(R258,"Cancelled")+COUNTIF(W258,"Cancelled")+COUNTIF(AB258,"Cancelled")+COUNTIF(AG258,"Cancelled")+COUNTIF(AL258,"Cancelled")+COUNTIF(AQ258,"Cancelled")&gt;0,"Cancelled",IF(E258="All Stages Closed","Completed",IF(E258="S1 Schematic",M258,IF(E258="S2 PCB Layout",R258,IF(E258="S3 SI &amp; PI",W258,IF(E258="S4 Bare-PCB Fab",AB258,IF(E258="S5 Assembly",AG258,IF(E258="S6 Bring-up",AL258,AQ258)))))))))</f>
        <v/>
      </c>
      <c r="G258" s="33" t="str">
        <f aca="false">IF($C258="","",IF(E258="All Stages Closed","",IF(E258="S1 Schematic",IF(N258="","Not added",N258),IF(E258="S2 PCB Layout",IF(S258="","Not added",S258),IF(E258="S3 SI &amp; PI",IF(X258="","Not added",X258),IF(E258="S4 Bare-PCB Fab",IF(AC258="","Not added",AC258),IF(E258="S5 Assembly",IF(AH258="","Not added",AH258),IF(E258="S6 Bring-up",IF(AM258="","Not added",AM258),IF(AR258="","Not added",AR258)))))))))</f>
        <v/>
      </c>
      <c r="H258" s="32" t="str">
        <f aca="true">IF($C258="","",IF(OR(F258="Completed",F258="Cancelled"),"",IF(NOT(ISNUMBER(G258)),"No date set",IF(TODAY()&gt;G258,TODAY()-G258&amp;" days late",G258-TODAY()&amp;" days left"))))</f>
        <v/>
      </c>
      <c r="I258" s="31" t="str">
        <f aca="false">IF($C258="","",COUNTIF(M258,"Completed")+COUNTIF(R258,"Completed")+COUNTIF(W258,"Completed")+COUNTIF(AB258,"Completed")+COUNTIF(AG258,"Completed")+COUNTIF(AL258,"Completed")+COUNTIF(AQ258,"Completed"))</f>
        <v/>
      </c>
      <c r="J258" s="31" t="str">
        <f aca="false">IF($C258="","",7-(COUNTIF(M258,"NA")+COUNTIF(R258,"NA")+COUNTIF(W258,"NA")+COUNTIF(AB258,"NA")+COUNTIF(AG258,"NA")+COUNTIF(AL258,"NA")+COUNTIF(AQ258,"NA")))</f>
        <v/>
      </c>
      <c r="K258" s="34" t="str">
        <f aca="false">IFERROR(I258/J258,"")</f>
        <v/>
      </c>
      <c r="L258" s="29"/>
      <c r="M258" s="35"/>
      <c r="N258" s="36"/>
      <c r="O258" s="36"/>
      <c r="P258" s="30"/>
      <c r="Q258" s="29"/>
      <c r="R258" s="35"/>
      <c r="S258" s="36"/>
      <c r="T258" s="36"/>
      <c r="U258" s="30"/>
      <c r="V258" s="29"/>
      <c r="W258" s="35"/>
      <c r="X258" s="36"/>
      <c r="Y258" s="36"/>
      <c r="Z258" s="30"/>
      <c r="AA258" s="29"/>
      <c r="AB258" s="35"/>
      <c r="AC258" s="36"/>
      <c r="AD258" s="36"/>
      <c r="AE258" s="30"/>
      <c r="AF258" s="29"/>
      <c r="AG258" s="35"/>
      <c r="AH258" s="36"/>
      <c r="AI258" s="36"/>
      <c r="AJ258" s="30"/>
      <c r="AK258" s="29"/>
      <c r="AL258" s="35"/>
      <c r="AM258" s="36"/>
      <c r="AN258" s="36"/>
      <c r="AO258" s="30"/>
      <c r="AP258" s="29"/>
      <c r="AQ258" s="35"/>
      <c r="AR258" s="36"/>
      <c r="AS258" s="36"/>
      <c r="AT258" s="30"/>
      <c r="AU258" s="29"/>
      <c r="AV258" s="29"/>
      <c r="AW258" s="29"/>
      <c r="AX258" s="37"/>
      <c r="AY258" s="29"/>
      <c r="AZ258" s="38" t="str">
        <f aca="false">IF($C258="","",IF(OR(F258="Completed",F258="Cancelled"),"",IF(AND(OR(F258="On Hold",ISNUMBER(VALUE(LEFT(H258,2)))),AY258=""),"Reason not given","")))</f>
        <v/>
      </c>
      <c r="BA258" s="30"/>
    </row>
    <row r="259" customFormat="false" ht="19.5" hidden="false" customHeight="true" outlineLevel="0" collapsed="false">
      <c r="A259" s="28" t="str">
        <f aca="false">IF($C259="","",COUNTA($C$17:$C259))</f>
        <v/>
      </c>
      <c r="B259" s="29"/>
      <c r="C259" s="30"/>
      <c r="D259" s="29"/>
      <c r="E259" s="31" t="str">
        <f aca="false">IF($C259="","",IF(NOT(OR(M259="Completed",M259="NA",M259="Cancelled")),"S1 Schematic",IF(NOT(OR(R259="Completed",R259="NA",R259="Cancelled")),"S2 PCB Layout",IF(NOT(OR(W259="Completed",W259="NA",W259="Cancelled")),"S3 SI &amp; PI",IF(NOT(OR(AB259="Completed",AB259="NA",AB259="Cancelled")),"S4 Bare-PCB Fab",IF(NOT(OR(AG259="Completed",AG259="NA",AG259="Cancelled")),"S5 Assembly",IF(NOT(OR(AL259="Completed",AL259="NA",AL259="Cancelled")),"S6 Bring-up",IF(NOT(OR(AQ259="Completed",AQ259="NA",AQ259="Cancelled")),"S7 BOM Procurement","All Stages Closed"))))))))</f>
        <v/>
      </c>
      <c r="F259" s="32" t="str">
        <f aca="false">IF($C259="","",IF(COUNTIF(M259,"Cancelled")+COUNTIF(R259,"Cancelled")+COUNTIF(W259,"Cancelled")+COUNTIF(AB259,"Cancelled")+COUNTIF(AG259,"Cancelled")+COUNTIF(AL259,"Cancelled")+COUNTIF(AQ259,"Cancelled")&gt;0,"Cancelled",IF(E259="All Stages Closed","Completed",IF(E259="S1 Schematic",M259,IF(E259="S2 PCB Layout",R259,IF(E259="S3 SI &amp; PI",W259,IF(E259="S4 Bare-PCB Fab",AB259,IF(E259="S5 Assembly",AG259,IF(E259="S6 Bring-up",AL259,AQ259)))))))))</f>
        <v/>
      </c>
      <c r="G259" s="33" t="str">
        <f aca="false">IF($C259="","",IF(E259="All Stages Closed","",IF(E259="S1 Schematic",IF(N259="","Not added",N259),IF(E259="S2 PCB Layout",IF(S259="","Not added",S259),IF(E259="S3 SI &amp; PI",IF(X259="","Not added",X259),IF(E259="S4 Bare-PCB Fab",IF(AC259="","Not added",AC259),IF(E259="S5 Assembly",IF(AH259="","Not added",AH259),IF(E259="S6 Bring-up",IF(AM259="","Not added",AM259),IF(AR259="","Not added",AR259)))))))))</f>
        <v/>
      </c>
      <c r="H259" s="32" t="str">
        <f aca="true">IF($C259="","",IF(OR(F259="Completed",F259="Cancelled"),"",IF(NOT(ISNUMBER(G259)),"No date set",IF(TODAY()&gt;G259,TODAY()-G259&amp;" days late",G259-TODAY()&amp;" days left"))))</f>
        <v/>
      </c>
      <c r="I259" s="31" t="str">
        <f aca="false">IF($C259="","",COUNTIF(M259,"Completed")+COUNTIF(R259,"Completed")+COUNTIF(W259,"Completed")+COUNTIF(AB259,"Completed")+COUNTIF(AG259,"Completed")+COUNTIF(AL259,"Completed")+COUNTIF(AQ259,"Completed"))</f>
        <v/>
      </c>
      <c r="J259" s="31" t="str">
        <f aca="false">IF($C259="","",7-(COUNTIF(M259,"NA")+COUNTIF(R259,"NA")+COUNTIF(W259,"NA")+COUNTIF(AB259,"NA")+COUNTIF(AG259,"NA")+COUNTIF(AL259,"NA")+COUNTIF(AQ259,"NA")))</f>
        <v/>
      </c>
      <c r="K259" s="34" t="str">
        <f aca="false">IFERROR(I259/J259,"")</f>
        <v/>
      </c>
      <c r="L259" s="29"/>
      <c r="M259" s="35"/>
      <c r="N259" s="36"/>
      <c r="O259" s="36"/>
      <c r="P259" s="30"/>
      <c r="Q259" s="29"/>
      <c r="R259" s="35"/>
      <c r="S259" s="36"/>
      <c r="T259" s="36"/>
      <c r="U259" s="30"/>
      <c r="V259" s="29"/>
      <c r="W259" s="35"/>
      <c r="X259" s="36"/>
      <c r="Y259" s="36"/>
      <c r="Z259" s="30"/>
      <c r="AA259" s="29"/>
      <c r="AB259" s="35"/>
      <c r="AC259" s="36"/>
      <c r="AD259" s="36"/>
      <c r="AE259" s="30"/>
      <c r="AF259" s="29"/>
      <c r="AG259" s="35"/>
      <c r="AH259" s="36"/>
      <c r="AI259" s="36"/>
      <c r="AJ259" s="30"/>
      <c r="AK259" s="29"/>
      <c r="AL259" s="35"/>
      <c r="AM259" s="36"/>
      <c r="AN259" s="36"/>
      <c r="AO259" s="30"/>
      <c r="AP259" s="29"/>
      <c r="AQ259" s="35"/>
      <c r="AR259" s="36"/>
      <c r="AS259" s="36"/>
      <c r="AT259" s="30"/>
      <c r="AU259" s="29"/>
      <c r="AV259" s="29"/>
      <c r="AW259" s="29"/>
      <c r="AX259" s="37"/>
      <c r="AY259" s="29"/>
      <c r="AZ259" s="38" t="str">
        <f aca="false">IF($C259="","",IF(OR(F259="Completed",F259="Cancelled"),"",IF(AND(OR(F259="On Hold",ISNUMBER(VALUE(LEFT(H259,2)))),AY259=""),"Reason not given","")))</f>
        <v/>
      </c>
      <c r="BA259" s="30"/>
    </row>
    <row r="260" customFormat="false" ht="19.5" hidden="false" customHeight="true" outlineLevel="0" collapsed="false">
      <c r="A260" s="28" t="str">
        <f aca="false">IF($C260="","",COUNTA($C$17:$C260))</f>
        <v/>
      </c>
      <c r="B260" s="29"/>
      <c r="C260" s="30"/>
      <c r="D260" s="29"/>
      <c r="E260" s="31" t="str">
        <f aca="false">IF($C260="","",IF(NOT(OR(M260="Completed",M260="NA",M260="Cancelled")),"S1 Schematic",IF(NOT(OR(R260="Completed",R260="NA",R260="Cancelled")),"S2 PCB Layout",IF(NOT(OR(W260="Completed",W260="NA",W260="Cancelled")),"S3 SI &amp; PI",IF(NOT(OR(AB260="Completed",AB260="NA",AB260="Cancelled")),"S4 Bare-PCB Fab",IF(NOT(OR(AG260="Completed",AG260="NA",AG260="Cancelled")),"S5 Assembly",IF(NOT(OR(AL260="Completed",AL260="NA",AL260="Cancelled")),"S6 Bring-up",IF(NOT(OR(AQ260="Completed",AQ260="NA",AQ260="Cancelled")),"S7 BOM Procurement","All Stages Closed"))))))))</f>
        <v/>
      </c>
      <c r="F260" s="32" t="str">
        <f aca="false">IF($C260="","",IF(COUNTIF(M260,"Cancelled")+COUNTIF(R260,"Cancelled")+COUNTIF(W260,"Cancelled")+COUNTIF(AB260,"Cancelled")+COUNTIF(AG260,"Cancelled")+COUNTIF(AL260,"Cancelled")+COUNTIF(AQ260,"Cancelled")&gt;0,"Cancelled",IF(E260="All Stages Closed","Completed",IF(E260="S1 Schematic",M260,IF(E260="S2 PCB Layout",R260,IF(E260="S3 SI &amp; PI",W260,IF(E260="S4 Bare-PCB Fab",AB260,IF(E260="S5 Assembly",AG260,IF(E260="S6 Bring-up",AL260,AQ260)))))))))</f>
        <v/>
      </c>
      <c r="G260" s="33" t="str">
        <f aca="false">IF($C260="","",IF(E260="All Stages Closed","",IF(E260="S1 Schematic",IF(N260="","Not added",N260),IF(E260="S2 PCB Layout",IF(S260="","Not added",S260),IF(E260="S3 SI &amp; PI",IF(X260="","Not added",X260),IF(E260="S4 Bare-PCB Fab",IF(AC260="","Not added",AC260),IF(E260="S5 Assembly",IF(AH260="","Not added",AH260),IF(E260="S6 Bring-up",IF(AM260="","Not added",AM260),IF(AR260="","Not added",AR260)))))))))</f>
        <v/>
      </c>
      <c r="H260" s="32" t="str">
        <f aca="true">IF($C260="","",IF(OR(F260="Completed",F260="Cancelled"),"",IF(NOT(ISNUMBER(G260)),"No date set",IF(TODAY()&gt;G260,TODAY()-G260&amp;" days late",G260-TODAY()&amp;" days left"))))</f>
        <v/>
      </c>
      <c r="I260" s="31" t="str">
        <f aca="false">IF($C260="","",COUNTIF(M260,"Completed")+COUNTIF(R260,"Completed")+COUNTIF(W260,"Completed")+COUNTIF(AB260,"Completed")+COUNTIF(AG260,"Completed")+COUNTIF(AL260,"Completed")+COUNTIF(AQ260,"Completed"))</f>
        <v/>
      </c>
      <c r="J260" s="31" t="str">
        <f aca="false">IF($C260="","",7-(COUNTIF(M260,"NA")+COUNTIF(R260,"NA")+COUNTIF(W260,"NA")+COUNTIF(AB260,"NA")+COUNTIF(AG260,"NA")+COUNTIF(AL260,"NA")+COUNTIF(AQ260,"NA")))</f>
        <v/>
      </c>
      <c r="K260" s="34" t="str">
        <f aca="false">IFERROR(I260/J260,"")</f>
        <v/>
      </c>
      <c r="L260" s="29"/>
      <c r="M260" s="35"/>
      <c r="N260" s="36"/>
      <c r="O260" s="36"/>
      <c r="P260" s="30"/>
      <c r="Q260" s="29"/>
      <c r="R260" s="35"/>
      <c r="S260" s="36"/>
      <c r="T260" s="36"/>
      <c r="U260" s="30"/>
      <c r="V260" s="29"/>
      <c r="W260" s="35"/>
      <c r="X260" s="36"/>
      <c r="Y260" s="36"/>
      <c r="Z260" s="30"/>
      <c r="AA260" s="29"/>
      <c r="AB260" s="35"/>
      <c r="AC260" s="36"/>
      <c r="AD260" s="36"/>
      <c r="AE260" s="30"/>
      <c r="AF260" s="29"/>
      <c r="AG260" s="35"/>
      <c r="AH260" s="36"/>
      <c r="AI260" s="36"/>
      <c r="AJ260" s="30"/>
      <c r="AK260" s="29"/>
      <c r="AL260" s="35"/>
      <c r="AM260" s="36"/>
      <c r="AN260" s="36"/>
      <c r="AO260" s="30"/>
      <c r="AP260" s="29"/>
      <c r="AQ260" s="35"/>
      <c r="AR260" s="36"/>
      <c r="AS260" s="36"/>
      <c r="AT260" s="30"/>
      <c r="AU260" s="29"/>
      <c r="AV260" s="29"/>
      <c r="AW260" s="29"/>
      <c r="AX260" s="37"/>
      <c r="AY260" s="29"/>
      <c r="AZ260" s="38" t="str">
        <f aca="false">IF($C260="","",IF(OR(F260="Completed",F260="Cancelled"),"",IF(AND(OR(F260="On Hold",ISNUMBER(VALUE(LEFT(H260,2)))),AY260=""),"Reason not given","")))</f>
        <v/>
      </c>
      <c r="BA260" s="30"/>
    </row>
    <row r="261" customFormat="false" ht="19.5" hidden="false" customHeight="true" outlineLevel="0" collapsed="false">
      <c r="A261" s="28" t="str">
        <f aca="false">IF($C261="","",COUNTA($C$17:$C261))</f>
        <v/>
      </c>
      <c r="B261" s="29"/>
      <c r="C261" s="30"/>
      <c r="D261" s="29"/>
      <c r="E261" s="31" t="str">
        <f aca="false">IF($C261="","",IF(NOT(OR(M261="Completed",M261="NA",M261="Cancelled")),"S1 Schematic",IF(NOT(OR(R261="Completed",R261="NA",R261="Cancelled")),"S2 PCB Layout",IF(NOT(OR(W261="Completed",W261="NA",W261="Cancelled")),"S3 SI &amp; PI",IF(NOT(OR(AB261="Completed",AB261="NA",AB261="Cancelled")),"S4 Bare-PCB Fab",IF(NOT(OR(AG261="Completed",AG261="NA",AG261="Cancelled")),"S5 Assembly",IF(NOT(OR(AL261="Completed",AL261="NA",AL261="Cancelled")),"S6 Bring-up",IF(NOT(OR(AQ261="Completed",AQ261="NA",AQ261="Cancelled")),"S7 BOM Procurement","All Stages Closed"))))))))</f>
        <v/>
      </c>
      <c r="F261" s="32" t="str">
        <f aca="false">IF($C261="","",IF(COUNTIF(M261,"Cancelled")+COUNTIF(R261,"Cancelled")+COUNTIF(W261,"Cancelled")+COUNTIF(AB261,"Cancelled")+COUNTIF(AG261,"Cancelled")+COUNTIF(AL261,"Cancelled")+COUNTIF(AQ261,"Cancelled")&gt;0,"Cancelled",IF(E261="All Stages Closed","Completed",IF(E261="S1 Schematic",M261,IF(E261="S2 PCB Layout",R261,IF(E261="S3 SI &amp; PI",W261,IF(E261="S4 Bare-PCB Fab",AB261,IF(E261="S5 Assembly",AG261,IF(E261="S6 Bring-up",AL261,AQ261)))))))))</f>
        <v/>
      </c>
      <c r="G261" s="33" t="str">
        <f aca="false">IF($C261="","",IF(E261="All Stages Closed","",IF(E261="S1 Schematic",IF(N261="","Not added",N261),IF(E261="S2 PCB Layout",IF(S261="","Not added",S261),IF(E261="S3 SI &amp; PI",IF(X261="","Not added",X261),IF(E261="S4 Bare-PCB Fab",IF(AC261="","Not added",AC261),IF(E261="S5 Assembly",IF(AH261="","Not added",AH261),IF(E261="S6 Bring-up",IF(AM261="","Not added",AM261),IF(AR261="","Not added",AR261)))))))))</f>
        <v/>
      </c>
      <c r="H261" s="32" t="str">
        <f aca="true">IF($C261="","",IF(OR(F261="Completed",F261="Cancelled"),"",IF(NOT(ISNUMBER(G261)),"No date set",IF(TODAY()&gt;G261,TODAY()-G261&amp;" days late",G261-TODAY()&amp;" days left"))))</f>
        <v/>
      </c>
      <c r="I261" s="31" t="str">
        <f aca="false">IF($C261="","",COUNTIF(M261,"Completed")+COUNTIF(R261,"Completed")+COUNTIF(W261,"Completed")+COUNTIF(AB261,"Completed")+COUNTIF(AG261,"Completed")+COUNTIF(AL261,"Completed")+COUNTIF(AQ261,"Completed"))</f>
        <v/>
      </c>
      <c r="J261" s="31" t="str">
        <f aca="false">IF($C261="","",7-(COUNTIF(M261,"NA")+COUNTIF(R261,"NA")+COUNTIF(W261,"NA")+COUNTIF(AB261,"NA")+COUNTIF(AG261,"NA")+COUNTIF(AL261,"NA")+COUNTIF(AQ261,"NA")))</f>
        <v/>
      </c>
      <c r="K261" s="34" t="str">
        <f aca="false">IFERROR(I261/J261,"")</f>
        <v/>
      </c>
      <c r="L261" s="29"/>
      <c r="M261" s="35"/>
      <c r="N261" s="36"/>
      <c r="O261" s="36"/>
      <c r="P261" s="30"/>
      <c r="Q261" s="29"/>
      <c r="R261" s="35"/>
      <c r="S261" s="36"/>
      <c r="T261" s="36"/>
      <c r="U261" s="30"/>
      <c r="V261" s="29"/>
      <c r="W261" s="35"/>
      <c r="X261" s="36"/>
      <c r="Y261" s="36"/>
      <c r="Z261" s="30"/>
      <c r="AA261" s="29"/>
      <c r="AB261" s="35"/>
      <c r="AC261" s="36"/>
      <c r="AD261" s="36"/>
      <c r="AE261" s="30"/>
      <c r="AF261" s="29"/>
      <c r="AG261" s="35"/>
      <c r="AH261" s="36"/>
      <c r="AI261" s="36"/>
      <c r="AJ261" s="30"/>
      <c r="AK261" s="29"/>
      <c r="AL261" s="35"/>
      <c r="AM261" s="36"/>
      <c r="AN261" s="36"/>
      <c r="AO261" s="30"/>
      <c r="AP261" s="29"/>
      <c r="AQ261" s="35"/>
      <c r="AR261" s="36"/>
      <c r="AS261" s="36"/>
      <c r="AT261" s="30"/>
      <c r="AU261" s="29"/>
      <c r="AV261" s="29"/>
      <c r="AW261" s="29"/>
      <c r="AX261" s="37"/>
      <c r="AY261" s="29"/>
      <c r="AZ261" s="38" t="str">
        <f aca="false">IF($C261="","",IF(OR(F261="Completed",F261="Cancelled"),"",IF(AND(OR(F261="On Hold",ISNUMBER(VALUE(LEFT(H261,2)))),AY261=""),"Reason not given","")))</f>
        <v/>
      </c>
      <c r="BA261" s="30"/>
    </row>
    <row r="262" customFormat="false" ht="19.5" hidden="false" customHeight="true" outlineLevel="0" collapsed="false">
      <c r="A262" s="28" t="str">
        <f aca="false">IF($C262="","",COUNTA($C$17:$C262))</f>
        <v/>
      </c>
      <c r="B262" s="29"/>
      <c r="C262" s="30"/>
      <c r="D262" s="29"/>
      <c r="E262" s="31" t="str">
        <f aca="false">IF($C262="","",IF(NOT(OR(M262="Completed",M262="NA",M262="Cancelled")),"S1 Schematic",IF(NOT(OR(R262="Completed",R262="NA",R262="Cancelled")),"S2 PCB Layout",IF(NOT(OR(W262="Completed",W262="NA",W262="Cancelled")),"S3 SI &amp; PI",IF(NOT(OR(AB262="Completed",AB262="NA",AB262="Cancelled")),"S4 Bare-PCB Fab",IF(NOT(OR(AG262="Completed",AG262="NA",AG262="Cancelled")),"S5 Assembly",IF(NOT(OR(AL262="Completed",AL262="NA",AL262="Cancelled")),"S6 Bring-up",IF(NOT(OR(AQ262="Completed",AQ262="NA",AQ262="Cancelled")),"S7 BOM Procurement","All Stages Closed"))))))))</f>
        <v/>
      </c>
      <c r="F262" s="32" t="str">
        <f aca="false">IF($C262="","",IF(COUNTIF(M262,"Cancelled")+COUNTIF(R262,"Cancelled")+COUNTIF(W262,"Cancelled")+COUNTIF(AB262,"Cancelled")+COUNTIF(AG262,"Cancelled")+COUNTIF(AL262,"Cancelled")+COUNTIF(AQ262,"Cancelled")&gt;0,"Cancelled",IF(E262="All Stages Closed","Completed",IF(E262="S1 Schematic",M262,IF(E262="S2 PCB Layout",R262,IF(E262="S3 SI &amp; PI",W262,IF(E262="S4 Bare-PCB Fab",AB262,IF(E262="S5 Assembly",AG262,IF(E262="S6 Bring-up",AL262,AQ262)))))))))</f>
        <v/>
      </c>
      <c r="G262" s="33" t="str">
        <f aca="false">IF($C262="","",IF(E262="All Stages Closed","",IF(E262="S1 Schematic",IF(N262="","Not added",N262),IF(E262="S2 PCB Layout",IF(S262="","Not added",S262),IF(E262="S3 SI &amp; PI",IF(X262="","Not added",X262),IF(E262="S4 Bare-PCB Fab",IF(AC262="","Not added",AC262),IF(E262="S5 Assembly",IF(AH262="","Not added",AH262),IF(E262="S6 Bring-up",IF(AM262="","Not added",AM262),IF(AR262="","Not added",AR262)))))))))</f>
        <v/>
      </c>
      <c r="H262" s="32" t="str">
        <f aca="true">IF($C262="","",IF(OR(F262="Completed",F262="Cancelled"),"",IF(NOT(ISNUMBER(G262)),"No date set",IF(TODAY()&gt;G262,TODAY()-G262&amp;" days late",G262-TODAY()&amp;" days left"))))</f>
        <v/>
      </c>
      <c r="I262" s="31" t="str">
        <f aca="false">IF($C262="","",COUNTIF(M262,"Completed")+COUNTIF(R262,"Completed")+COUNTIF(W262,"Completed")+COUNTIF(AB262,"Completed")+COUNTIF(AG262,"Completed")+COUNTIF(AL262,"Completed")+COUNTIF(AQ262,"Completed"))</f>
        <v/>
      </c>
      <c r="J262" s="31" t="str">
        <f aca="false">IF($C262="","",7-(COUNTIF(M262,"NA")+COUNTIF(R262,"NA")+COUNTIF(W262,"NA")+COUNTIF(AB262,"NA")+COUNTIF(AG262,"NA")+COUNTIF(AL262,"NA")+COUNTIF(AQ262,"NA")))</f>
        <v/>
      </c>
      <c r="K262" s="34" t="str">
        <f aca="false">IFERROR(I262/J262,"")</f>
        <v/>
      </c>
      <c r="L262" s="29"/>
      <c r="M262" s="35"/>
      <c r="N262" s="36"/>
      <c r="O262" s="36"/>
      <c r="P262" s="30"/>
      <c r="Q262" s="29"/>
      <c r="R262" s="35"/>
      <c r="S262" s="36"/>
      <c r="T262" s="36"/>
      <c r="U262" s="30"/>
      <c r="V262" s="29"/>
      <c r="W262" s="35"/>
      <c r="X262" s="36"/>
      <c r="Y262" s="36"/>
      <c r="Z262" s="30"/>
      <c r="AA262" s="29"/>
      <c r="AB262" s="35"/>
      <c r="AC262" s="36"/>
      <c r="AD262" s="36"/>
      <c r="AE262" s="30"/>
      <c r="AF262" s="29"/>
      <c r="AG262" s="35"/>
      <c r="AH262" s="36"/>
      <c r="AI262" s="36"/>
      <c r="AJ262" s="30"/>
      <c r="AK262" s="29"/>
      <c r="AL262" s="35"/>
      <c r="AM262" s="36"/>
      <c r="AN262" s="36"/>
      <c r="AO262" s="30"/>
      <c r="AP262" s="29"/>
      <c r="AQ262" s="35"/>
      <c r="AR262" s="36"/>
      <c r="AS262" s="36"/>
      <c r="AT262" s="30"/>
      <c r="AU262" s="29"/>
      <c r="AV262" s="29"/>
      <c r="AW262" s="29"/>
      <c r="AX262" s="37"/>
      <c r="AY262" s="29"/>
      <c r="AZ262" s="38" t="str">
        <f aca="false">IF($C262="","",IF(OR(F262="Completed",F262="Cancelled"),"",IF(AND(OR(F262="On Hold",ISNUMBER(VALUE(LEFT(H262,2)))),AY262=""),"Reason not given","")))</f>
        <v/>
      </c>
      <c r="BA262" s="30"/>
    </row>
    <row r="263" customFormat="false" ht="19.5" hidden="false" customHeight="true" outlineLevel="0" collapsed="false">
      <c r="A263" s="28" t="str">
        <f aca="false">IF($C263="","",COUNTA($C$17:$C263))</f>
        <v/>
      </c>
      <c r="B263" s="29"/>
      <c r="C263" s="30"/>
      <c r="D263" s="29"/>
      <c r="E263" s="31" t="str">
        <f aca="false">IF($C263="","",IF(NOT(OR(M263="Completed",M263="NA",M263="Cancelled")),"S1 Schematic",IF(NOT(OR(R263="Completed",R263="NA",R263="Cancelled")),"S2 PCB Layout",IF(NOT(OR(W263="Completed",W263="NA",W263="Cancelled")),"S3 SI &amp; PI",IF(NOT(OR(AB263="Completed",AB263="NA",AB263="Cancelled")),"S4 Bare-PCB Fab",IF(NOT(OR(AG263="Completed",AG263="NA",AG263="Cancelled")),"S5 Assembly",IF(NOT(OR(AL263="Completed",AL263="NA",AL263="Cancelled")),"S6 Bring-up",IF(NOT(OR(AQ263="Completed",AQ263="NA",AQ263="Cancelled")),"S7 BOM Procurement","All Stages Closed"))))))))</f>
        <v/>
      </c>
      <c r="F263" s="32" t="str">
        <f aca="false">IF($C263="","",IF(COUNTIF(M263,"Cancelled")+COUNTIF(R263,"Cancelled")+COUNTIF(W263,"Cancelled")+COUNTIF(AB263,"Cancelled")+COUNTIF(AG263,"Cancelled")+COUNTIF(AL263,"Cancelled")+COUNTIF(AQ263,"Cancelled")&gt;0,"Cancelled",IF(E263="All Stages Closed","Completed",IF(E263="S1 Schematic",M263,IF(E263="S2 PCB Layout",R263,IF(E263="S3 SI &amp; PI",W263,IF(E263="S4 Bare-PCB Fab",AB263,IF(E263="S5 Assembly",AG263,IF(E263="S6 Bring-up",AL263,AQ263)))))))))</f>
        <v/>
      </c>
      <c r="G263" s="33" t="str">
        <f aca="false">IF($C263="","",IF(E263="All Stages Closed","",IF(E263="S1 Schematic",IF(N263="","Not added",N263),IF(E263="S2 PCB Layout",IF(S263="","Not added",S263),IF(E263="S3 SI &amp; PI",IF(X263="","Not added",X263),IF(E263="S4 Bare-PCB Fab",IF(AC263="","Not added",AC263),IF(E263="S5 Assembly",IF(AH263="","Not added",AH263),IF(E263="S6 Bring-up",IF(AM263="","Not added",AM263),IF(AR263="","Not added",AR263)))))))))</f>
        <v/>
      </c>
      <c r="H263" s="32" t="str">
        <f aca="true">IF($C263="","",IF(OR(F263="Completed",F263="Cancelled"),"",IF(NOT(ISNUMBER(G263)),"No date set",IF(TODAY()&gt;G263,TODAY()-G263&amp;" days late",G263-TODAY()&amp;" days left"))))</f>
        <v/>
      </c>
      <c r="I263" s="31" t="str">
        <f aca="false">IF($C263="","",COUNTIF(M263,"Completed")+COUNTIF(R263,"Completed")+COUNTIF(W263,"Completed")+COUNTIF(AB263,"Completed")+COUNTIF(AG263,"Completed")+COUNTIF(AL263,"Completed")+COUNTIF(AQ263,"Completed"))</f>
        <v/>
      </c>
      <c r="J263" s="31" t="str">
        <f aca="false">IF($C263="","",7-(COUNTIF(M263,"NA")+COUNTIF(R263,"NA")+COUNTIF(W263,"NA")+COUNTIF(AB263,"NA")+COUNTIF(AG263,"NA")+COUNTIF(AL263,"NA")+COUNTIF(AQ263,"NA")))</f>
        <v/>
      </c>
      <c r="K263" s="34" t="str">
        <f aca="false">IFERROR(I263/J263,"")</f>
        <v/>
      </c>
      <c r="L263" s="29"/>
      <c r="M263" s="35"/>
      <c r="N263" s="36"/>
      <c r="O263" s="36"/>
      <c r="P263" s="30"/>
      <c r="Q263" s="29"/>
      <c r="R263" s="35"/>
      <c r="S263" s="36"/>
      <c r="T263" s="36"/>
      <c r="U263" s="30"/>
      <c r="V263" s="29"/>
      <c r="W263" s="35"/>
      <c r="X263" s="36"/>
      <c r="Y263" s="36"/>
      <c r="Z263" s="30"/>
      <c r="AA263" s="29"/>
      <c r="AB263" s="35"/>
      <c r="AC263" s="36"/>
      <c r="AD263" s="36"/>
      <c r="AE263" s="30"/>
      <c r="AF263" s="29"/>
      <c r="AG263" s="35"/>
      <c r="AH263" s="36"/>
      <c r="AI263" s="36"/>
      <c r="AJ263" s="30"/>
      <c r="AK263" s="29"/>
      <c r="AL263" s="35"/>
      <c r="AM263" s="36"/>
      <c r="AN263" s="36"/>
      <c r="AO263" s="30"/>
      <c r="AP263" s="29"/>
      <c r="AQ263" s="35"/>
      <c r="AR263" s="36"/>
      <c r="AS263" s="36"/>
      <c r="AT263" s="30"/>
      <c r="AU263" s="29"/>
      <c r="AV263" s="29"/>
      <c r="AW263" s="29"/>
      <c r="AX263" s="37"/>
      <c r="AY263" s="29"/>
      <c r="AZ263" s="38" t="str">
        <f aca="false">IF($C263="","",IF(OR(F263="Completed",F263="Cancelled"),"",IF(AND(OR(F263="On Hold",ISNUMBER(VALUE(LEFT(H263,2)))),AY263=""),"Reason not given","")))</f>
        <v/>
      </c>
      <c r="BA263" s="30"/>
    </row>
    <row r="264" customFormat="false" ht="19.5" hidden="false" customHeight="true" outlineLevel="0" collapsed="false">
      <c r="A264" s="28" t="str">
        <f aca="false">IF($C264="","",COUNTA($C$17:$C264))</f>
        <v/>
      </c>
      <c r="B264" s="29"/>
      <c r="C264" s="30"/>
      <c r="D264" s="29"/>
      <c r="E264" s="31" t="str">
        <f aca="false">IF($C264="","",IF(NOT(OR(M264="Completed",M264="NA",M264="Cancelled")),"S1 Schematic",IF(NOT(OR(R264="Completed",R264="NA",R264="Cancelled")),"S2 PCB Layout",IF(NOT(OR(W264="Completed",W264="NA",W264="Cancelled")),"S3 SI &amp; PI",IF(NOT(OR(AB264="Completed",AB264="NA",AB264="Cancelled")),"S4 Bare-PCB Fab",IF(NOT(OR(AG264="Completed",AG264="NA",AG264="Cancelled")),"S5 Assembly",IF(NOT(OR(AL264="Completed",AL264="NA",AL264="Cancelled")),"S6 Bring-up",IF(NOT(OR(AQ264="Completed",AQ264="NA",AQ264="Cancelled")),"S7 BOM Procurement","All Stages Closed"))))))))</f>
        <v/>
      </c>
      <c r="F264" s="32" t="str">
        <f aca="false">IF($C264="","",IF(COUNTIF(M264,"Cancelled")+COUNTIF(R264,"Cancelled")+COUNTIF(W264,"Cancelled")+COUNTIF(AB264,"Cancelled")+COUNTIF(AG264,"Cancelled")+COUNTIF(AL264,"Cancelled")+COUNTIF(AQ264,"Cancelled")&gt;0,"Cancelled",IF(E264="All Stages Closed","Completed",IF(E264="S1 Schematic",M264,IF(E264="S2 PCB Layout",R264,IF(E264="S3 SI &amp; PI",W264,IF(E264="S4 Bare-PCB Fab",AB264,IF(E264="S5 Assembly",AG264,IF(E264="S6 Bring-up",AL264,AQ264)))))))))</f>
        <v/>
      </c>
      <c r="G264" s="33" t="str">
        <f aca="false">IF($C264="","",IF(E264="All Stages Closed","",IF(E264="S1 Schematic",IF(N264="","Not added",N264),IF(E264="S2 PCB Layout",IF(S264="","Not added",S264),IF(E264="S3 SI &amp; PI",IF(X264="","Not added",X264),IF(E264="S4 Bare-PCB Fab",IF(AC264="","Not added",AC264),IF(E264="S5 Assembly",IF(AH264="","Not added",AH264),IF(E264="S6 Bring-up",IF(AM264="","Not added",AM264),IF(AR264="","Not added",AR264)))))))))</f>
        <v/>
      </c>
      <c r="H264" s="32" t="str">
        <f aca="true">IF($C264="","",IF(OR(F264="Completed",F264="Cancelled"),"",IF(NOT(ISNUMBER(G264)),"No date set",IF(TODAY()&gt;G264,TODAY()-G264&amp;" days late",G264-TODAY()&amp;" days left"))))</f>
        <v/>
      </c>
      <c r="I264" s="31" t="str">
        <f aca="false">IF($C264="","",COUNTIF(M264,"Completed")+COUNTIF(R264,"Completed")+COUNTIF(W264,"Completed")+COUNTIF(AB264,"Completed")+COUNTIF(AG264,"Completed")+COUNTIF(AL264,"Completed")+COUNTIF(AQ264,"Completed"))</f>
        <v/>
      </c>
      <c r="J264" s="31" t="str">
        <f aca="false">IF($C264="","",7-(COUNTIF(M264,"NA")+COUNTIF(R264,"NA")+COUNTIF(W264,"NA")+COUNTIF(AB264,"NA")+COUNTIF(AG264,"NA")+COUNTIF(AL264,"NA")+COUNTIF(AQ264,"NA")))</f>
        <v/>
      </c>
      <c r="K264" s="34" t="str">
        <f aca="false">IFERROR(I264/J264,"")</f>
        <v/>
      </c>
      <c r="L264" s="29"/>
      <c r="M264" s="35"/>
      <c r="N264" s="36"/>
      <c r="O264" s="36"/>
      <c r="P264" s="30"/>
      <c r="Q264" s="29"/>
      <c r="R264" s="35"/>
      <c r="S264" s="36"/>
      <c r="T264" s="36"/>
      <c r="U264" s="30"/>
      <c r="V264" s="29"/>
      <c r="W264" s="35"/>
      <c r="X264" s="36"/>
      <c r="Y264" s="36"/>
      <c r="Z264" s="30"/>
      <c r="AA264" s="29"/>
      <c r="AB264" s="35"/>
      <c r="AC264" s="36"/>
      <c r="AD264" s="36"/>
      <c r="AE264" s="30"/>
      <c r="AF264" s="29"/>
      <c r="AG264" s="35"/>
      <c r="AH264" s="36"/>
      <c r="AI264" s="36"/>
      <c r="AJ264" s="30"/>
      <c r="AK264" s="29"/>
      <c r="AL264" s="35"/>
      <c r="AM264" s="36"/>
      <c r="AN264" s="36"/>
      <c r="AO264" s="30"/>
      <c r="AP264" s="29"/>
      <c r="AQ264" s="35"/>
      <c r="AR264" s="36"/>
      <c r="AS264" s="36"/>
      <c r="AT264" s="30"/>
      <c r="AU264" s="29"/>
      <c r="AV264" s="29"/>
      <c r="AW264" s="29"/>
      <c r="AX264" s="37"/>
      <c r="AY264" s="29"/>
      <c r="AZ264" s="38" t="str">
        <f aca="false">IF($C264="","",IF(OR(F264="Completed",F264="Cancelled"),"",IF(AND(OR(F264="On Hold",ISNUMBER(VALUE(LEFT(H264,2)))),AY264=""),"Reason not given","")))</f>
        <v/>
      </c>
      <c r="BA264" s="30"/>
    </row>
    <row r="265" customFormat="false" ht="19.5" hidden="false" customHeight="true" outlineLevel="0" collapsed="false">
      <c r="A265" s="28" t="str">
        <f aca="false">IF($C265="","",COUNTA($C$17:$C265))</f>
        <v/>
      </c>
      <c r="B265" s="29"/>
      <c r="C265" s="30"/>
      <c r="D265" s="29"/>
      <c r="E265" s="31" t="str">
        <f aca="false">IF($C265="","",IF(NOT(OR(M265="Completed",M265="NA",M265="Cancelled")),"S1 Schematic",IF(NOT(OR(R265="Completed",R265="NA",R265="Cancelled")),"S2 PCB Layout",IF(NOT(OR(W265="Completed",W265="NA",W265="Cancelled")),"S3 SI &amp; PI",IF(NOT(OR(AB265="Completed",AB265="NA",AB265="Cancelled")),"S4 Bare-PCB Fab",IF(NOT(OR(AG265="Completed",AG265="NA",AG265="Cancelled")),"S5 Assembly",IF(NOT(OR(AL265="Completed",AL265="NA",AL265="Cancelled")),"S6 Bring-up",IF(NOT(OR(AQ265="Completed",AQ265="NA",AQ265="Cancelled")),"S7 BOM Procurement","All Stages Closed"))))))))</f>
        <v/>
      </c>
      <c r="F265" s="32" t="str">
        <f aca="false">IF($C265="","",IF(COUNTIF(M265,"Cancelled")+COUNTIF(R265,"Cancelled")+COUNTIF(W265,"Cancelled")+COUNTIF(AB265,"Cancelled")+COUNTIF(AG265,"Cancelled")+COUNTIF(AL265,"Cancelled")+COUNTIF(AQ265,"Cancelled")&gt;0,"Cancelled",IF(E265="All Stages Closed","Completed",IF(E265="S1 Schematic",M265,IF(E265="S2 PCB Layout",R265,IF(E265="S3 SI &amp; PI",W265,IF(E265="S4 Bare-PCB Fab",AB265,IF(E265="S5 Assembly",AG265,IF(E265="S6 Bring-up",AL265,AQ265)))))))))</f>
        <v/>
      </c>
      <c r="G265" s="33" t="str">
        <f aca="false">IF($C265="","",IF(E265="All Stages Closed","",IF(E265="S1 Schematic",IF(N265="","Not added",N265),IF(E265="S2 PCB Layout",IF(S265="","Not added",S265),IF(E265="S3 SI &amp; PI",IF(X265="","Not added",X265),IF(E265="S4 Bare-PCB Fab",IF(AC265="","Not added",AC265),IF(E265="S5 Assembly",IF(AH265="","Not added",AH265),IF(E265="S6 Bring-up",IF(AM265="","Not added",AM265),IF(AR265="","Not added",AR265)))))))))</f>
        <v/>
      </c>
      <c r="H265" s="32" t="str">
        <f aca="true">IF($C265="","",IF(OR(F265="Completed",F265="Cancelled"),"",IF(NOT(ISNUMBER(G265)),"No date set",IF(TODAY()&gt;G265,TODAY()-G265&amp;" days late",G265-TODAY()&amp;" days left"))))</f>
        <v/>
      </c>
      <c r="I265" s="31" t="str">
        <f aca="false">IF($C265="","",COUNTIF(M265,"Completed")+COUNTIF(R265,"Completed")+COUNTIF(W265,"Completed")+COUNTIF(AB265,"Completed")+COUNTIF(AG265,"Completed")+COUNTIF(AL265,"Completed")+COUNTIF(AQ265,"Completed"))</f>
        <v/>
      </c>
      <c r="J265" s="31" t="str">
        <f aca="false">IF($C265="","",7-(COUNTIF(M265,"NA")+COUNTIF(R265,"NA")+COUNTIF(W265,"NA")+COUNTIF(AB265,"NA")+COUNTIF(AG265,"NA")+COUNTIF(AL265,"NA")+COUNTIF(AQ265,"NA")))</f>
        <v/>
      </c>
      <c r="K265" s="34" t="str">
        <f aca="false">IFERROR(I265/J265,"")</f>
        <v/>
      </c>
      <c r="L265" s="29"/>
      <c r="M265" s="35"/>
      <c r="N265" s="36"/>
      <c r="O265" s="36"/>
      <c r="P265" s="30"/>
      <c r="Q265" s="29"/>
      <c r="R265" s="35"/>
      <c r="S265" s="36"/>
      <c r="T265" s="36"/>
      <c r="U265" s="30"/>
      <c r="V265" s="29"/>
      <c r="W265" s="35"/>
      <c r="X265" s="36"/>
      <c r="Y265" s="36"/>
      <c r="Z265" s="30"/>
      <c r="AA265" s="29"/>
      <c r="AB265" s="35"/>
      <c r="AC265" s="36"/>
      <c r="AD265" s="36"/>
      <c r="AE265" s="30"/>
      <c r="AF265" s="29"/>
      <c r="AG265" s="35"/>
      <c r="AH265" s="36"/>
      <c r="AI265" s="36"/>
      <c r="AJ265" s="30"/>
      <c r="AK265" s="29"/>
      <c r="AL265" s="35"/>
      <c r="AM265" s="36"/>
      <c r="AN265" s="36"/>
      <c r="AO265" s="30"/>
      <c r="AP265" s="29"/>
      <c r="AQ265" s="35"/>
      <c r="AR265" s="36"/>
      <c r="AS265" s="36"/>
      <c r="AT265" s="30"/>
      <c r="AU265" s="29"/>
      <c r="AV265" s="29"/>
      <c r="AW265" s="29"/>
      <c r="AX265" s="37"/>
      <c r="AY265" s="29"/>
      <c r="AZ265" s="38" t="str">
        <f aca="false">IF($C265="","",IF(OR(F265="Completed",F265="Cancelled"),"",IF(AND(OR(F265="On Hold",ISNUMBER(VALUE(LEFT(H265,2)))),AY265=""),"Reason not given","")))</f>
        <v/>
      </c>
      <c r="BA265" s="30"/>
    </row>
    <row r="266" customFormat="false" ht="19.5" hidden="false" customHeight="true" outlineLevel="0" collapsed="false">
      <c r="A266" s="28" t="str">
        <f aca="false">IF($C266="","",COUNTA($C$17:$C266))</f>
        <v/>
      </c>
      <c r="B266" s="29"/>
      <c r="C266" s="30"/>
      <c r="D266" s="29"/>
      <c r="E266" s="31" t="str">
        <f aca="false">IF($C266="","",IF(NOT(OR(M266="Completed",M266="NA",M266="Cancelled")),"S1 Schematic",IF(NOT(OR(R266="Completed",R266="NA",R266="Cancelled")),"S2 PCB Layout",IF(NOT(OR(W266="Completed",W266="NA",W266="Cancelled")),"S3 SI &amp; PI",IF(NOT(OR(AB266="Completed",AB266="NA",AB266="Cancelled")),"S4 Bare-PCB Fab",IF(NOT(OR(AG266="Completed",AG266="NA",AG266="Cancelled")),"S5 Assembly",IF(NOT(OR(AL266="Completed",AL266="NA",AL266="Cancelled")),"S6 Bring-up",IF(NOT(OR(AQ266="Completed",AQ266="NA",AQ266="Cancelled")),"S7 BOM Procurement","All Stages Closed"))))))))</f>
        <v/>
      </c>
      <c r="F266" s="32" t="str">
        <f aca="false">IF($C266="","",IF(COUNTIF(M266,"Cancelled")+COUNTIF(R266,"Cancelled")+COUNTIF(W266,"Cancelled")+COUNTIF(AB266,"Cancelled")+COUNTIF(AG266,"Cancelled")+COUNTIF(AL266,"Cancelled")+COUNTIF(AQ266,"Cancelled")&gt;0,"Cancelled",IF(E266="All Stages Closed","Completed",IF(E266="S1 Schematic",M266,IF(E266="S2 PCB Layout",R266,IF(E266="S3 SI &amp; PI",W266,IF(E266="S4 Bare-PCB Fab",AB266,IF(E266="S5 Assembly",AG266,IF(E266="S6 Bring-up",AL266,AQ266)))))))))</f>
        <v/>
      </c>
      <c r="G266" s="33" t="str">
        <f aca="false">IF($C266="","",IF(E266="All Stages Closed","",IF(E266="S1 Schematic",IF(N266="","Not added",N266),IF(E266="S2 PCB Layout",IF(S266="","Not added",S266),IF(E266="S3 SI &amp; PI",IF(X266="","Not added",X266),IF(E266="S4 Bare-PCB Fab",IF(AC266="","Not added",AC266),IF(E266="S5 Assembly",IF(AH266="","Not added",AH266),IF(E266="S6 Bring-up",IF(AM266="","Not added",AM266),IF(AR266="","Not added",AR266)))))))))</f>
        <v/>
      </c>
      <c r="H266" s="32" t="str">
        <f aca="true">IF($C266="","",IF(OR(F266="Completed",F266="Cancelled"),"",IF(NOT(ISNUMBER(G266)),"No date set",IF(TODAY()&gt;G266,TODAY()-G266&amp;" days late",G266-TODAY()&amp;" days left"))))</f>
        <v/>
      </c>
      <c r="I266" s="31" t="str">
        <f aca="false">IF($C266="","",COUNTIF(M266,"Completed")+COUNTIF(R266,"Completed")+COUNTIF(W266,"Completed")+COUNTIF(AB266,"Completed")+COUNTIF(AG266,"Completed")+COUNTIF(AL266,"Completed")+COUNTIF(AQ266,"Completed"))</f>
        <v/>
      </c>
      <c r="J266" s="31" t="str">
        <f aca="false">IF($C266="","",7-(COUNTIF(M266,"NA")+COUNTIF(R266,"NA")+COUNTIF(W266,"NA")+COUNTIF(AB266,"NA")+COUNTIF(AG266,"NA")+COUNTIF(AL266,"NA")+COUNTIF(AQ266,"NA")))</f>
        <v/>
      </c>
      <c r="K266" s="34" t="str">
        <f aca="false">IFERROR(I266/J266,"")</f>
        <v/>
      </c>
      <c r="L266" s="29"/>
      <c r="M266" s="35"/>
      <c r="N266" s="36"/>
      <c r="O266" s="36"/>
      <c r="P266" s="30"/>
      <c r="Q266" s="29"/>
      <c r="R266" s="35"/>
      <c r="S266" s="36"/>
      <c r="T266" s="36"/>
      <c r="U266" s="30"/>
      <c r="V266" s="29"/>
      <c r="W266" s="35"/>
      <c r="X266" s="36"/>
      <c r="Y266" s="36"/>
      <c r="Z266" s="30"/>
      <c r="AA266" s="29"/>
      <c r="AB266" s="35"/>
      <c r="AC266" s="36"/>
      <c r="AD266" s="36"/>
      <c r="AE266" s="30"/>
      <c r="AF266" s="29"/>
      <c r="AG266" s="35"/>
      <c r="AH266" s="36"/>
      <c r="AI266" s="36"/>
      <c r="AJ266" s="30"/>
      <c r="AK266" s="29"/>
      <c r="AL266" s="35"/>
      <c r="AM266" s="36"/>
      <c r="AN266" s="36"/>
      <c r="AO266" s="30"/>
      <c r="AP266" s="29"/>
      <c r="AQ266" s="35"/>
      <c r="AR266" s="36"/>
      <c r="AS266" s="36"/>
      <c r="AT266" s="30"/>
      <c r="AU266" s="29"/>
      <c r="AV266" s="29"/>
      <c r="AW266" s="29"/>
      <c r="AX266" s="37"/>
      <c r="AY266" s="29"/>
      <c r="AZ266" s="38" t="str">
        <f aca="false">IF($C266="","",IF(OR(F266="Completed",F266="Cancelled"),"",IF(AND(OR(F266="On Hold",ISNUMBER(VALUE(LEFT(H266,2)))),AY266=""),"Reason not given","")))</f>
        <v/>
      </c>
      <c r="BA266" s="30"/>
    </row>
  </sheetData>
  <autoFilter ref="A16:BA266"/>
  <mergeCells count="12">
    <mergeCell ref="A2:R2"/>
    <mergeCell ref="A15:D15"/>
    <mergeCell ref="E15:K15"/>
    <mergeCell ref="L15:P15"/>
    <mergeCell ref="Q15:U15"/>
    <mergeCell ref="V15:Z15"/>
    <mergeCell ref="AA15:AE15"/>
    <mergeCell ref="AF15:AJ15"/>
    <mergeCell ref="AK15:AO15"/>
    <mergeCell ref="AP15:AT15"/>
    <mergeCell ref="AU15:AX15"/>
    <mergeCell ref="AY15:BB15"/>
  </mergeCells>
  <conditionalFormatting sqref="A6:G13">
    <cfRule type="expression" priority="2" aboveAverage="0" equalAverage="0" bottom="0" percent="0" rank="0" text="" dxfId="5">
      <formula>$C6&lt;&gt;""</formula>
    </cfRule>
  </conditionalFormatting>
  <conditionalFormatting sqref="F17:F266 M17:M266 R17:R266 W17:W266 AB17:AB266 AG17:AG266 AL17:AL266 AQ17:AQ266">
    <cfRule type="cellIs" priority="3" operator="equal" aboveAverage="0" equalAverage="0" bottom="0" percent="0" rank="0" text="" dxfId="6">
      <formula>"Completed"</formula>
    </cfRule>
    <cfRule type="cellIs" priority="4" operator="equal" aboveAverage="0" equalAverage="0" bottom="0" percent="0" rank="0" text="" dxfId="7">
      <formula>"In Progress"</formula>
    </cfRule>
    <cfRule type="cellIs" priority="5" operator="equal" aboveAverage="0" equalAverage="0" bottom="0" percent="0" rank="0" text="" dxfId="8">
      <formula>"On Hold"</formula>
    </cfRule>
    <cfRule type="cellIs" priority="6" operator="equal" aboveAverage="0" equalAverage="0" bottom="0" percent="0" rank="0" text="" dxfId="9">
      <formula>"Not Started"</formula>
    </cfRule>
    <cfRule type="cellIs" priority="7" operator="equal" aboveAverage="0" equalAverage="0" bottom="0" percent="0" rank="0" text="" dxfId="10">
      <formula>"Cancelled"</formula>
    </cfRule>
    <cfRule type="cellIs" priority="8" operator="equal" aboveAverage="0" equalAverage="0" bottom="0" percent="0" rank="0" text="" dxfId="11">
      <formula>"NA"</formula>
    </cfRule>
  </conditionalFormatting>
  <conditionalFormatting sqref="H17:H266">
    <cfRule type="expression" priority="9" aboveAverage="0" equalAverage="0" bottom="0" percent="0" rank="0" text="" dxfId="10">
      <formula>ISNUMBER(SEARCH("late",H17))</formula>
    </cfRule>
    <cfRule type="cellIs" priority="10" operator="equal" aboveAverage="0" equalAverage="0" bottom="0" percent="0" rank="0" text="" dxfId="12">
      <formula>"No date set"</formula>
    </cfRule>
  </conditionalFormatting>
  <conditionalFormatting sqref="AZ17:AZ266">
    <cfRule type="cellIs" priority="11" operator="equal" aboveAverage="0" equalAverage="0" bottom="0" percent="0" rank="0" text="" dxfId="7">
      <formula>"Reason not given"</formula>
    </cfRule>
  </conditionalFormatting>
  <dataValidations count="18">
    <dataValidation allowBlank="true" error="Pick one of: Completed, In Progress, On Hold, Not Started, NA, Cancelled" errorStyle="stop" errorTitle="Status" operator="between" showDropDown="false" showErrorMessage="true" showInputMessage="false" sqref="M17:M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L17:L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R17:R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Q17:Q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W17:W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V17:V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B17:AB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A17:AA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G17:AG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F17:AF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L17:AL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K17:AK266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Q17:AQ266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P17:AP266" type="list">
      <formula1>LISTS!$F$2:$F$59</formula1>
      <formula2>0</formula2>
    </dataValidation>
    <dataValidation allowBlank="true" error="Pick a client from CLIENTS, or add them there first." errorStyle="stop" errorTitle="Customer" operator="between" showDropDown="false" showErrorMessage="true" showInputMessage="false" sqref="B17:B266" type="list">
      <formula1>LISTS!$G$2:$G$59</formula1>
      <formula2>0</formula2>
    </dataValidation>
    <dataValidation allowBlank="true" error="Pick a reason code." errorStyle="stop" errorTitle="Hold / delay reason" operator="between" showDropDown="false" showErrorMessage="true" showInputMessage="false" sqref="AY17:AY266" type="list">
      <formula1>LISTS!$E$2:$E$10</formula1>
      <formula2>0</formula2>
    </dataValidation>
    <dataValidation allowBlank="true" error="Pick the stage the board re-enters at." errorStyle="stop" errorTitle="Stage" operator="between" showDropDown="false" showErrorMessage="true" showInputMessage="false" sqref="AV17:AV266" type="list">
      <formula1>LISTS!$B$2:$B$8</formula1>
      <formula2>0</formula2>
    </dataValidation>
    <dataValidation allowBlank="true" error="Pick a reason code." errorStyle="stop" errorTitle="Respin Reason" operator="between" showDropDown="false" showErrorMessage="true" showInputMessage="false" sqref="AW17:AW266" type="list">
      <formula1>LISTS!$C$2:$C$9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D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30"/>
    <col collapsed="false" customWidth="true" hidden="false" outlineLevel="0" max="17" min="17" style="0" width="15"/>
    <col collapsed="false" customWidth="true" hidden="false" outlineLevel="0" max="18" min="18" style="0" width="13"/>
    <col collapsed="false" customWidth="true" hidden="false" outlineLevel="0" max="20" min="19" style="0" width="12"/>
    <col collapsed="false" customWidth="true" hidden="false" outlineLevel="0" max="21" min="21" style="0" width="30"/>
    <col collapsed="false" customWidth="true" hidden="false" outlineLevel="0" max="22" min="22" style="0" width="15"/>
    <col collapsed="false" customWidth="true" hidden="false" outlineLevel="0" max="23" min="23" style="0" width="13"/>
    <col collapsed="false" customWidth="true" hidden="false" outlineLevel="0" max="25" min="24" style="0" width="12"/>
    <col collapsed="false" customWidth="true" hidden="false" outlineLevel="0" max="26" min="26" style="0" width="30"/>
    <col collapsed="false" customWidth="true" hidden="false" outlineLevel="0" max="27" min="27" style="0" width="15"/>
    <col collapsed="false" customWidth="true" hidden="false" outlineLevel="0" max="28" min="28" style="0" width="13"/>
    <col collapsed="false" customWidth="true" hidden="false" outlineLevel="0" max="30" min="29" style="0" width="12"/>
    <col collapsed="false" customWidth="true" hidden="false" outlineLevel="0" max="31" min="31" style="0" width="30"/>
    <col collapsed="false" customWidth="true" hidden="false" outlineLevel="0" max="32" min="32" style="0" width="15"/>
    <col collapsed="false" customWidth="true" hidden="false" outlineLevel="0" max="33" min="33" style="0" width="13"/>
    <col collapsed="false" customWidth="true" hidden="false" outlineLevel="0" max="35" min="34" style="0" width="12"/>
    <col collapsed="false" customWidth="true" hidden="false" outlineLevel="0" max="36" min="36" style="0" width="30"/>
    <col collapsed="false" customWidth="true" hidden="false" outlineLevel="0" max="37" min="37" style="0" width="15"/>
    <col collapsed="false" customWidth="true" hidden="false" outlineLevel="0" max="38" min="38" style="0" width="13"/>
    <col collapsed="false" customWidth="true" hidden="false" outlineLevel="0" max="40" min="39" style="0" width="12"/>
    <col collapsed="false" customWidth="true" hidden="false" outlineLevel="0" max="41" min="41" style="0" width="30"/>
    <col collapsed="false" customWidth="true" hidden="false" outlineLevel="0" max="42" min="42" style="0" width="15"/>
    <col collapsed="false" customWidth="true" hidden="false" outlineLevel="0" max="43" min="43" style="0" width="13"/>
    <col collapsed="false" customWidth="true" hidden="false" outlineLevel="0" max="45" min="44" style="0" width="12"/>
    <col collapsed="false" customWidth="true" hidden="false" outlineLevel="0" max="46" min="46" style="0" width="30"/>
    <col collapsed="false" customWidth="true" hidden="false" outlineLevel="0" max="47" min="47" style="0" width="13"/>
    <col collapsed="false" customWidth="true" hidden="false" outlineLevel="0" max="48" min="48" style="0" width="18"/>
    <col collapsed="false" customWidth="true" hidden="false" outlineLevel="0" max="49" min="49" style="0" width="26"/>
    <col collapsed="false" customWidth="true" hidden="false" outlineLevel="0" max="50" min="50" style="0" width="12"/>
    <col collapsed="false" customWidth="true" hidden="false" outlineLevel="0" max="51" min="51" style="0" width="30"/>
    <col collapsed="false" customWidth="true" hidden="true" outlineLevel="0" max="52" min="52" style="0" width="4"/>
    <col collapsed="false" customWidth="true" hidden="false" outlineLevel="0" max="53" min="53" style="0" width="24"/>
    <col collapsed="false" customWidth="true" hidden="false" outlineLevel="0" max="54" min="54" style="0" width="16"/>
    <col collapsed="false" customWidth="true" hidden="false" outlineLevel="0" max="55" min="55" style="0" width="34"/>
  </cols>
  <sheetData>
    <row r="1" customFormat="false" ht="18.5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9.5" hidden="false" customHeight="true" outlineLevel="0" collapsed="false">
      <c r="A4" s="23" t="s">
        <v>139</v>
      </c>
      <c r="B4" s="23"/>
      <c r="C4" s="23"/>
      <c r="D4" s="23"/>
      <c r="E4" s="24" t="s">
        <v>140</v>
      </c>
      <c r="F4" s="24"/>
      <c r="G4" s="24"/>
      <c r="H4" s="24"/>
      <c r="I4" s="24"/>
      <c r="J4" s="24"/>
      <c r="K4" s="24"/>
      <c r="L4" s="25" t="s">
        <v>141</v>
      </c>
      <c r="M4" s="25"/>
      <c r="N4" s="25"/>
      <c r="O4" s="25"/>
      <c r="P4" s="25"/>
      <c r="Q4" s="25" t="s">
        <v>142</v>
      </c>
      <c r="R4" s="25"/>
      <c r="S4" s="25"/>
      <c r="T4" s="25"/>
      <c r="U4" s="25"/>
      <c r="V4" s="25" t="s">
        <v>143</v>
      </c>
      <c r="W4" s="25"/>
      <c r="X4" s="25"/>
      <c r="Y4" s="25"/>
      <c r="Z4" s="25"/>
      <c r="AA4" s="25" t="s">
        <v>144</v>
      </c>
      <c r="AB4" s="25"/>
      <c r="AC4" s="25"/>
      <c r="AD4" s="25"/>
      <c r="AE4" s="25"/>
      <c r="AF4" s="25" t="s">
        <v>145</v>
      </c>
      <c r="AG4" s="25"/>
      <c r="AH4" s="25"/>
      <c r="AI4" s="25"/>
      <c r="AJ4" s="25"/>
      <c r="AK4" s="25" t="s">
        <v>146</v>
      </c>
      <c r="AL4" s="25"/>
      <c r="AM4" s="25"/>
      <c r="AN4" s="25"/>
      <c r="AO4" s="25"/>
      <c r="AP4" s="25" t="s">
        <v>147</v>
      </c>
      <c r="AQ4" s="25"/>
      <c r="AR4" s="25"/>
      <c r="AS4" s="25"/>
      <c r="AT4" s="25"/>
      <c r="AU4" s="26" t="s">
        <v>172</v>
      </c>
      <c r="AV4" s="26"/>
      <c r="AW4" s="26"/>
      <c r="AX4" s="26"/>
      <c r="AY4" s="26"/>
      <c r="AZ4" s="26"/>
      <c r="BA4" s="24" t="s">
        <v>149</v>
      </c>
      <c r="BB4" s="24"/>
      <c r="BC4" s="24"/>
      <c r="BD4" s="24"/>
    </row>
    <row r="5" customFormat="false" ht="36" hidden="false" customHeight="true" outlineLevel="0" collapsed="false">
      <c r="A5" s="27" t="s">
        <v>150</v>
      </c>
      <c r="B5" s="27" t="s">
        <v>133</v>
      </c>
      <c r="C5" s="27" t="s">
        <v>151</v>
      </c>
      <c r="D5" s="27" t="s">
        <v>152</v>
      </c>
      <c r="E5" s="27" t="s">
        <v>153</v>
      </c>
      <c r="F5" s="27" t="s">
        <v>154</v>
      </c>
      <c r="G5" s="27" t="s">
        <v>155</v>
      </c>
      <c r="H5" s="27" t="s">
        <v>156</v>
      </c>
      <c r="I5" s="27" t="s">
        <v>157</v>
      </c>
      <c r="J5" s="27" t="s">
        <v>158</v>
      </c>
      <c r="K5" s="27" t="s">
        <v>159</v>
      </c>
      <c r="L5" s="27" t="s">
        <v>160</v>
      </c>
      <c r="M5" s="27" t="s">
        <v>35</v>
      </c>
      <c r="N5" s="27" t="s">
        <v>161</v>
      </c>
      <c r="O5" s="27" t="s">
        <v>162</v>
      </c>
      <c r="P5" s="27" t="s">
        <v>163</v>
      </c>
      <c r="Q5" s="27" t="s">
        <v>160</v>
      </c>
      <c r="R5" s="27" t="s">
        <v>35</v>
      </c>
      <c r="S5" s="27" t="s">
        <v>161</v>
      </c>
      <c r="T5" s="27" t="s">
        <v>162</v>
      </c>
      <c r="U5" s="27" t="s">
        <v>163</v>
      </c>
      <c r="V5" s="27" t="s">
        <v>160</v>
      </c>
      <c r="W5" s="27" t="s">
        <v>35</v>
      </c>
      <c r="X5" s="27" t="s">
        <v>161</v>
      </c>
      <c r="Y5" s="27" t="s">
        <v>162</v>
      </c>
      <c r="Z5" s="27" t="s">
        <v>163</v>
      </c>
      <c r="AA5" s="27" t="s">
        <v>164</v>
      </c>
      <c r="AB5" s="27" t="s">
        <v>35</v>
      </c>
      <c r="AC5" s="27" t="s">
        <v>161</v>
      </c>
      <c r="AD5" s="27" t="s">
        <v>162</v>
      </c>
      <c r="AE5" s="27" t="s">
        <v>163</v>
      </c>
      <c r="AF5" s="27" t="s">
        <v>160</v>
      </c>
      <c r="AG5" s="27" t="s">
        <v>35</v>
      </c>
      <c r="AH5" s="27" t="s">
        <v>161</v>
      </c>
      <c r="AI5" s="27" t="s">
        <v>162</v>
      </c>
      <c r="AJ5" s="27" t="s">
        <v>163</v>
      </c>
      <c r="AK5" s="27" t="s">
        <v>160</v>
      </c>
      <c r="AL5" s="27" t="s">
        <v>35</v>
      </c>
      <c r="AM5" s="27" t="s">
        <v>161</v>
      </c>
      <c r="AN5" s="27" t="s">
        <v>162</v>
      </c>
      <c r="AO5" s="27" t="s">
        <v>163</v>
      </c>
      <c r="AP5" s="27" t="s">
        <v>160</v>
      </c>
      <c r="AQ5" s="27" t="s">
        <v>35</v>
      </c>
      <c r="AR5" s="27" t="s">
        <v>161</v>
      </c>
      <c r="AS5" s="27" t="s">
        <v>162</v>
      </c>
      <c r="AT5" s="27" t="s">
        <v>163</v>
      </c>
      <c r="AU5" s="27" t="s">
        <v>173</v>
      </c>
      <c r="AV5" s="27" t="s">
        <v>135</v>
      </c>
      <c r="AW5" s="27" t="s">
        <v>136</v>
      </c>
      <c r="AX5" s="27" t="s">
        <v>137</v>
      </c>
      <c r="AY5" s="27" t="s">
        <v>174</v>
      </c>
      <c r="AZ5" s="27" t="s">
        <v>132</v>
      </c>
      <c r="BA5" s="27" t="s">
        <v>167</v>
      </c>
      <c r="BB5" s="27" t="s">
        <v>168</v>
      </c>
      <c r="BC5" s="27" t="s">
        <v>169</v>
      </c>
    </row>
    <row r="6" customFormat="false" ht="19.5" hidden="false" customHeight="true" outlineLevel="0" collapsed="false">
      <c r="A6" s="28" t="str">
        <f aca="false">IF($C6="","",COUNTA($C$6:$C6))</f>
        <v/>
      </c>
      <c r="B6" s="29"/>
      <c r="C6" s="30"/>
      <c r="D6" s="29"/>
      <c r="E6" s="31" t="str">
        <f aca="false">IF($C6="","",IF(NOT(OR(M6="Completed",M6="NA",M6="Cancelled")),"S1 Schematic",IF(NOT(OR(R6="Completed",R6="NA",R6="Cancelled")),"S2 PCB Layout",IF(NOT(OR(W6="Completed",W6="NA",W6="Cancelled")),"S3 SI &amp; PI",IF(NOT(OR(AB6="Completed",AB6="NA",AB6="Cancelled")),"S4 Bare-PCB Fab",IF(NOT(OR(AG6="Completed",AG6="NA",AG6="Cancelled")),"S5 Assembly",IF(NOT(OR(AL6="Completed",AL6="NA",AL6="Cancelled")),"S6 Bring-up",IF(NOT(OR(AQ6="Completed",AQ6="NA",AQ6="Cancelled")),"S7 BOM Procurement","All Stages Closed"))))))))</f>
        <v/>
      </c>
      <c r="F6" s="32" t="str">
        <f aca="false">IF($C6="","",IF(COUNTIF(M6,"Cancelled")+COUNTIF(R6,"Cancelled")+COUNTIF(W6,"Cancelled")+COUNTIF(AB6,"Cancelled")+COUNTIF(AG6,"Cancelled")+COUNTIF(AL6,"Cancelled")+COUNTIF(AQ6,"Cancelled")&gt;0,"Cancelled",IF(E6="All Stages Closed","Completed",IF(E6="S1 Schematic",M6,IF(E6="S2 PCB Layout",R6,IF(E6="S3 SI &amp; PI",W6,IF(E6="S4 Bare-PCB Fab",AB6,IF(E6="S5 Assembly",AG6,IF(E6="S6 Bring-up",AL6,AQ6)))))))))</f>
        <v/>
      </c>
      <c r="G6" s="33" t="str">
        <f aca="false">IF($C6="","",IF(E6="All Stages Closed","",IF(E6="S1 Schematic",IF(N6="","Not added",N6),IF(E6="S2 PCB Layout",IF(S6="","Not added",S6),IF(E6="S3 SI &amp; PI",IF(X6="","Not added",X6),IF(E6="S4 Bare-PCB Fab",IF(AC6="","Not added",AC6),IF(E6="S5 Assembly",IF(AH6="","Not added",AH6),IF(E6="S6 Bring-up",IF(AM6="","Not added",AM6),IF(AR6="","Not added",AR6)))))))))</f>
        <v/>
      </c>
      <c r="H6" s="32" t="str">
        <f aca="true">IF($C6="","",IF(OR(F6="Completed",F6="Cancelled"),"",IF(NOT(ISNUMBER(G6)),"No date set",IF(TODAY()&gt;G6,TODAY()-G6&amp;" days late",G6-TODAY()&amp;" days left"))))</f>
        <v/>
      </c>
      <c r="I6" s="31" t="str">
        <f aca="false">IF($C6="","",COUNTIF(M6,"Completed")+COUNTIF(R6,"Completed")+COUNTIF(W6,"Completed")+COUNTIF(AB6,"Completed")+COUNTIF(AG6,"Completed")+COUNTIF(AL6,"Completed")+COUNTIF(AQ6,"Completed"))</f>
        <v/>
      </c>
      <c r="J6" s="31" t="str">
        <f aca="false">IF($C6="","",7-(COUNTIF(M6,"NA")+COUNTIF(R6,"NA")+COUNTIF(W6,"NA")+COUNTIF(AB6,"NA")+COUNTIF(AG6,"NA")+COUNTIF(AL6,"NA")+COUNTIF(AQ6,"NA")))</f>
        <v/>
      </c>
      <c r="K6" s="34" t="str">
        <f aca="false">IFERROR(I6/J6,"")</f>
        <v/>
      </c>
      <c r="L6" s="29"/>
      <c r="M6" s="35"/>
      <c r="N6" s="36"/>
      <c r="O6" s="36"/>
      <c r="P6" s="30"/>
      <c r="Q6" s="29"/>
      <c r="R6" s="35"/>
      <c r="S6" s="36"/>
      <c r="T6" s="36"/>
      <c r="U6" s="30"/>
      <c r="V6" s="29"/>
      <c r="W6" s="35"/>
      <c r="X6" s="36"/>
      <c r="Y6" s="36"/>
      <c r="Z6" s="30"/>
      <c r="AA6" s="29"/>
      <c r="AB6" s="35"/>
      <c r="AC6" s="36"/>
      <c r="AD6" s="36"/>
      <c r="AE6" s="30"/>
      <c r="AF6" s="29"/>
      <c r="AG6" s="35"/>
      <c r="AH6" s="36"/>
      <c r="AI6" s="36"/>
      <c r="AJ6" s="30"/>
      <c r="AK6" s="29"/>
      <c r="AL6" s="35"/>
      <c r="AM6" s="36"/>
      <c r="AN6" s="36"/>
      <c r="AO6" s="30"/>
      <c r="AP6" s="29"/>
      <c r="AQ6" s="35"/>
      <c r="AR6" s="36"/>
      <c r="AS6" s="36"/>
      <c r="AT6" s="30"/>
      <c r="AU6" s="29"/>
      <c r="AV6" s="29"/>
      <c r="AW6" s="29"/>
      <c r="AX6" s="37"/>
      <c r="AY6" s="39" t="str">
        <f aca="false">IF(AU6&lt;&gt;"Yes","",IF(AV6="","SELECT RE-ENTRY STAGE","MOVE TO ACTIVE at "&amp;AV6))</f>
        <v/>
      </c>
      <c r="AZ6" s="40" t="str">
        <f aca="false">IF(AU6="Yes",COUNTIF($AU$6:AU6,"Yes"),"")</f>
        <v/>
      </c>
      <c r="BA6" s="29"/>
      <c r="BB6" s="38" t="str">
        <f aca="false">IF($C6="","",IF(OR(F6="Completed",F6="Cancelled"),"",IF(AND(OR(F6="On Hold",ISNUMBER(VALUE(LEFT(H6,2)))),BA6=""),"Reason not given","")))</f>
        <v/>
      </c>
      <c r="BC6" s="30"/>
    </row>
    <row r="7" customFormat="false" ht="19.5" hidden="false" customHeight="true" outlineLevel="0" collapsed="false">
      <c r="A7" s="28" t="str">
        <f aca="false">IF($C7="","",COUNTA($C$6:$C7))</f>
        <v/>
      </c>
      <c r="B7" s="29"/>
      <c r="C7" s="30"/>
      <c r="D7" s="29"/>
      <c r="E7" s="31" t="str">
        <f aca="false">IF($C7="","",IF(NOT(OR(M7="Completed",M7="NA",M7="Cancelled")),"S1 Schematic",IF(NOT(OR(R7="Completed",R7="NA",R7="Cancelled")),"S2 PCB Layout",IF(NOT(OR(W7="Completed",W7="NA",W7="Cancelled")),"S3 SI &amp; PI",IF(NOT(OR(AB7="Completed",AB7="NA",AB7="Cancelled")),"S4 Bare-PCB Fab",IF(NOT(OR(AG7="Completed",AG7="NA",AG7="Cancelled")),"S5 Assembly",IF(NOT(OR(AL7="Completed",AL7="NA",AL7="Cancelled")),"S6 Bring-up",IF(NOT(OR(AQ7="Completed",AQ7="NA",AQ7="Cancelled")),"S7 BOM Procurement","All Stages Closed"))))))))</f>
        <v/>
      </c>
      <c r="F7" s="32" t="str">
        <f aca="false">IF($C7="","",IF(COUNTIF(M7,"Cancelled")+COUNTIF(R7,"Cancelled")+COUNTIF(W7,"Cancelled")+COUNTIF(AB7,"Cancelled")+COUNTIF(AG7,"Cancelled")+COUNTIF(AL7,"Cancelled")+COUNTIF(AQ7,"Cancelled")&gt;0,"Cancelled",IF(E7="All Stages Closed","Completed",IF(E7="S1 Schematic",M7,IF(E7="S2 PCB Layout",R7,IF(E7="S3 SI &amp; PI",W7,IF(E7="S4 Bare-PCB Fab",AB7,IF(E7="S5 Assembly",AG7,IF(E7="S6 Bring-up",AL7,AQ7)))))))))</f>
        <v/>
      </c>
      <c r="G7" s="33" t="str">
        <f aca="false">IF($C7="","",IF(E7="All Stages Closed","",IF(E7="S1 Schematic",IF(N7="","Not added",N7),IF(E7="S2 PCB Layout",IF(S7="","Not added",S7),IF(E7="S3 SI &amp; PI",IF(X7="","Not added",X7),IF(E7="S4 Bare-PCB Fab",IF(AC7="","Not added",AC7),IF(E7="S5 Assembly",IF(AH7="","Not added",AH7),IF(E7="S6 Bring-up",IF(AM7="","Not added",AM7),IF(AR7="","Not added",AR7)))))))))</f>
        <v/>
      </c>
      <c r="H7" s="32" t="str">
        <f aca="true">IF($C7="","",IF(OR(F7="Completed",F7="Cancelled"),"",IF(NOT(ISNUMBER(G7)),"No date set",IF(TODAY()&gt;G7,TODAY()-G7&amp;" days late",G7-TODAY()&amp;" days left"))))</f>
        <v/>
      </c>
      <c r="I7" s="31" t="str">
        <f aca="false">IF($C7="","",COUNTIF(M7,"Completed")+COUNTIF(R7,"Completed")+COUNTIF(W7,"Completed")+COUNTIF(AB7,"Completed")+COUNTIF(AG7,"Completed")+COUNTIF(AL7,"Completed")+COUNTIF(AQ7,"Completed"))</f>
        <v/>
      </c>
      <c r="J7" s="31" t="str">
        <f aca="false">IF($C7="","",7-(COUNTIF(M7,"NA")+COUNTIF(R7,"NA")+COUNTIF(W7,"NA")+COUNTIF(AB7,"NA")+COUNTIF(AG7,"NA")+COUNTIF(AL7,"NA")+COUNTIF(AQ7,"NA")))</f>
        <v/>
      </c>
      <c r="K7" s="34" t="str">
        <f aca="false">IFERROR(I7/J7,"")</f>
        <v/>
      </c>
      <c r="L7" s="29"/>
      <c r="M7" s="35"/>
      <c r="N7" s="36"/>
      <c r="O7" s="36"/>
      <c r="P7" s="30"/>
      <c r="Q7" s="29"/>
      <c r="R7" s="35"/>
      <c r="S7" s="36"/>
      <c r="T7" s="36"/>
      <c r="U7" s="30"/>
      <c r="V7" s="29"/>
      <c r="W7" s="35"/>
      <c r="X7" s="36"/>
      <c r="Y7" s="36"/>
      <c r="Z7" s="30"/>
      <c r="AA7" s="29"/>
      <c r="AB7" s="35"/>
      <c r="AC7" s="36"/>
      <c r="AD7" s="36"/>
      <c r="AE7" s="30"/>
      <c r="AF7" s="29"/>
      <c r="AG7" s="35"/>
      <c r="AH7" s="36"/>
      <c r="AI7" s="36"/>
      <c r="AJ7" s="30"/>
      <c r="AK7" s="29"/>
      <c r="AL7" s="35"/>
      <c r="AM7" s="36"/>
      <c r="AN7" s="36"/>
      <c r="AO7" s="30"/>
      <c r="AP7" s="29"/>
      <c r="AQ7" s="35"/>
      <c r="AR7" s="36"/>
      <c r="AS7" s="36"/>
      <c r="AT7" s="30"/>
      <c r="AU7" s="29"/>
      <c r="AV7" s="29"/>
      <c r="AW7" s="29"/>
      <c r="AX7" s="37"/>
      <c r="AY7" s="39" t="str">
        <f aca="false">IF(AU7&lt;&gt;"Yes","",IF(AV7="","SELECT RE-ENTRY STAGE","MOVE TO ACTIVE at "&amp;AV7))</f>
        <v/>
      </c>
      <c r="AZ7" s="40" t="str">
        <f aca="false">IF(AU7="Yes",COUNTIF($AU$6:AU7,"Yes"),"")</f>
        <v/>
      </c>
      <c r="BA7" s="29"/>
      <c r="BB7" s="38" t="str">
        <f aca="false">IF($C7="","",IF(OR(F7="Completed",F7="Cancelled"),"",IF(AND(OR(F7="On Hold",ISNUMBER(VALUE(LEFT(H7,2)))),BA7=""),"Reason not given","")))</f>
        <v/>
      </c>
      <c r="BC7" s="30"/>
    </row>
    <row r="8" customFormat="false" ht="19.5" hidden="false" customHeight="true" outlineLevel="0" collapsed="false">
      <c r="A8" s="28" t="str">
        <f aca="false">IF($C8="","",COUNTA($C$6:$C8))</f>
        <v/>
      </c>
      <c r="B8" s="29"/>
      <c r="C8" s="30"/>
      <c r="D8" s="29"/>
      <c r="E8" s="31" t="str">
        <f aca="false">IF($C8="","",IF(NOT(OR(M8="Completed",M8="NA",M8="Cancelled")),"S1 Schematic",IF(NOT(OR(R8="Completed",R8="NA",R8="Cancelled")),"S2 PCB Layout",IF(NOT(OR(W8="Completed",W8="NA",W8="Cancelled")),"S3 SI &amp; PI",IF(NOT(OR(AB8="Completed",AB8="NA",AB8="Cancelled")),"S4 Bare-PCB Fab",IF(NOT(OR(AG8="Completed",AG8="NA",AG8="Cancelled")),"S5 Assembly",IF(NOT(OR(AL8="Completed",AL8="NA",AL8="Cancelled")),"S6 Bring-up",IF(NOT(OR(AQ8="Completed",AQ8="NA",AQ8="Cancelled")),"S7 BOM Procurement","All Stages Closed"))))))))</f>
        <v/>
      </c>
      <c r="F8" s="32" t="str">
        <f aca="false">IF($C8="","",IF(COUNTIF(M8,"Cancelled")+COUNTIF(R8,"Cancelled")+COUNTIF(W8,"Cancelled")+COUNTIF(AB8,"Cancelled")+COUNTIF(AG8,"Cancelled")+COUNTIF(AL8,"Cancelled")+COUNTIF(AQ8,"Cancelled")&gt;0,"Cancelled",IF(E8="All Stages Closed","Completed",IF(E8="S1 Schematic",M8,IF(E8="S2 PCB Layout",R8,IF(E8="S3 SI &amp; PI",W8,IF(E8="S4 Bare-PCB Fab",AB8,IF(E8="S5 Assembly",AG8,IF(E8="S6 Bring-up",AL8,AQ8)))))))))</f>
        <v/>
      </c>
      <c r="G8" s="33" t="str">
        <f aca="false">IF($C8="","",IF(E8="All Stages Closed","",IF(E8="S1 Schematic",IF(N8="","Not added",N8),IF(E8="S2 PCB Layout",IF(S8="","Not added",S8),IF(E8="S3 SI &amp; PI",IF(X8="","Not added",X8),IF(E8="S4 Bare-PCB Fab",IF(AC8="","Not added",AC8),IF(E8="S5 Assembly",IF(AH8="","Not added",AH8),IF(E8="S6 Bring-up",IF(AM8="","Not added",AM8),IF(AR8="","Not added",AR8)))))))))</f>
        <v/>
      </c>
      <c r="H8" s="32" t="str">
        <f aca="true">IF($C8="","",IF(OR(F8="Completed",F8="Cancelled"),"",IF(NOT(ISNUMBER(G8)),"No date set",IF(TODAY()&gt;G8,TODAY()-G8&amp;" days late",G8-TODAY()&amp;" days left"))))</f>
        <v/>
      </c>
      <c r="I8" s="31" t="str">
        <f aca="false">IF($C8="","",COUNTIF(M8,"Completed")+COUNTIF(R8,"Completed")+COUNTIF(W8,"Completed")+COUNTIF(AB8,"Completed")+COUNTIF(AG8,"Completed")+COUNTIF(AL8,"Completed")+COUNTIF(AQ8,"Completed"))</f>
        <v/>
      </c>
      <c r="J8" s="31" t="str">
        <f aca="false">IF($C8="","",7-(COUNTIF(M8,"NA")+COUNTIF(R8,"NA")+COUNTIF(W8,"NA")+COUNTIF(AB8,"NA")+COUNTIF(AG8,"NA")+COUNTIF(AL8,"NA")+COUNTIF(AQ8,"NA")))</f>
        <v/>
      </c>
      <c r="K8" s="34" t="str">
        <f aca="false">IFERROR(I8/J8,"")</f>
        <v/>
      </c>
      <c r="L8" s="29"/>
      <c r="M8" s="35"/>
      <c r="N8" s="36"/>
      <c r="O8" s="36"/>
      <c r="P8" s="30"/>
      <c r="Q8" s="29"/>
      <c r="R8" s="35"/>
      <c r="S8" s="36"/>
      <c r="T8" s="36"/>
      <c r="U8" s="30"/>
      <c r="V8" s="29"/>
      <c r="W8" s="35"/>
      <c r="X8" s="36"/>
      <c r="Y8" s="36"/>
      <c r="Z8" s="30"/>
      <c r="AA8" s="29"/>
      <c r="AB8" s="35"/>
      <c r="AC8" s="36"/>
      <c r="AD8" s="36"/>
      <c r="AE8" s="30"/>
      <c r="AF8" s="29"/>
      <c r="AG8" s="35"/>
      <c r="AH8" s="36"/>
      <c r="AI8" s="36"/>
      <c r="AJ8" s="30"/>
      <c r="AK8" s="29"/>
      <c r="AL8" s="35"/>
      <c r="AM8" s="36"/>
      <c r="AN8" s="36"/>
      <c r="AO8" s="30"/>
      <c r="AP8" s="29"/>
      <c r="AQ8" s="35"/>
      <c r="AR8" s="36"/>
      <c r="AS8" s="36"/>
      <c r="AT8" s="30"/>
      <c r="AU8" s="29"/>
      <c r="AV8" s="29"/>
      <c r="AW8" s="29"/>
      <c r="AX8" s="37"/>
      <c r="AY8" s="39" t="str">
        <f aca="false">IF(AU8&lt;&gt;"Yes","",IF(AV8="","SELECT RE-ENTRY STAGE","MOVE TO ACTIVE at "&amp;AV8))</f>
        <v/>
      </c>
      <c r="AZ8" s="40" t="str">
        <f aca="false">IF(AU8="Yes",COUNTIF($AU$6:AU8,"Yes"),"")</f>
        <v/>
      </c>
      <c r="BA8" s="29"/>
      <c r="BB8" s="38" t="str">
        <f aca="false">IF($C8="","",IF(OR(F8="Completed",F8="Cancelled"),"",IF(AND(OR(F8="On Hold",ISNUMBER(VALUE(LEFT(H8,2)))),BA8=""),"Reason not given","")))</f>
        <v/>
      </c>
      <c r="BC8" s="30"/>
    </row>
    <row r="9" customFormat="false" ht="19.5" hidden="false" customHeight="true" outlineLevel="0" collapsed="false">
      <c r="A9" s="28" t="str">
        <f aca="false">IF($C9="","",COUNTA($C$6:$C9))</f>
        <v/>
      </c>
      <c r="B9" s="29"/>
      <c r="C9" s="30"/>
      <c r="D9" s="29"/>
      <c r="E9" s="31" t="str">
        <f aca="false">IF($C9="","",IF(NOT(OR(M9="Completed",M9="NA",M9="Cancelled")),"S1 Schematic",IF(NOT(OR(R9="Completed",R9="NA",R9="Cancelled")),"S2 PCB Layout",IF(NOT(OR(W9="Completed",W9="NA",W9="Cancelled")),"S3 SI &amp; PI",IF(NOT(OR(AB9="Completed",AB9="NA",AB9="Cancelled")),"S4 Bare-PCB Fab",IF(NOT(OR(AG9="Completed",AG9="NA",AG9="Cancelled")),"S5 Assembly",IF(NOT(OR(AL9="Completed",AL9="NA",AL9="Cancelled")),"S6 Bring-up",IF(NOT(OR(AQ9="Completed",AQ9="NA",AQ9="Cancelled")),"S7 BOM Procurement","All Stages Closed"))))))))</f>
        <v/>
      </c>
      <c r="F9" s="32" t="str">
        <f aca="false">IF($C9="","",IF(COUNTIF(M9,"Cancelled")+COUNTIF(R9,"Cancelled")+COUNTIF(W9,"Cancelled")+COUNTIF(AB9,"Cancelled")+COUNTIF(AG9,"Cancelled")+COUNTIF(AL9,"Cancelled")+COUNTIF(AQ9,"Cancelled")&gt;0,"Cancelled",IF(E9="All Stages Closed","Completed",IF(E9="S1 Schematic",M9,IF(E9="S2 PCB Layout",R9,IF(E9="S3 SI &amp; PI",W9,IF(E9="S4 Bare-PCB Fab",AB9,IF(E9="S5 Assembly",AG9,IF(E9="S6 Bring-up",AL9,AQ9)))))))))</f>
        <v/>
      </c>
      <c r="G9" s="33" t="str">
        <f aca="false">IF($C9="","",IF(E9="All Stages Closed","",IF(E9="S1 Schematic",IF(N9="","Not added",N9),IF(E9="S2 PCB Layout",IF(S9="","Not added",S9),IF(E9="S3 SI &amp; PI",IF(X9="","Not added",X9),IF(E9="S4 Bare-PCB Fab",IF(AC9="","Not added",AC9),IF(E9="S5 Assembly",IF(AH9="","Not added",AH9),IF(E9="S6 Bring-up",IF(AM9="","Not added",AM9),IF(AR9="","Not added",AR9)))))))))</f>
        <v/>
      </c>
      <c r="H9" s="32" t="str">
        <f aca="true">IF($C9="","",IF(OR(F9="Completed",F9="Cancelled"),"",IF(NOT(ISNUMBER(G9)),"No date set",IF(TODAY()&gt;G9,TODAY()-G9&amp;" days late",G9-TODAY()&amp;" days left"))))</f>
        <v/>
      </c>
      <c r="I9" s="31" t="str">
        <f aca="false">IF($C9="","",COUNTIF(M9,"Completed")+COUNTIF(R9,"Completed")+COUNTIF(W9,"Completed")+COUNTIF(AB9,"Completed")+COUNTIF(AG9,"Completed")+COUNTIF(AL9,"Completed")+COUNTIF(AQ9,"Completed"))</f>
        <v/>
      </c>
      <c r="J9" s="31" t="str">
        <f aca="false">IF($C9="","",7-(COUNTIF(M9,"NA")+COUNTIF(R9,"NA")+COUNTIF(W9,"NA")+COUNTIF(AB9,"NA")+COUNTIF(AG9,"NA")+COUNTIF(AL9,"NA")+COUNTIF(AQ9,"NA")))</f>
        <v/>
      </c>
      <c r="K9" s="34" t="str">
        <f aca="false">IFERROR(I9/J9,"")</f>
        <v/>
      </c>
      <c r="L9" s="29"/>
      <c r="M9" s="35"/>
      <c r="N9" s="36"/>
      <c r="O9" s="36"/>
      <c r="P9" s="30"/>
      <c r="Q9" s="29"/>
      <c r="R9" s="35"/>
      <c r="S9" s="36"/>
      <c r="T9" s="36"/>
      <c r="U9" s="30"/>
      <c r="V9" s="29"/>
      <c r="W9" s="35"/>
      <c r="X9" s="36"/>
      <c r="Y9" s="36"/>
      <c r="Z9" s="30"/>
      <c r="AA9" s="29"/>
      <c r="AB9" s="35"/>
      <c r="AC9" s="36"/>
      <c r="AD9" s="36"/>
      <c r="AE9" s="30"/>
      <c r="AF9" s="29"/>
      <c r="AG9" s="35"/>
      <c r="AH9" s="36"/>
      <c r="AI9" s="36"/>
      <c r="AJ9" s="30"/>
      <c r="AK9" s="29"/>
      <c r="AL9" s="35"/>
      <c r="AM9" s="36"/>
      <c r="AN9" s="36"/>
      <c r="AO9" s="30"/>
      <c r="AP9" s="29"/>
      <c r="AQ9" s="35"/>
      <c r="AR9" s="36"/>
      <c r="AS9" s="36"/>
      <c r="AT9" s="30"/>
      <c r="AU9" s="29"/>
      <c r="AV9" s="29"/>
      <c r="AW9" s="29"/>
      <c r="AX9" s="37"/>
      <c r="AY9" s="39" t="str">
        <f aca="false">IF(AU9&lt;&gt;"Yes","",IF(AV9="","SELECT RE-ENTRY STAGE","MOVE TO ACTIVE at "&amp;AV9))</f>
        <v/>
      </c>
      <c r="AZ9" s="40" t="str">
        <f aca="false">IF(AU9="Yes",COUNTIF($AU$6:AU9,"Yes"),"")</f>
        <v/>
      </c>
      <c r="BA9" s="29"/>
      <c r="BB9" s="38" t="str">
        <f aca="false">IF($C9="","",IF(OR(F9="Completed",F9="Cancelled"),"",IF(AND(OR(F9="On Hold",ISNUMBER(VALUE(LEFT(H9,2)))),BA9=""),"Reason not given","")))</f>
        <v/>
      </c>
      <c r="BC9" s="30"/>
    </row>
    <row r="10" customFormat="false" ht="19.5" hidden="false" customHeight="true" outlineLevel="0" collapsed="false">
      <c r="A10" s="28" t="str">
        <f aca="false">IF($C10="","",COUNTA($C$6:$C10))</f>
        <v/>
      </c>
      <c r="B10" s="29"/>
      <c r="C10" s="30"/>
      <c r="D10" s="29"/>
      <c r="E10" s="31" t="str">
        <f aca="false">IF($C10="","",IF(NOT(OR(M10="Completed",M10="NA",M10="Cancelled")),"S1 Schematic",IF(NOT(OR(R10="Completed",R10="NA",R10="Cancelled")),"S2 PCB Layout",IF(NOT(OR(W10="Completed",W10="NA",W10="Cancelled")),"S3 SI &amp; PI",IF(NOT(OR(AB10="Completed",AB10="NA",AB10="Cancelled")),"S4 Bare-PCB Fab",IF(NOT(OR(AG10="Completed",AG10="NA",AG10="Cancelled")),"S5 Assembly",IF(NOT(OR(AL10="Completed",AL10="NA",AL10="Cancelled")),"S6 Bring-up",IF(NOT(OR(AQ10="Completed",AQ10="NA",AQ10="Cancelled")),"S7 BOM Procurement","All Stages Closed"))))))))</f>
        <v/>
      </c>
      <c r="F10" s="32" t="str">
        <f aca="false">IF($C10="","",IF(COUNTIF(M10,"Cancelled")+COUNTIF(R10,"Cancelled")+COUNTIF(W10,"Cancelled")+COUNTIF(AB10,"Cancelled")+COUNTIF(AG10,"Cancelled")+COUNTIF(AL10,"Cancelled")+COUNTIF(AQ10,"Cancelled")&gt;0,"Cancelled",IF(E10="All Stages Closed","Completed",IF(E10="S1 Schematic",M10,IF(E10="S2 PCB Layout",R10,IF(E10="S3 SI &amp; PI",W10,IF(E10="S4 Bare-PCB Fab",AB10,IF(E10="S5 Assembly",AG10,IF(E10="S6 Bring-up",AL10,AQ10)))))))))</f>
        <v/>
      </c>
      <c r="G10" s="33" t="str">
        <f aca="false">IF($C10="","",IF(E10="All Stages Closed","",IF(E10="S1 Schematic",IF(N10="","Not added",N10),IF(E10="S2 PCB Layout",IF(S10="","Not added",S10),IF(E10="S3 SI &amp; PI",IF(X10="","Not added",X10),IF(E10="S4 Bare-PCB Fab",IF(AC10="","Not added",AC10),IF(E10="S5 Assembly",IF(AH10="","Not added",AH10),IF(E10="S6 Bring-up",IF(AM10="","Not added",AM10),IF(AR10="","Not added",AR10)))))))))</f>
        <v/>
      </c>
      <c r="H10" s="32" t="str">
        <f aca="true">IF($C10="","",IF(OR(F10="Completed",F10="Cancelled"),"",IF(NOT(ISNUMBER(G10)),"No date set",IF(TODAY()&gt;G10,TODAY()-G10&amp;" days late",G10-TODAY()&amp;" days left"))))</f>
        <v/>
      </c>
      <c r="I10" s="31" t="str">
        <f aca="false">IF($C10="","",COUNTIF(M10,"Completed")+COUNTIF(R10,"Completed")+COUNTIF(W10,"Completed")+COUNTIF(AB10,"Completed")+COUNTIF(AG10,"Completed")+COUNTIF(AL10,"Completed")+COUNTIF(AQ10,"Completed"))</f>
        <v/>
      </c>
      <c r="J10" s="31" t="str">
        <f aca="false">IF($C10="","",7-(COUNTIF(M10,"NA")+COUNTIF(R10,"NA")+COUNTIF(W10,"NA")+COUNTIF(AB10,"NA")+COUNTIF(AG10,"NA")+COUNTIF(AL10,"NA")+COUNTIF(AQ10,"NA")))</f>
        <v/>
      </c>
      <c r="K10" s="34" t="str">
        <f aca="false">IFERROR(I10/J10,"")</f>
        <v/>
      </c>
      <c r="L10" s="29"/>
      <c r="M10" s="35"/>
      <c r="N10" s="36"/>
      <c r="O10" s="36"/>
      <c r="P10" s="30"/>
      <c r="Q10" s="29"/>
      <c r="R10" s="35"/>
      <c r="S10" s="36"/>
      <c r="T10" s="36"/>
      <c r="U10" s="30"/>
      <c r="V10" s="29"/>
      <c r="W10" s="35"/>
      <c r="X10" s="36"/>
      <c r="Y10" s="36"/>
      <c r="Z10" s="30"/>
      <c r="AA10" s="29"/>
      <c r="AB10" s="35"/>
      <c r="AC10" s="36"/>
      <c r="AD10" s="36"/>
      <c r="AE10" s="30"/>
      <c r="AF10" s="29"/>
      <c r="AG10" s="35"/>
      <c r="AH10" s="36"/>
      <c r="AI10" s="36"/>
      <c r="AJ10" s="30"/>
      <c r="AK10" s="29"/>
      <c r="AL10" s="35"/>
      <c r="AM10" s="36"/>
      <c r="AN10" s="36"/>
      <c r="AO10" s="30"/>
      <c r="AP10" s="29"/>
      <c r="AQ10" s="35"/>
      <c r="AR10" s="36"/>
      <c r="AS10" s="36"/>
      <c r="AT10" s="30"/>
      <c r="AU10" s="29"/>
      <c r="AV10" s="29"/>
      <c r="AW10" s="29"/>
      <c r="AX10" s="37"/>
      <c r="AY10" s="39" t="str">
        <f aca="false">IF(AU10&lt;&gt;"Yes","",IF(AV10="","SELECT RE-ENTRY STAGE","MOVE TO ACTIVE at "&amp;AV10))</f>
        <v/>
      </c>
      <c r="AZ10" s="40" t="str">
        <f aca="false">IF(AU10="Yes",COUNTIF($AU$6:AU10,"Yes"),"")</f>
        <v/>
      </c>
      <c r="BA10" s="29"/>
      <c r="BB10" s="38" t="str">
        <f aca="false">IF($C10="","",IF(OR(F10="Completed",F10="Cancelled"),"",IF(AND(OR(F10="On Hold",ISNUMBER(VALUE(LEFT(H10,2)))),BA10=""),"Reason not given","")))</f>
        <v/>
      </c>
      <c r="BC10" s="30"/>
    </row>
    <row r="11" customFormat="false" ht="19.5" hidden="false" customHeight="true" outlineLevel="0" collapsed="false">
      <c r="A11" s="28" t="str">
        <f aca="false">IF($C11="","",COUNTA($C$6:$C11))</f>
        <v/>
      </c>
      <c r="B11" s="29"/>
      <c r="C11" s="30"/>
      <c r="D11" s="29"/>
      <c r="E11" s="31" t="str">
        <f aca="false">IF($C11="","",IF(NOT(OR(M11="Completed",M11="NA",M11="Cancelled")),"S1 Schematic",IF(NOT(OR(R11="Completed",R11="NA",R11="Cancelled")),"S2 PCB Layout",IF(NOT(OR(W11="Completed",W11="NA",W11="Cancelled")),"S3 SI &amp; PI",IF(NOT(OR(AB11="Completed",AB11="NA",AB11="Cancelled")),"S4 Bare-PCB Fab",IF(NOT(OR(AG11="Completed",AG11="NA",AG11="Cancelled")),"S5 Assembly",IF(NOT(OR(AL11="Completed",AL11="NA",AL11="Cancelled")),"S6 Bring-up",IF(NOT(OR(AQ11="Completed",AQ11="NA",AQ11="Cancelled")),"S7 BOM Procurement","All Stages Closed"))))))))</f>
        <v/>
      </c>
      <c r="F11" s="32" t="str">
        <f aca="false">IF($C11="","",IF(COUNTIF(M11,"Cancelled")+COUNTIF(R11,"Cancelled")+COUNTIF(W11,"Cancelled")+COUNTIF(AB11,"Cancelled")+COUNTIF(AG11,"Cancelled")+COUNTIF(AL11,"Cancelled")+COUNTIF(AQ11,"Cancelled")&gt;0,"Cancelled",IF(E11="All Stages Closed","Completed",IF(E11="S1 Schematic",M11,IF(E11="S2 PCB Layout",R11,IF(E11="S3 SI &amp; PI",W11,IF(E11="S4 Bare-PCB Fab",AB11,IF(E11="S5 Assembly",AG11,IF(E11="S6 Bring-up",AL11,AQ11)))))))))</f>
        <v/>
      </c>
      <c r="G11" s="33" t="str">
        <f aca="false">IF($C11="","",IF(E11="All Stages Closed","",IF(E11="S1 Schematic",IF(N11="","Not added",N11),IF(E11="S2 PCB Layout",IF(S11="","Not added",S11),IF(E11="S3 SI &amp; PI",IF(X11="","Not added",X11),IF(E11="S4 Bare-PCB Fab",IF(AC11="","Not added",AC11),IF(E11="S5 Assembly",IF(AH11="","Not added",AH11),IF(E11="S6 Bring-up",IF(AM11="","Not added",AM11),IF(AR11="","Not added",AR11)))))))))</f>
        <v/>
      </c>
      <c r="H11" s="32" t="str">
        <f aca="true">IF($C11="","",IF(OR(F11="Completed",F11="Cancelled"),"",IF(NOT(ISNUMBER(G11)),"No date set",IF(TODAY()&gt;G11,TODAY()-G11&amp;" days late",G11-TODAY()&amp;" days left"))))</f>
        <v/>
      </c>
      <c r="I11" s="31" t="str">
        <f aca="false">IF($C11="","",COUNTIF(M11,"Completed")+COUNTIF(R11,"Completed")+COUNTIF(W11,"Completed")+COUNTIF(AB11,"Completed")+COUNTIF(AG11,"Completed")+COUNTIF(AL11,"Completed")+COUNTIF(AQ11,"Completed"))</f>
        <v/>
      </c>
      <c r="J11" s="31" t="str">
        <f aca="false">IF($C11="","",7-(COUNTIF(M11,"NA")+COUNTIF(R11,"NA")+COUNTIF(W11,"NA")+COUNTIF(AB11,"NA")+COUNTIF(AG11,"NA")+COUNTIF(AL11,"NA")+COUNTIF(AQ11,"NA")))</f>
        <v/>
      </c>
      <c r="K11" s="34" t="str">
        <f aca="false">IFERROR(I11/J11,"")</f>
        <v/>
      </c>
      <c r="L11" s="29"/>
      <c r="M11" s="35"/>
      <c r="N11" s="36"/>
      <c r="O11" s="36"/>
      <c r="P11" s="30"/>
      <c r="Q11" s="29"/>
      <c r="R11" s="35"/>
      <c r="S11" s="36"/>
      <c r="T11" s="36"/>
      <c r="U11" s="30"/>
      <c r="V11" s="29"/>
      <c r="W11" s="35"/>
      <c r="X11" s="36"/>
      <c r="Y11" s="36"/>
      <c r="Z11" s="30"/>
      <c r="AA11" s="29"/>
      <c r="AB11" s="35"/>
      <c r="AC11" s="36"/>
      <c r="AD11" s="36"/>
      <c r="AE11" s="30"/>
      <c r="AF11" s="29"/>
      <c r="AG11" s="35"/>
      <c r="AH11" s="36"/>
      <c r="AI11" s="36"/>
      <c r="AJ11" s="30"/>
      <c r="AK11" s="29"/>
      <c r="AL11" s="35"/>
      <c r="AM11" s="36"/>
      <c r="AN11" s="36"/>
      <c r="AO11" s="30"/>
      <c r="AP11" s="29"/>
      <c r="AQ11" s="35"/>
      <c r="AR11" s="36"/>
      <c r="AS11" s="36"/>
      <c r="AT11" s="30"/>
      <c r="AU11" s="29"/>
      <c r="AV11" s="29"/>
      <c r="AW11" s="29"/>
      <c r="AX11" s="37"/>
      <c r="AY11" s="39" t="str">
        <f aca="false">IF(AU11&lt;&gt;"Yes","",IF(AV11="","SELECT RE-ENTRY STAGE","MOVE TO ACTIVE at "&amp;AV11))</f>
        <v/>
      </c>
      <c r="AZ11" s="40" t="str">
        <f aca="false">IF(AU11="Yes",COUNTIF($AU$6:AU11,"Yes"),"")</f>
        <v/>
      </c>
      <c r="BA11" s="29"/>
      <c r="BB11" s="38" t="str">
        <f aca="false">IF($C11="","",IF(OR(F11="Completed",F11="Cancelled"),"",IF(AND(OR(F11="On Hold",ISNUMBER(VALUE(LEFT(H11,2)))),BA11=""),"Reason not given","")))</f>
        <v/>
      </c>
      <c r="BC11" s="30"/>
    </row>
    <row r="12" customFormat="false" ht="19.5" hidden="false" customHeight="true" outlineLevel="0" collapsed="false">
      <c r="A12" s="28" t="str">
        <f aca="false">IF($C12="","",COUNTA($C$6:$C12))</f>
        <v/>
      </c>
      <c r="B12" s="29"/>
      <c r="C12" s="30"/>
      <c r="D12" s="29"/>
      <c r="E12" s="31" t="str">
        <f aca="false">IF($C12="","",IF(NOT(OR(M12="Completed",M12="NA",M12="Cancelled")),"S1 Schematic",IF(NOT(OR(R12="Completed",R12="NA",R12="Cancelled")),"S2 PCB Layout",IF(NOT(OR(W12="Completed",W12="NA",W12="Cancelled")),"S3 SI &amp; PI",IF(NOT(OR(AB12="Completed",AB12="NA",AB12="Cancelled")),"S4 Bare-PCB Fab",IF(NOT(OR(AG12="Completed",AG12="NA",AG12="Cancelled")),"S5 Assembly",IF(NOT(OR(AL12="Completed",AL12="NA",AL12="Cancelled")),"S6 Bring-up",IF(NOT(OR(AQ12="Completed",AQ12="NA",AQ12="Cancelled")),"S7 BOM Procurement","All Stages Closed"))))))))</f>
        <v/>
      </c>
      <c r="F12" s="32" t="str">
        <f aca="false">IF($C12="","",IF(COUNTIF(M12,"Cancelled")+COUNTIF(R12,"Cancelled")+COUNTIF(W12,"Cancelled")+COUNTIF(AB12,"Cancelled")+COUNTIF(AG12,"Cancelled")+COUNTIF(AL12,"Cancelled")+COUNTIF(AQ12,"Cancelled")&gt;0,"Cancelled",IF(E12="All Stages Closed","Completed",IF(E12="S1 Schematic",M12,IF(E12="S2 PCB Layout",R12,IF(E12="S3 SI &amp; PI",W12,IF(E12="S4 Bare-PCB Fab",AB12,IF(E12="S5 Assembly",AG12,IF(E12="S6 Bring-up",AL12,AQ12)))))))))</f>
        <v/>
      </c>
      <c r="G12" s="33" t="str">
        <f aca="false">IF($C12="","",IF(E12="All Stages Closed","",IF(E12="S1 Schematic",IF(N12="","Not added",N12),IF(E12="S2 PCB Layout",IF(S12="","Not added",S12),IF(E12="S3 SI &amp; PI",IF(X12="","Not added",X12),IF(E12="S4 Bare-PCB Fab",IF(AC12="","Not added",AC12),IF(E12="S5 Assembly",IF(AH12="","Not added",AH12),IF(E12="S6 Bring-up",IF(AM12="","Not added",AM12),IF(AR12="","Not added",AR12)))))))))</f>
        <v/>
      </c>
      <c r="H12" s="32" t="str">
        <f aca="true">IF($C12="","",IF(OR(F12="Completed",F12="Cancelled"),"",IF(NOT(ISNUMBER(G12)),"No date set",IF(TODAY()&gt;G12,TODAY()-G12&amp;" days late",G12-TODAY()&amp;" days left"))))</f>
        <v/>
      </c>
      <c r="I12" s="31" t="str">
        <f aca="false">IF($C12="","",COUNTIF(M12,"Completed")+COUNTIF(R12,"Completed")+COUNTIF(W12,"Completed")+COUNTIF(AB12,"Completed")+COUNTIF(AG12,"Completed")+COUNTIF(AL12,"Completed")+COUNTIF(AQ12,"Completed"))</f>
        <v/>
      </c>
      <c r="J12" s="31" t="str">
        <f aca="false">IF($C12="","",7-(COUNTIF(M12,"NA")+COUNTIF(R12,"NA")+COUNTIF(W12,"NA")+COUNTIF(AB12,"NA")+COUNTIF(AG12,"NA")+COUNTIF(AL12,"NA")+COUNTIF(AQ12,"NA")))</f>
        <v/>
      </c>
      <c r="K12" s="34" t="str">
        <f aca="false">IFERROR(I12/J12,"")</f>
        <v/>
      </c>
      <c r="L12" s="29"/>
      <c r="M12" s="35"/>
      <c r="N12" s="36"/>
      <c r="O12" s="36"/>
      <c r="P12" s="30"/>
      <c r="Q12" s="29"/>
      <c r="R12" s="35"/>
      <c r="S12" s="36"/>
      <c r="T12" s="36"/>
      <c r="U12" s="30"/>
      <c r="V12" s="29"/>
      <c r="W12" s="35"/>
      <c r="X12" s="36"/>
      <c r="Y12" s="36"/>
      <c r="Z12" s="30"/>
      <c r="AA12" s="29"/>
      <c r="AB12" s="35"/>
      <c r="AC12" s="36"/>
      <c r="AD12" s="36"/>
      <c r="AE12" s="30"/>
      <c r="AF12" s="29"/>
      <c r="AG12" s="35"/>
      <c r="AH12" s="36"/>
      <c r="AI12" s="36"/>
      <c r="AJ12" s="30"/>
      <c r="AK12" s="29"/>
      <c r="AL12" s="35"/>
      <c r="AM12" s="36"/>
      <c r="AN12" s="36"/>
      <c r="AO12" s="30"/>
      <c r="AP12" s="29"/>
      <c r="AQ12" s="35"/>
      <c r="AR12" s="36"/>
      <c r="AS12" s="36"/>
      <c r="AT12" s="30"/>
      <c r="AU12" s="29"/>
      <c r="AV12" s="29"/>
      <c r="AW12" s="29"/>
      <c r="AX12" s="37"/>
      <c r="AY12" s="39" t="str">
        <f aca="false">IF(AU12&lt;&gt;"Yes","",IF(AV12="","SELECT RE-ENTRY STAGE","MOVE TO ACTIVE at "&amp;AV12))</f>
        <v/>
      </c>
      <c r="AZ12" s="40" t="str">
        <f aca="false">IF(AU12="Yes",COUNTIF($AU$6:AU12,"Yes"),"")</f>
        <v/>
      </c>
      <c r="BA12" s="29"/>
      <c r="BB12" s="38" t="str">
        <f aca="false">IF($C12="","",IF(OR(F12="Completed",F12="Cancelled"),"",IF(AND(OR(F12="On Hold",ISNUMBER(VALUE(LEFT(H12,2)))),BA12=""),"Reason not given","")))</f>
        <v/>
      </c>
      <c r="BC12" s="30"/>
    </row>
    <row r="13" customFormat="false" ht="19.5" hidden="false" customHeight="true" outlineLevel="0" collapsed="false">
      <c r="A13" s="28" t="str">
        <f aca="false">IF($C13="","",COUNTA($C$6:$C13))</f>
        <v/>
      </c>
      <c r="B13" s="29"/>
      <c r="C13" s="30"/>
      <c r="D13" s="29"/>
      <c r="E13" s="31" t="str">
        <f aca="false">IF($C13="","",IF(NOT(OR(M13="Completed",M13="NA",M13="Cancelled")),"S1 Schematic",IF(NOT(OR(R13="Completed",R13="NA",R13="Cancelled")),"S2 PCB Layout",IF(NOT(OR(W13="Completed",W13="NA",W13="Cancelled")),"S3 SI &amp; PI",IF(NOT(OR(AB13="Completed",AB13="NA",AB13="Cancelled")),"S4 Bare-PCB Fab",IF(NOT(OR(AG13="Completed",AG13="NA",AG13="Cancelled")),"S5 Assembly",IF(NOT(OR(AL13="Completed",AL13="NA",AL13="Cancelled")),"S6 Bring-up",IF(NOT(OR(AQ13="Completed",AQ13="NA",AQ13="Cancelled")),"S7 BOM Procurement","All Stages Closed"))))))))</f>
        <v/>
      </c>
      <c r="F13" s="32" t="str">
        <f aca="false">IF($C13="","",IF(COUNTIF(M13,"Cancelled")+COUNTIF(R13,"Cancelled")+COUNTIF(W13,"Cancelled")+COUNTIF(AB13,"Cancelled")+COUNTIF(AG13,"Cancelled")+COUNTIF(AL13,"Cancelled")+COUNTIF(AQ13,"Cancelled")&gt;0,"Cancelled",IF(E13="All Stages Closed","Completed",IF(E13="S1 Schematic",M13,IF(E13="S2 PCB Layout",R13,IF(E13="S3 SI &amp; PI",W13,IF(E13="S4 Bare-PCB Fab",AB13,IF(E13="S5 Assembly",AG13,IF(E13="S6 Bring-up",AL13,AQ13)))))))))</f>
        <v/>
      </c>
      <c r="G13" s="33" t="str">
        <f aca="false">IF($C13="","",IF(E13="All Stages Closed","",IF(E13="S1 Schematic",IF(N13="","Not added",N13),IF(E13="S2 PCB Layout",IF(S13="","Not added",S13),IF(E13="S3 SI &amp; PI",IF(X13="","Not added",X13),IF(E13="S4 Bare-PCB Fab",IF(AC13="","Not added",AC13),IF(E13="S5 Assembly",IF(AH13="","Not added",AH13),IF(E13="S6 Bring-up",IF(AM13="","Not added",AM13),IF(AR13="","Not added",AR13)))))))))</f>
        <v/>
      </c>
      <c r="H13" s="32" t="str">
        <f aca="true">IF($C13="","",IF(OR(F13="Completed",F13="Cancelled"),"",IF(NOT(ISNUMBER(G13)),"No date set",IF(TODAY()&gt;G13,TODAY()-G13&amp;" days late",G13-TODAY()&amp;" days left"))))</f>
        <v/>
      </c>
      <c r="I13" s="31" t="str">
        <f aca="false">IF($C13="","",COUNTIF(M13,"Completed")+COUNTIF(R13,"Completed")+COUNTIF(W13,"Completed")+COUNTIF(AB13,"Completed")+COUNTIF(AG13,"Completed")+COUNTIF(AL13,"Completed")+COUNTIF(AQ13,"Completed"))</f>
        <v/>
      </c>
      <c r="J13" s="31" t="str">
        <f aca="false">IF($C13="","",7-(COUNTIF(M13,"NA")+COUNTIF(R13,"NA")+COUNTIF(W13,"NA")+COUNTIF(AB13,"NA")+COUNTIF(AG13,"NA")+COUNTIF(AL13,"NA")+COUNTIF(AQ13,"NA")))</f>
        <v/>
      </c>
      <c r="K13" s="34" t="str">
        <f aca="false">IFERROR(I13/J13,"")</f>
        <v/>
      </c>
      <c r="L13" s="29"/>
      <c r="M13" s="35"/>
      <c r="N13" s="36"/>
      <c r="O13" s="36"/>
      <c r="P13" s="30"/>
      <c r="Q13" s="29"/>
      <c r="R13" s="35"/>
      <c r="S13" s="36"/>
      <c r="T13" s="36"/>
      <c r="U13" s="30"/>
      <c r="V13" s="29"/>
      <c r="W13" s="35"/>
      <c r="X13" s="36"/>
      <c r="Y13" s="36"/>
      <c r="Z13" s="30"/>
      <c r="AA13" s="29"/>
      <c r="AB13" s="35"/>
      <c r="AC13" s="36"/>
      <c r="AD13" s="36"/>
      <c r="AE13" s="30"/>
      <c r="AF13" s="29"/>
      <c r="AG13" s="35"/>
      <c r="AH13" s="36"/>
      <c r="AI13" s="36"/>
      <c r="AJ13" s="30"/>
      <c r="AK13" s="29"/>
      <c r="AL13" s="35"/>
      <c r="AM13" s="36"/>
      <c r="AN13" s="36"/>
      <c r="AO13" s="30"/>
      <c r="AP13" s="29"/>
      <c r="AQ13" s="35"/>
      <c r="AR13" s="36"/>
      <c r="AS13" s="36"/>
      <c r="AT13" s="30"/>
      <c r="AU13" s="29"/>
      <c r="AV13" s="29"/>
      <c r="AW13" s="29"/>
      <c r="AX13" s="37"/>
      <c r="AY13" s="39" t="str">
        <f aca="false">IF(AU13&lt;&gt;"Yes","",IF(AV13="","SELECT RE-ENTRY STAGE","MOVE TO ACTIVE at "&amp;AV13))</f>
        <v/>
      </c>
      <c r="AZ13" s="40" t="str">
        <f aca="false">IF(AU13="Yes",COUNTIF($AU$6:AU13,"Yes"),"")</f>
        <v/>
      </c>
      <c r="BA13" s="29"/>
      <c r="BB13" s="38" t="str">
        <f aca="false">IF($C13="","",IF(OR(F13="Completed",F13="Cancelled"),"",IF(AND(OR(F13="On Hold",ISNUMBER(VALUE(LEFT(H13,2)))),BA13=""),"Reason not given","")))</f>
        <v/>
      </c>
      <c r="BC13" s="30"/>
    </row>
    <row r="14" customFormat="false" ht="19.5" hidden="false" customHeight="true" outlineLevel="0" collapsed="false">
      <c r="A14" s="28" t="str">
        <f aca="false">IF($C14="","",COUNTA($C$6:$C14))</f>
        <v/>
      </c>
      <c r="B14" s="29"/>
      <c r="C14" s="30"/>
      <c r="D14" s="29"/>
      <c r="E14" s="31" t="str">
        <f aca="false">IF($C14="","",IF(NOT(OR(M14="Completed",M14="NA",M14="Cancelled")),"S1 Schematic",IF(NOT(OR(R14="Completed",R14="NA",R14="Cancelled")),"S2 PCB Layout",IF(NOT(OR(W14="Completed",W14="NA",W14="Cancelled")),"S3 SI &amp; PI",IF(NOT(OR(AB14="Completed",AB14="NA",AB14="Cancelled")),"S4 Bare-PCB Fab",IF(NOT(OR(AG14="Completed",AG14="NA",AG14="Cancelled")),"S5 Assembly",IF(NOT(OR(AL14="Completed",AL14="NA",AL14="Cancelled")),"S6 Bring-up",IF(NOT(OR(AQ14="Completed",AQ14="NA",AQ14="Cancelled")),"S7 BOM Procurement","All Stages Closed"))))))))</f>
        <v/>
      </c>
      <c r="F14" s="32" t="str">
        <f aca="false">IF($C14="","",IF(COUNTIF(M14,"Cancelled")+COUNTIF(R14,"Cancelled")+COUNTIF(W14,"Cancelled")+COUNTIF(AB14,"Cancelled")+COUNTIF(AG14,"Cancelled")+COUNTIF(AL14,"Cancelled")+COUNTIF(AQ14,"Cancelled")&gt;0,"Cancelled",IF(E14="All Stages Closed","Completed",IF(E14="S1 Schematic",M14,IF(E14="S2 PCB Layout",R14,IF(E14="S3 SI &amp; PI",W14,IF(E14="S4 Bare-PCB Fab",AB14,IF(E14="S5 Assembly",AG14,IF(E14="S6 Bring-up",AL14,AQ14)))))))))</f>
        <v/>
      </c>
      <c r="G14" s="33" t="str">
        <f aca="false">IF($C14="","",IF(E14="All Stages Closed","",IF(E14="S1 Schematic",IF(N14="","Not added",N14),IF(E14="S2 PCB Layout",IF(S14="","Not added",S14),IF(E14="S3 SI &amp; PI",IF(X14="","Not added",X14),IF(E14="S4 Bare-PCB Fab",IF(AC14="","Not added",AC14),IF(E14="S5 Assembly",IF(AH14="","Not added",AH14),IF(E14="S6 Bring-up",IF(AM14="","Not added",AM14),IF(AR14="","Not added",AR14)))))))))</f>
        <v/>
      </c>
      <c r="H14" s="32" t="str">
        <f aca="true">IF($C14="","",IF(OR(F14="Completed",F14="Cancelled"),"",IF(NOT(ISNUMBER(G14)),"No date set",IF(TODAY()&gt;G14,TODAY()-G14&amp;" days late",G14-TODAY()&amp;" days left"))))</f>
        <v/>
      </c>
      <c r="I14" s="31" t="str">
        <f aca="false">IF($C14="","",COUNTIF(M14,"Completed")+COUNTIF(R14,"Completed")+COUNTIF(W14,"Completed")+COUNTIF(AB14,"Completed")+COUNTIF(AG14,"Completed")+COUNTIF(AL14,"Completed")+COUNTIF(AQ14,"Completed"))</f>
        <v/>
      </c>
      <c r="J14" s="31" t="str">
        <f aca="false">IF($C14="","",7-(COUNTIF(M14,"NA")+COUNTIF(R14,"NA")+COUNTIF(W14,"NA")+COUNTIF(AB14,"NA")+COUNTIF(AG14,"NA")+COUNTIF(AL14,"NA")+COUNTIF(AQ14,"NA")))</f>
        <v/>
      </c>
      <c r="K14" s="34" t="str">
        <f aca="false">IFERROR(I14/J14,"")</f>
        <v/>
      </c>
      <c r="L14" s="29"/>
      <c r="M14" s="35"/>
      <c r="N14" s="36"/>
      <c r="O14" s="36"/>
      <c r="P14" s="30"/>
      <c r="Q14" s="29"/>
      <c r="R14" s="35"/>
      <c r="S14" s="36"/>
      <c r="T14" s="36"/>
      <c r="U14" s="30"/>
      <c r="V14" s="29"/>
      <c r="W14" s="35"/>
      <c r="X14" s="36"/>
      <c r="Y14" s="36"/>
      <c r="Z14" s="30"/>
      <c r="AA14" s="29"/>
      <c r="AB14" s="35"/>
      <c r="AC14" s="36"/>
      <c r="AD14" s="36"/>
      <c r="AE14" s="30"/>
      <c r="AF14" s="29"/>
      <c r="AG14" s="35"/>
      <c r="AH14" s="36"/>
      <c r="AI14" s="36"/>
      <c r="AJ14" s="30"/>
      <c r="AK14" s="29"/>
      <c r="AL14" s="35"/>
      <c r="AM14" s="36"/>
      <c r="AN14" s="36"/>
      <c r="AO14" s="30"/>
      <c r="AP14" s="29"/>
      <c r="AQ14" s="35"/>
      <c r="AR14" s="36"/>
      <c r="AS14" s="36"/>
      <c r="AT14" s="30"/>
      <c r="AU14" s="29"/>
      <c r="AV14" s="29"/>
      <c r="AW14" s="29"/>
      <c r="AX14" s="37"/>
      <c r="AY14" s="39" t="str">
        <f aca="false">IF(AU14&lt;&gt;"Yes","",IF(AV14="","SELECT RE-ENTRY STAGE","MOVE TO ACTIVE at "&amp;AV14))</f>
        <v/>
      </c>
      <c r="AZ14" s="40" t="str">
        <f aca="false">IF(AU14="Yes",COUNTIF($AU$6:AU14,"Yes"),"")</f>
        <v/>
      </c>
      <c r="BA14" s="29"/>
      <c r="BB14" s="38" t="str">
        <f aca="false">IF($C14="","",IF(OR(F14="Completed",F14="Cancelled"),"",IF(AND(OR(F14="On Hold",ISNUMBER(VALUE(LEFT(H14,2)))),BA14=""),"Reason not given","")))</f>
        <v/>
      </c>
      <c r="BC14" s="30"/>
    </row>
    <row r="15" customFormat="false" ht="19.5" hidden="false" customHeight="true" outlineLevel="0" collapsed="false">
      <c r="A15" s="28" t="str">
        <f aca="false">IF($C15="","",COUNTA($C$6:$C15))</f>
        <v/>
      </c>
      <c r="B15" s="29"/>
      <c r="C15" s="30"/>
      <c r="D15" s="29"/>
      <c r="E15" s="31" t="str">
        <f aca="false">IF($C15="","",IF(NOT(OR(M15="Completed",M15="NA",M15="Cancelled")),"S1 Schematic",IF(NOT(OR(R15="Completed",R15="NA",R15="Cancelled")),"S2 PCB Layout",IF(NOT(OR(W15="Completed",W15="NA",W15="Cancelled")),"S3 SI &amp; PI",IF(NOT(OR(AB15="Completed",AB15="NA",AB15="Cancelled")),"S4 Bare-PCB Fab",IF(NOT(OR(AG15="Completed",AG15="NA",AG15="Cancelled")),"S5 Assembly",IF(NOT(OR(AL15="Completed",AL15="NA",AL15="Cancelled")),"S6 Bring-up",IF(NOT(OR(AQ15="Completed",AQ15="NA",AQ15="Cancelled")),"S7 BOM Procurement","All Stages Closed"))))))))</f>
        <v/>
      </c>
      <c r="F15" s="32" t="str">
        <f aca="false">IF($C15="","",IF(COUNTIF(M15,"Cancelled")+COUNTIF(R15,"Cancelled")+COUNTIF(W15,"Cancelled")+COUNTIF(AB15,"Cancelled")+COUNTIF(AG15,"Cancelled")+COUNTIF(AL15,"Cancelled")+COUNTIF(AQ15,"Cancelled")&gt;0,"Cancelled",IF(E15="All Stages Closed","Completed",IF(E15="S1 Schematic",M15,IF(E15="S2 PCB Layout",R15,IF(E15="S3 SI &amp; PI",W15,IF(E15="S4 Bare-PCB Fab",AB15,IF(E15="S5 Assembly",AG15,IF(E15="S6 Bring-up",AL15,AQ15)))))))))</f>
        <v/>
      </c>
      <c r="G15" s="33" t="str">
        <f aca="false">IF($C15="","",IF(E15="All Stages Closed","",IF(E15="S1 Schematic",IF(N15="","Not added",N15),IF(E15="S2 PCB Layout",IF(S15="","Not added",S15),IF(E15="S3 SI &amp; PI",IF(X15="","Not added",X15),IF(E15="S4 Bare-PCB Fab",IF(AC15="","Not added",AC15),IF(E15="S5 Assembly",IF(AH15="","Not added",AH15),IF(E15="S6 Bring-up",IF(AM15="","Not added",AM15),IF(AR15="","Not added",AR15)))))))))</f>
        <v/>
      </c>
      <c r="H15" s="32" t="str">
        <f aca="true">IF($C15="","",IF(OR(F15="Completed",F15="Cancelled"),"",IF(NOT(ISNUMBER(G15)),"No date set",IF(TODAY()&gt;G15,TODAY()-G15&amp;" days late",G15-TODAY()&amp;" days left"))))</f>
        <v/>
      </c>
      <c r="I15" s="31" t="str">
        <f aca="false">IF($C15="","",COUNTIF(M15,"Completed")+COUNTIF(R15,"Completed")+COUNTIF(W15,"Completed")+COUNTIF(AB15,"Completed")+COUNTIF(AG15,"Completed")+COUNTIF(AL15,"Completed")+COUNTIF(AQ15,"Completed"))</f>
        <v/>
      </c>
      <c r="J15" s="31" t="str">
        <f aca="false">IF($C15="","",7-(COUNTIF(M15,"NA")+COUNTIF(R15,"NA")+COUNTIF(W15,"NA")+COUNTIF(AB15,"NA")+COUNTIF(AG15,"NA")+COUNTIF(AL15,"NA")+COUNTIF(AQ15,"NA")))</f>
        <v/>
      </c>
      <c r="K15" s="34" t="str">
        <f aca="false">IFERROR(I15/J15,"")</f>
        <v/>
      </c>
      <c r="L15" s="29"/>
      <c r="M15" s="35"/>
      <c r="N15" s="36"/>
      <c r="O15" s="36"/>
      <c r="P15" s="30"/>
      <c r="Q15" s="29"/>
      <c r="R15" s="35"/>
      <c r="S15" s="36"/>
      <c r="T15" s="36"/>
      <c r="U15" s="30"/>
      <c r="V15" s="29"/>
      <c r="W15" s="35"/>
      <c r="X15" s="36"/>
      <c r="Y15" s="36"/>
      <c r="Z15" s="30"/>
      <c r="AA15" s="29"/>
      <c r="AB15" s="35"/>
      <c r="AC15" s="36"/>
      <c r="AD15" s="36"/>
      <c r="AE15" s="30"/>
      <c r="AF15" s="29"/>
      <c r="AG15" s="35"/>
      <c r="AH15" s="36"/>
      <c r="AI15" s="36"/>
      <c r="AJ15" s="30"/>
      <c r="AK15" s="29"/>
      <c r="AL15" s="35"/>
      <c r="AM15" s="36"/>
      <c r="AN15" s="36"/>
      <c r="AO15" s="30"/>
      <c r="AP15" s="29"/>
      <c r="AQ15" s="35"/>
      <c r="AR15" s="36"/>
      <c r="AS15" s="36"/>
      <c r="AT15" s="30"/>
      <c r="AU15" s="29"/>
      <c r="AV15" s="29"/>
      <c r="AW15" s="29"/>
      <c r="AX15" s="37"/>
      <c r="AY15" s="39" t="str">
        <f aca="false">IF(AU15&lt;&gt;"Yes","",IF(AV15="","SELECT RE-ENTRY STAGE","MOVE TO ACTIVE at "&amp;AV15))</f>
        <v/>
      </c>
      <c r="AZ15" s="40" t="str">
        <f aca="false">IF(AU15="Yes",COUNTIF($AU$6:AU15,"Yes"),"")</f>
        <v/>
      </c>
      <c r="BA15" s="29"/>
      <c r="BB15" s="38" t="str">
        <f aca="false">IF($C15="","",IF(OR(F15="Completed",F15="Cancelled"),"",IF(AND(OR(F15="On Hold",ISNUMBER(VALUE(LEFT(H15,2)))),BA15=""),"Reason not given","")))</f>
        <v/>
      </c>
      <c r="BC15" s="30"/>
    </row>
    <row r="16" customFormat="false" ht="19.5" hidden="false" customHeight="true" outlineLevel="0" collapsed="false">
      <c r="A16" s="28" t="str">
        <f aca="false">IF($C16="","",COUNTA($C$6:$C16))</f>
        <v/>
      </c>
      <c r="B16" s="29"/>
      <c r="C16" s="30"/>
      <c r="D16" s="29"/>
      <c r="E16" s="31" t="str">
        <f aca="false">IF($C16="","",IF(NOT(OR(M16="Completed",M16="NA",M16="Cancelled")),"S1 Schematic",IF(NOT(OR(R16="Completed",R16="NA",R16="Cancelled")),"S2 PCB Layout",IF(NOT(OR(W16="Completed",W16="NA",W16="Cancelled")),"S3 SI &amp; PI",IF(NOT(OR(AB16="Completed",AB16="NA",AB16="Cancelled")),"S4 Bare-PCB Fab",IF(NOT(OR(AG16="Completed",AG16="NA",AG16="Cancelled")),"S5 Assembly",IF(NOT(OR(AL16="Completed",AL16="NA",AL16="Cancelled")),"S6 Bring-up",IF(NOT(OR(AQ16="Completed",AQ16="NA",AQ16="Cancelled")),"S7 BOM Procurement","All Stages Closed"))))))))</f>
        <v/>
      </c>
      <c r="F16" s="32" t="str">
        <f aca="false">IF($C16="","",IF(COUNTIF(M16,"Cancelled")+COUNTIF(R16,"Cancelled")+COUNTIF(W16,"Cancelled")+COUNTIF(AB16,"Cancelled")+COUNTIF(AG16,"Cancelled")+COUNTIF(AL16,"Cancelled")+COUNTIF(AQ16,"Cancelled")&gt;0,"Cancelled",IF(E16="All Stages Closed","Completed",IF(E16="S1 Schematic",M16,IF(E16="S2 PCB Layout",R16,IF(E16="S3 SI &amp; PI",W16,IF(E16="S4 Bare-PCB Fab",AB16,IF(E16="S5 Assembly",AG16,IF(E16="S6 Bring-up",AL16,AQ16)))))))))</f>
        <v/>
      </c>
      <c r="G16" s="33" t="str">
        <f aca="false">IF($C16="","",IF(E16="All Stages Closed","",IF(E16="S1 Schematic",IF(N16="","Not added",N16),IF(E16="S2 PCB Layout",IF(S16="","Not added",S16),IF(E16="S3 SI &amp; PI",IF(X16="","Not added",X16),IF(E16="S4 Bare-PCB Fab",IF(AC16="","Not added",AC16),IF(E16="S5 Assembly",IF(AH16="","Not added",AH16),IF(E16="S6 Bring-up",IF(AM16="","Not added",AM16),IF(AR16="","Not added",AR16)))))))))</f>
        <v/>
      </c>
      <c r="H16" s="32" t="str">
        <f aca="true">IF($C16="","",IF(OR(F16="Completed",F16="Cancelled"),"",IF(NOT(ISNUMBER(G16)),"No date set",IF(TODAY()&gt;G16,TODAY()-G16&amp;" days late",G16-TODAY()&amp;" days left"))))</f>
        <v/>
      </c>
      <c r="I16" s="31" t="str">
        <f aca="false">IF($C16="","",COUNTIF(M16,"Completed")+COUNTIF(R16,"Completed")+COUNTIF(W16,"Completed")+COUNTIF(AB16,"Completed")+COUNTIF(AG16,"Completed")+COUNTIF(AL16,"Completed")+COUNTIF(AQ16,"Completed"))</f>
        <v/>
      </c>
      <c r="J16" s="31" t="str">
        <f aca="false">IF($C16="","",7-(COUNTIF(M16,"NA")+COUNTIF(R16,"NA")+COUNTIF(W16,"NA")+COUNTIF(AB16,"NA")+COUNTIF(AG16,"NA")+COUNTIF(AL16,"NA")+COUNTIF(AQ16,"NA")))</f>
        <v/>
      </c>
      <c r="K16" s="34" t="str">
        <f aca="false">IFERROR(I16/J16,"")</f>
        <v/>
      </c>
      <c r="L16" s="29"/>
      <c r="M16" s="35"/>
      <c r="N16" s="36"/>
      <c r="O16" s="36"/>
      <c r="P16" s="30"/>
      <c r="Q16" s="29"/>
      <c r="R16" s="35"/>
      <c r="S16" s="36"/>
      <c r="T16" s="36"/>
      <c r="U16" s="30"/>
      <c r="V16" s="29"/>
      <c r="W16" s="35"/>
      <c r="X16" s="36"/>
      <c r="Y16" s="36"/>
      <c r="Z16" s="30"/>
      <c r="AA16" s="29"/>
      <c r="AB16" s="35"/>
      <c r="AC16" s="36"/>
      <c r="AD16" s="36"/>
      <c r="AE16" s="30"/>
      <c r="AF16" s="29"/>
      <c r="AG16" s="35"/>
      <c r="AH16" s="36"/>
      <c r="AI16" s="36"/>
      <c r="AJ16" s="30"/>
      <c r="AK16" s="29"/>
      <c r="AL16" s="35"/>
      <c r="AM16" s="36"/>
      <c r="AN16" s="36"/>
      <c r="AO16" s="30"/>
      <c r="AP16" s="29"/>
      <c r="AQ16" s="35"/>
      <c r="AR16" s="36"/>
      <c r="AS16" s="36"/>
      <c r="AT16" s="30"/>
      <c r="AU16" s="29"/>
      <c r="AV16" s="29"/>
      <c r="AW16" s="29"/>
      <c r="AX16" s="37"/>
      <c r="AY16" s="39" t="str">
        <f aca="false">IF(AU16&lt;&gt;"Yes","",IF(AV16="","SELECT RE-ENTRY STAGE","MOVE TO ACTIVE at "&amp;AV16))</f>
        <v/>
      </c>
      <c r="AZ16" s="40" t="str">
        <f aca="false">IF(AU16="Yes",COUNTIF($AU$6:AU16,"Yes"),"")</f>
        <v/>
      </c>
      <c r="BA16" s="29"/>
      <c r="BB16" s="38" t="str">
        <f aca="false">IF($C16="","",IF(OR(F16="Completed",F16="Cancelled"),"",IF(AND(OR(F16="On Hold",ISNUMBER(VALUE(LEFT(H16,2)))),BA16=""),"Reason not given","")))</f>
        <v/>
      </c>
      <c r="BC16" s="30"/>
    </row>
    <row r="17" customFormat="false" ht="19.5" hidden="false" customHeight="true" outlineLevel="0" collapsed="false">
      <c r="A17" s="28" t="str">
        <f aca="false">IF($C17="","",COUNTA($C$6:$C17))</f>
        <v/>
      </c>
      <c r="B17" s="29"/>
      <c r="C17" s="30"/>
      <c r="D17" s="29"/>
      <c r="E17" s="31" t="str">
        <f aca="false">IF($C17="","",IF(NOT(OR(M17="Completed",M17="NA",M17="Cancelled")),"S1 Schematic",IF(NOT(OR(R17="Completed",R17="NA",R17="Cancelled")),"S2 PCB Layout",IF(NOT(OR(W17="Completed",W17="NA",W17="Cancelled")),"S3 SI &amp; PI",IF(NOT(OR(AB17="Completed",AB17="NA",AB17="Cancelled")),"S4 Bare-PCB Fab",IF(NOT(OR(AG17="Completed",AG17="NA",AG17="Cancelled")),"S5 Assembly",IF(NOT(OR(AL17="Completed",AL17="NA",AL17="Cancelled")),"S6 Bring-up",IF(NOT(OR(AQ17="Completed",AQ17="NA",AQ17="Cancelled")),"S7 BOM Procurement","All Stages Closed"))))))))</f>
        <v/>
      </c>
      <c r="F17" s="32" t="str">
        <f aca="false">IF($C17="","",IF(COUNTIF(M17,"Cancelled")+COUNTIF(R17,"Cancelled")+COUNTIF(W17,"Cancelled")+COUNTIF(AB17,"Cancelled")+COUNTIF(AG17,"Cancelled")+COUNTIF(AL17,"Cancelled")+COUNTIF(AQ17,"Cancelled")&gt;0,"Cancelled",IF(E17="All Stages Closed","Completed",IF(E17="S1 Schematic",M17,IF(E17="S2 PCB Layout",R17,IF(E17="S3 SI &amp; PI",W17,IF(E17="S4 Bare-PCB Fab",AB17,IF(E17="S5 Assembly",AG17,IF(E17="S6 Bring-up",AL17,AQ17)))))))))</f>
        <v/>
      </c>
      <c r="G17" s="33" t="str">
        <f aca="false">IF($C17="","",IF(E17="All Stages Closed","",IF(E17="S1 Schematic",IF(N17="","Not added",N17),IF(E17="S2 PCB Layout",IF(S17="","Not added",S17),IF(E17="S3 SI &amp; PI",IF(X17="","Not added",X17),IF(E17="S4 Bare-PCB Fab",IF(AC17="","Not added",AC17),IF(E17="S5 Assembly",IF(AH17="","Not added",AH17),IF(E17="S6 Bring-up",IF(AM17="","Not added",AM17),IF(AR17="","Not added",AR17)))))))))</f>
        <v/>
      </c>
      <c r="H17" s="32" t="str">
        <f aca="true">IF($C17="","",IF(OR(F17="Completed",F17="Cancelled"),"",IF(NOT(ISNUMBER(G17)),"No date set",IF(TODAY()&gt;G17,TODAY()-G17&amp;" days late",G17-TODAY()&amp;" days left"))))</f>
        <v/>
      </c>
      <c r="I17" s="31" t="str">
        <f aca="false">IF($C17="","",COUNTIF(M17,"Completed")+COUNTIF(R17,"Completed")+COUNTIF(W17,"Completed")+COUNTIF(AB17,"Completed")+COUNTIF(AG17,"Completed")+COUNTIF(AL17,"Completed")+COUNTIF(AQ17,"Completed"))</f>
        <v/>
      </c>
      <c r="J17" s="31" t="str">
        <f aca="false">IF($C17="","",7-(COUNTIF(M17,"NA")+COUNTIF(R17,"NA")+COUNTIF(W17,"NA")+COUNTIF(AB17,"NA")+COUNTIF(AG17,"NA")+COUNTIF(AL17,"NA")+COUNTIF(AQ17,"NA")))</f>
        <v/>
      </c>
      <c r="K17" s="34" t="str">
        <f aca="false">IFERROR(I17/J17,"")</f>
        <v/>
      </c>
      <c r="L17" s="29"/>
      <c r="M17" s="35"/>
      <c r="N17" s="36"/>
      <c r="O17" s="36"/>
      <c r="P17" s="30"/>
      <c r="Q17" s="29"/>
      <c r="R17" s="35"/>
      <c r="S17" s="36"/>
      <c r="T17" s="36"/>
      <c r="U17" s="30"/>
      <c r="V17" s="29"/>
      <c r="W17" s="35"/>
      <c r="X17" s="36"/>
      <c r="Y17" s="36"/>
      <c r="Z17" s="30"/>
      <c r="AA17" s="29"/>
      <c r="AB17" s="35"/>
      <c r="AC17" s="36"/>
      <c r="AD17" s="36"/>
      <c r="AE17" s="30"/>
      <c r="AF17" s="29"/>
      <c r="AG17" s="35"/>
      <c r="AH17" s="36"/>
      <c r="AI17" s="36"/>
      <c r="AJ17" s="30"/>
      <c r="AK17" s="29"/>
      <c r="AL17" s="35"/>
      <c r="AM17" s="36"/>
      <c r="AN17" s="36"/>
      <c r="AO17" s="30"/>
      <c r="AP17" s="29"/>
      <c r="AQ17" s="35"/>
      <c r="AR17" s="36"/>
      <c r="AS17" s="36"/>
      <c r="AT17" s="30"/>
      <c r="AU17" s="29"/>
      <c r="AV17" s="29"/>
      <c r="AW17" s="29"/>
      <c r="AX17" s="37"/>
      <c r="AY17" s="39" t="str">
        <f aca="false">IF(AU17&lt;&gt;"Yes","",IF(AV17="","SELECT RE-ENTRY STAGE","MOVE TO ACTIVE at "&amp;AV17))</f>
        <v/>
      </c>
      <c r="AZ17" s="40" t="str">
        <f aca="false">IF(AU17="Yes",COUNTIF($AU$6:AU17,"Yes"),"")</f>
        <v/>
      </c>
      <c r="BA17" s="29"/>
      <c r="BB17" s="38" t="str">
        <f aca="false">IF($C17="","",IF(OR(F17="Completed",F17="Cancelled"),"",IF(AND(OR(F17="On Hold",ISNUMBER(VALUE(LEFT(H17,2)))),BA17=""),"Reason not given","")))</f>
        <v/>
      </c>
      <c r="BC17" s="30"/>
    </row>
    <row r="18" customFormat="false" ht="19.5" hidden="false" customHeight="true" outlineLevel="0" collapsed="false">
      <c r="A18" s="28" t="str">
        <f aca="false">IF($C18="","",COUNTA($C$6:$C18))</f>
        <v/>
      </c>
      <c r="B18" s="29"/>
      <c r="C18" s="30"/>
      <c r="D18" s="29"/>
      <c r="E18" s="31" t="str">
        <f aca="false">IF($C18="","",IF(NOT(OR(M18="Completed",M18="NA",M18="Cancelled")),"S1 Schematic",IF(NOT(OR(R18="Completed",R18="NA",R18="Cancelled")),"S2 PCB Layout",IF(NOT(OR(W18="Completed",W18="NA",W18="Cancelled")),"S3 SI &amp; PI",IF(NOT(OR(AB18="Completed",AB18="NA",AB18="Cancelled")),"S4 Bare-PCB Fab",IF(NOT(OR(AG18="Completed",AG18="NA",AG18="Cancelled")),"S5 Assembly",IF(NOT(OR(AL18="Completed",AL18="NA",AL18="Cancelled")),"S6 Bring-up",IF(NOT(OR(AQ18="Completed",AQ18="NA",AQ18="Cancelled")),"S7 BOM Procurement","All Stages Closed"))))))))</f>
        <v/>
      </c>
      <c r="F18" s="32" t="str">
        <f aca="false">IF($C18="","",IF(COUNTIF(M18,"Cancelled")+COUNTIF(R18,"Cancelled")+COUNTIF(W18,"Cancelled")+COUNTIF(AB18,"Cancelled")+COUNTIF(AG18,"Cancelled")+COUNTIF(AL18,"Cancelled")+COUNTIF(AQ18,"Cancelled")&gt;0,"Cancelled",IF(E18="All Stages Closed","Completed",IF(E18="S1 Schematic",M18,IF(E18="S2 PCB Layout",R18,IF(E18="S3 SI &amp; PI",W18,IF(E18="S4 Bare-PCB Fab",AB18,IF(E18="S5 Assembly",AG18,IF(E18="S6 Bring-up",AL18,AQ18)))))))))</f>
        <v/>
      </c>
      <c r="G18" s="33" t="str">
        <f aca="false">IF($C18="","",IF(E18="All Stages Closed","",IF(E18="S1 Schematic",IF(N18="","Not added",N18),IF(E18="S2 PCB Layout",IF(S18="","Not added",S18),IF(E18="S3 SI &amp; PI",IF(X18="","Not added",X18),IF(E18="S4 Bare-PCB Fab",IF(AC18="","Not added",AC18),IF(E18="S5 Assembly",IF(AH18="","Not added",AH18),IF(E18="S6 Bring-up",IF(AM18="","Not added",AM18),IF(AR18="","Not added",AR18)))))))))</f>
        <v/>
      </c>
      <c r="H18" s="32" t="str">
        <f aca="true">IF($C18="","",IF(OR(F18="Completed",F18="Cancelled"),"",IF(NOT(ISNUMBER(G18)),"No date set",IF(TODAY()&gt;G18,TODAY()-G18&amp;" days late",G18-TODAY()&amp;" days left"))))</f>
        <v/>
      </c>
      <c r="I18" s="31" t="str">
        <f aca="false">IF($C18="","",COUNTIF(M18,"Completed")+COUNTIF(R18,"Completed")+COUNTIF(W18,"Completed")+COUNTIF(AB18,"Completed")+COUNTIF(AG18,"Completed")+COUNTIF(AL18,"Completed")+COUNTIF(AQ18,"Completed"))</f>
        <v/>
      </c>
      <c r="J18" s="31" t="str">
        <f aca="false">IF($C18="","",7-(COUNTIF(M18,"NA")+COUNTIF(R18,"NA")+COUNTIF(W18,"NA")+COUNTIF(AB18,"NA")+COUNTIF(AG18,"NA")+COUNTIF(AL18,"NA")+COUNTIF(AQ18,"NA")))</f>
        <v/>
      </c>
      <c r="K18" s="34" t="str">
        <f aca="false">IFERROR(I18/J18,"")</f>
        <v/>
      </c>
      <c r="L18" s="29"/>
      <c r="M18" s="35"/>
      <c r="N18" s="36"/>
      <c r="O18" s="36"/>
      <c r="P18" s="30"/>
      <c r="Q18" s="29"/>
      <c r="R18" s="35"/>
      <c r="S18" s="36"/>
      <c r="T18" s="36"/>
      <c r="U18" s="30"/>
      <c r="V18" s="29"/>
      <c r="W18" s="35"/>
      <c r="X18" s="36"/>
      <c r="Y18" s="36"/>
      <c r="Z18" s="30"/>
      <c r="AA18" s="29"/>
      <c r="AB18" s="35"/>
      <c r="AC18" s="36"/>
      <c r="AD18" s="36"/>
      <c r="AE18" s="30"/>
      <c r="AF18" s="29"/>
      <c r="AG18" s="35"/>
      <c r="AH18" s="36"/>
      <c r="AI18" s="36"/>
      <c r="AJ18" s="30"/>
      <c r="AK18" s="29"/>
      <c r="AL18" s="35"/>
      <c r="AM18" s="36"/>
      <c r="AN18" s="36"/>
      <c r="AO18" s="30"/>
      <c r="AP18" s="29"/>
      <c r="AQ18" s="35"/>
      <c r="AR18" s="36"/>
      <c r="AS18" s="36"/>
      <c r="AT18" s="30"/>
      <c r="AU18" s="29"/>
      <c r="AV18" s="29"/>
      <c r="AW18" s="29"/>
      <c r="AX18" s="37"/>
      <c r="AY18" s="39" t="str">
        <f aca="false">IF(AU18&lt;&gt;"Yes","",IF(AV18="","SELECT RE-ENTRY STAGE","MOVE TO ACTIVE at "&amp;AV18))</f>
        <v/>
      </c>
      <c r="AZ18" s="40" t="str">
        <f aca="false">IF(AU18="Yes",COUNTIF($AU$6:AU18,"Yes"),"")</f>
        <v/>
      </c>
      <c r="BA18" s="29"/>
      <c r="BB18" s="38" t="str">
        <f aca="false">IF($C18="","",IF(OR(F18="Completed",F18="Cancelled"),"",IF(AND(OR(F18="On Hold",ISNUMBER(VALUE(LEFT(H18,2)))),BA18=""),"Reason not given","")))</f>
        <v/>
      </c>
      <c r="BC18" s="30"/>
    </row>
    <row r="19" customFormat="false" ht="19.5" hidden="false" customHeight="true" outlineLevel="0" collapsed="false">
      <c r="A19" s="28" t="str">
        <f aca="false">IF($C19="","",COUNTA($C$6:$C19))</f>
        <v/>
      </c>
      <c r="B19" s="29"/>
      <c r="C19" s="30"/>
      <c r="D19" s="29"/>
      <c r="E19" s="31" t="str">
        <f aca="false">IF($C19="","",IF(NOT(OR(M19="Completed",M19="NA",M19="Cancelled")),"S1 Schematic",IF(NOT(OR(R19="Completed",R19="NA",R19="Cancelled")),"S2 PCB Layout",IF(NOT(OR(W19="Completed",W19="NA",W19="Cancelled")),"S3 SI &amp; PI",IF(NOT(OR(AB19="Completed",AB19="NA",AB19="Cancelled")),"S4 Bare-PCB Fab",IF(NOT(OR(AG19="Completed",AG19="NA",AG19="Cancelled")),"S5 Assembly",IF(NOT(OR(AL19="Completed",AL19="NA",AL19="Cancelled")),"S6 Bring-up",IF(NOT(OR(AQ19="Completed",AQ19="NA",AQ19="Cancelled")),"S7 BOM Procurement","All Stages Closed"))))))))</f>
        <v/>
      </c>
      <c r="F19" s="32" t="str">
        <f aca="false">IF($C19="","",IF(COUNTIF(M19,"Cancelled")+COUNTIF(R19,"Cancelled")+COUNTIF(W19,"Cancelled")+COUNTIF(AB19,"Cancelled")+COUNTIF(AG19,"Cancelled")+COUNTIF(AL19,"Cancelled")+COUNTIF(AQ19,"Cancelled")&gt;0,"Cancelled",IF(E19="All Stages Closed","Completed",IF(E19="S1 Schematic",M19,IF(E19="S2 PCB Layout",R19,IF(E19="S3 SI &amp; PI",W19,IF(E19="S4 Bare-PCB Fab",AB19,IF(E19="S5 Assembly",AG19,IF(E19="S6 Bring-up",AL19,AQ19)))))))))</f>
        <v/>
      </c>
      <c r="G19" s="33" t="str">
        <f aca="false">IF($C19="","",IF(E19="All Stages Closed","",IF(E19="S1 Schematic",IF(N19="","Not added",N19),IF(E19="S2 PCB Layout",IF(S19="","Not added",S19),IF(E19="S3 SI &amp; PI",IF(X19="","Not added",X19),IF(E19="S4 Bare-PCB Fab",IF(AC19="","Not added",AC19),IF(E19="S5 Assembly",IF(AH19="","Not added",AH19),IF(E19="S6 Bring-up",IF(AM19="","Not added",AM19),IF(AR19="","Not added",AR19)))))))))</f>
        <v/>
      </c>
      <c r="H19" s="32" t="str">
        <f aca="true">IF($C19="","",IF(OR(F19="Completed",F19="Cancelled"),"",IF(NOT(ISNUMBER(G19)),"No date set",IF(TODAY()&gt;G19,TODAY()-G19&amp;" days late",G19-TODAY()&amp;" days left"))))</f>
        <v/>
      </c>
      <c r="I19" s="31" t="str">
        <f aca="false">IF($C19="","",COUNTIF(M19,"Completed")+COUNTIF(R19,"Completed")+COUNTIF(W19,"Completed")+COUNTIF(AB19,"Completed")+COUNTIF(AG19,"Completed")+COUNTIF(AL19,"Completed")+COUNTIF(AQ19,"Completed"))</f>
        <v/>
      </c>
      <c r="J19" s="31" t="str">
        <f aca="false">IF($C19="","",7-(COUNTIF(M19,"NA")+COUNTIF(R19,"NA")+COUNTIF(W19,"NA")+COUNTIF(AB19,"NA")+COUNTIF(AG19,"NA")+COUNTIF(AL19,"NA")+COUNTIF(AQ19,"NA")))</f>
        <v/>
      </c>
      <c r="K19" s="34" t="str">
        <f aca="false">IFERROR(I19/J19,"")</f>
        <v/>
      </c>
      <c r="L19" s="29"/>
      <c r="M19" s="35"/>
      <c r="N19" s="36"/>
      <c r="O19" s="36"/>
      <c r="P19" s="30"/>
      <c r="Q19" s="29"/>
      <c r="R19" s="35"/>
      <c r="S19" s="36"/>
      <c r="T19" s="36"/>
      <c r="U19" s="30"/>
      <c r="V19" s="29"/>
      <c r="W19" s="35"/>
      <c r="X19" s="36"/>
      <c r="Y19" s="36"/>
      <c r="Z19" s="30"/>
      <c r="AA19" s="29"/>
      <c r="AB19" s="35"/>
      <c r="AC19" s="36"/>
      <c r="AD19" s="36"/>
      <c r="AE19" s="30"/>
      <c r="AF19" s="29"/>
      <c r="AG19" s="35"/>
      <c r="AH19" s="36"/>
      <c r="AI19" s="36"/>
      <c r="AJ19" s="30"/>
      <c r="AK19" s="29"/>
      <c r="AL19" s="35"/>
      <c r="AM19" s="36"/>
      <c r="AN19" s="36"/>
      <c r="AO19" s="30"/>
      <c r="AP19" s="29"/>
      <c r="AQ19" s="35"/>
      <c r="AR19" s="36"/>
      <c r="AS19" s="36"/>
      <c r="AT19" s="30"/>
      <c r="AU19" s="29"/>
      <c r="AV19" s="29"/>
      <c r="AW19" s="29"/>
      <c r="AX19" s="37"/>
      <c r="AY19" s="39" t="str">
        <f aca="false">IF(AU19&lt;&gt;"Yes","",IF(AV19="","SELECT RE-ENTRY STAGE","MOVE TO ACTIVE at "&amp;AV19))</f>
        <v/>
      </c>
      <c r="AZ19" s="40" t="str">
        <f aca="false">IF(AU19="Yes",COUNTIF($AU$6:AU19,"Yes"),"")</f>
        <v/>
      </c>
      <c r="BA19" s="29"/>
      <c r="BB19" s="38" t="str">
        <f aca="false">IF($C19="","",IF(OR(F19="Completed",F19="Cancelled"),"",IF(AND(OR(F19="On Hold",ISNUMBER(VALUE(LEFT(H19,2)))),BA19=""),"Reason not given","")))</f>
        <v/>
      </c>
      <c r="BC19" s="30"/>
    </row>
    <row r="20" customFormat="false" ht="19.5" hidden="false" customHeight="true" outlineLevel="0" collapsed="false">
      <c r="A20" s="28" t="str">
        <f aca="false">IF($C20="","",COUNTA($C$6:$C20))</f>
        <v/>
      </c>
      <c r="B20" s="29"/>
      <c r="C20" s="30"/>
      <c r="D20" s="29"/>
      <c r="E20" s="31" t="str">
        <f aca="false">IF($C20="","",IF(NOT(OR(M20="Completed",M20="NA",M20="Cancelled")),"S1 Schematic",IF(NOT(OR(R20="Completed",R20="NA",R20="Cancelled")),"S2 PCB Layout",IF(NOT(OR(W20="Completed",W20="NA",W20="Cancelled")),"S3 SI &amp; PI",IF(NOT(OR(AB20="Completed",AB20="NA",AB20="Cancelled")),"S4 Bare-PCB Fab",IF(NOT(OR(AG20="Completed",AG20="NA",AG20="Cancelled")),"S5 Assembly",IF(NOT(OR(AL20="Completed",AL20="NA",AL20="Cancelled")),"S6 Bring-up",IF(NOT(OR(AQ20="Completed",AQ20="NA",AQ20="Cancelled")),"S7 BOM Procurement","All Stages Closed"))))))))</f>
        <v/>
      </c>
      <c r="F20" s="32" t="str">
        <f aca="false">IF($C20="","",IF(COUNTIF(M20,"Cancelled")+COUNTIF(R20,"Cancelled")+COUNTIF(W20,"Cancelled")+COUNTIF(AB20,"Cancelled")+COUNTIF(AG20,"Cancelled")+COUNTIF(AL20,"Cancelled")+COUNTIF(AQ20,"Cancelled")&gt;0,"Cancelled",IF(E20="All Stages Closed","Completed",IF(E20="S1 Schematic",M20,IF(E20="S2 PCB Layout",R20,IF(E20="S3 SI &amp; PI",W20,IF(E20="S4 Bare-PCB Fab",AB20,IF(E20="S5 Assembly",AG20,IF(E20="S6 Bring-up",AL20,AQ20)))))))))</f>
        <v/>
      </c>
      <c r="G20" s="33" t="str">
        <f aca="false">IF($C20="","",IF(E20="All Stages Closed","",IF(E20="S1 Schematic",IF(N20="","Not added",N20),IF(E20="S2 PCB Layout",IF(S20="","Not added",S20),IF(E20="S3 SI &amp; PI",IF(X20="","Not added",X20),IF(E20="S4 Bare-PCB Fab",IF(AC20="","Not added",AC20),IF(E20="S5 Assembly",IF(AH20="","Not added",AH20),IF(E20="S6 Bring-up",IF(AM20="","Not added",AM20),IF(AR20="","Not added",AR20)))))))))</f>
        <v/>
      </c>
      <c r="H20" s="32" t="str">
        <f aca="true">IF($C20="","",IF(OR(F20="Completed",F20="Cancelled"),"",IF(NOT(ISNUMBER(G20)),"No date set",IF(TODAY()&gt;G20,TODAY()-G20&amp;" days late",G20-TODAY()&amp;" days left"))))</f>
        <v/>
      </c>
      <c r="I20" s="31" t="str">
        <f aca="false">IF($C20="","",COUNTIF(M20,"Completed")+COUNTIF(R20,"Completed")+COUNTIF(W20,"Completed")+COUNTIF(AB20,"Completed")+COUNTIF(AG20,"Completed")+COUNTIF(AL20,"Completed")+COUNTIF(AQ20,"Completed"))</f>
        <v/>
      </c>
      <c r="J20" s="31" t="str">
        <f aca="false">IF($C20="","",7-(COUNTIF(M20,"NA")+COUNTIF(R20,"NA")+COUNTIF(W20,"NA")+COUNTIF(AB20,"NA")+COUNTIF(AG20,"NA")+COUNTIF(AL20,"NA")+COUNTIF(AQ20,"NA")))</f>
        <v/>
      </c>
      <c r="K20" s="34" t="str">
        <f aca="false">IFERROR(I20/J20,"")</f>
        <v/>
      </c>
      <c r="L20" s="29"/>
      <c r="M20" s="35"/>
      <c r="N20" s="36"/>
      <c r="O20" s="36"/>
      <c r="P20" s="30"/>
      <c r="Q20" s="29"/>
      <c r="R20" s="35"/>
      <c r="S20" s="36"/>
      <c r="T20" s="36"/>
      <c r="U20" s="30"/>
      <c r="V20" s="29"/>
      <c r="W20" s="35"/>
      <c r="X20" s="36"/>
      <c r="Y20" s="36"/>
      <c r="Z20" s="30"/>
      <c r="AA20" s="29"/>
      <c r="AB20" s="35"/>
      <c r="AC20" s="36"/>
      <c r="AD20" s="36"/>
      <c r="AE20" s="30"/>
      <c r="AF20" s="29"/>
      <c r="AG20" s="35"/>
      <c r="AH20" s="36"/>
      <c r="AI20" s="36"/>
      <c r="AJ20" s="30"/>
      <c r="AK20" s="29"/>
      <c r="AL20" s="35"/>
      <c r="AM20" s="36"/>
      <c r="AN20" s="36"/>
      <c r="AO20" s="30"/>
      <c r="AP20" s="29"/>
      <c r="AQ20" s="35"/>
      <c r="AR20" s="36"/>
      <c r="AS20" s="36"/>
      <c r="AT20" s="30"/>
      <c r="AU20" s="29"/>
      <c r="AV20" s="29"/>
      <c r="AW20" s="29"/>
      <c r="AX20" s="37"/>
      <c r="AY20" s="39" t="str">
        <f aca="false">IF(AU20&lt;&gt;"Yes","",IF(AV20="","SELECT RE-ENTRY STAGE","MOVE TO ACTIVE at "&amp;AV20))</f>
        <v/>
      </c>
      <c r="AZ20" s="40" t="str">
        <f aca="false">IF(AU20="Yes",COUNTIF($AU$6:AU20,"Yes"),"")</f>
        <v/>
      </c>
      <c r="BA20" s="29"/>
      <c r="BB20" s="38" t="str">
        <f aca="false">IF($C20="","",IF(OR(F20="Completed",F20="Cancelled"),"",IF(AND(OR(F20="On Hold",ISNUMBER(VALUE(LEFT(H20,2)))),BA20=""),"Reason not given","")))</f>
        <v/>
      </c>
      <c r="BC20" s="30"/>
    </row>
    <row r="21" customFormat="false" ht="19.5" hidden="false" customHeight="true" outlineLevel="0" collapsed="false">
      <c r="A21" s="28" t="str">
        <f aca="false">IF($C21="","",COUNTA($C$6:$C21))</f>
        <v/>
      </c>
      <c r="B21" s="29"/>
      <c r="C21" s="30"/>
      <c r="D21" s="29"/>
      <c r="E21" s="31" t="str">
        <f aca="false">IF($C21="","",IF(NOT(OR(M21="Completed",M21="NA",M21="Cancelled")),"S1 Schematic",IF(NOT(OR(R21="Completed",R21="NA",R21="Cancelled")),"S2 PCB Layout",IF(NOT(OR(W21="Completed",W21="NA",W21="Cancelled")),"S3 SI &amp; PI",IF(NOT(OR(AB21="Completed",AB21="NA",AB21="Cancelled")),"S4 Bare-PCB Fab",IF(NOT(OR(AG21="Completed",AG21="NA",AG21="Cancelled")),"S5 Assembly",IF(NOT(OR(AL21="Completed",AL21="NA",AL21="Cancelled")),"S6 Bring-up",IF(NOT(OR(AQ21="Completed",AQ21="NA",AQ21="Cancelled")),"S7 BOM Procurement","All Stages Closed"))))))))</f>
        <v/>
      </c>
      <c r="F21" s="32" t="str">
        <f aca="false">IF($C21="","",IF(COUNTIF(M21,"Cancelled")+COUNTIF(R21,"Cancelled")+COUNTIF(W21,"Cancelled")+COUNTIF(AB21,"Cancelled")+COUNTIF(AG21,"Cancelled")+COUNTIF(AL21,"Cancelled")+COUNTIF(AQ21,"Cancelled")&gt;0,"Cancelled",IF(E21="All Stages Closed","Completed",IF(E21="S1 Schematic",M21,IF(E21="S2 PCB Layout",R21,IF(E21="S3 SI &amp; PI",W21,IF(E21="S4 Bare-PCB Fab",AB21,IF(E21="S5 Assembly",AG21,IF(E21="S6 Bring-up",AL21,AQ21)))))))))</f>
        <v/>
      </c>
      <c r="G21" s="33" t="str">
        <f aca="false">IF($C21="","",IF(E21="All Stages Closed","",IF(E21="S1 Schematic",IF(N21="","Not added",N21),IF(E21="S2 PCB Layout",IF(S21="","Not added",S21),IF(E21="S3 SI &amp; PI",IF(X21="","Not added",X21),IF(E21="S4 Bare-PCB Fab",IF(AC21="","Not added",AC21),IF(E21="S5 Assembly",IF(AH21="","Not added",AH21),IF(E21="S6 Bring-up",IF(AM21="","Not added",AM21),IF(AR21="","Not added",AR21)))))))))</f>
        <v/>
      </c>
      <c r="H21" s="32" t="str">
        <f aca="true">IF($C21="","",IF(OR(F21="Completed",F21="Cancelled"),"",IF(NOT(ISNUMBER(G21)),"No date set",IF(TODAY()&gt;G21,TODAY()-G21&amp;" days late",G21-TODAY()&amp;" days left"))))</f>
        <v/>
      </c>
      <c r="I21" s="31" t="str">
        <f aca="false">IF($C21="","",COUNTIF(M21,"Completed")+COUNTIF(R21,"Completed")+COUNTIF(W21,"Completed")+COUNTIF(AB21,"Completed")+COUNTIF(AG21,"Completed")+COUNTIF(AL21,"Completed")+COUNTIF(AQ21,"Completed"))</f>
        <v/>
      </c>
      <c r="J21" s="31" t="str">
        <f aca="false">IF($C21="","",7-(COUNTIF(M21,"NA")+COUNTIF(R21,"NA")+COUNTIF(W21,"NA")+COUNTIF(AB21,"NA")+COUNTIF(AG21,"NA")+COUNTIF(AL21,"NA")+COUNTIF(AQ21,"NA")))</f>
        <v/>
      </c>
      <c r="K21" s="34" t="str">
        <f aca="false">IFERROR(I21/J21,"")</f>
        <v/>
      </c>
      <c r="L21" s="29"/>
      <c r="M21" s="35"/>
      <c r="N21" s="36"/>
      <c r="O21" s="36"/>
      <c r="P21" s="30"/>
      <c r="Q21" s="29"/>
      <c r="R21" s="35"/>
      <c r="S21" s="36"/>
      <c r="T21" s="36"/>
      <c r="U21" s="30"/>
      <c r="V21" s="29"/>
      <c r="W21" s="35"/>
      <c r="X21" s="36"/>
      <c r="Y21" s="36"/>
      <c r="Z21" s="30"/>
      <c r="AA21" s="29"/>
      <c r="AB21" s="35"/>
      <c r="AC21" s="36"/>
      <c r="AD21" s="36"/>
      <c r="AE21" s="30"/>
      <c r="AF21" s="29"/>
      <c r="AG21" s="35"/>
      <c r="AH21" s="36"/>
      <c r="AI21" s="36"/>
      <c r="AJ21" s="30"/>
      <c r="AK21" s="29"/>
      <c r="AL21" s="35"/>
      <c r="AM21" s="36"/>
      <c r="AN21" s="36"/>
      <c r="AO21" s="30"/>
      <c r="AP21" s="29"/>
      <c r="AQ21" s="35"/>
      <c r="AR21" s="36"/>
      <c r="AS21" s="36"/>
      <c r="AT21" s="30"/>
      <c r="AU21" s="29"/>
      <c r="AV21" s="29"/>
      <c r="AW21" s="29"/>
      <c r="AX21" s="37"/>
      <c r="AY21" s="39" t="str">
        <f aca="false">IF(AU21&lt;&gt;"Yes","",IF(AV21="","SELECT RE-ENTRY STAGE","MOVE TO ACTIVE at "&amp;AV21))</f>
        <v/>
      </c>
      <c r="AZ21" s="40" t="str">
        <f aca="false">IF(AU21="Yes",COUNTIF($AU$6:AU21,"Yes"),"")</f>
        <v/>
      </c>
      <c r="BA21" s="29"/>
      <c r="BB21" s="38" t="str">
        <f aca="false">IF($C21="","",IF(OR(F21="Completed",F21="Cancelled"),"",IF(AND(OR(F21="On Hold",ISNUMBER(VALUE(LEFT(H21,2)))),BA21=""),"Reason not given","")))</f>
        <v/>
      </c>
      <c r="BC21" s="30"/>
    </row>
    <row r="22" customFormat="false" ht="19.5" hidden="false" customHeight="true" outlineLevel="0" collapsed="false">
      <c r="A22" s="28" t="str">
        <f aca="false">IF($C22="","",COUNTA($C$6:$C22))</f>
        <v/>
      </c>
      <c r="B22" s="29"/>
      <c r="C22" s="30"/>
      <c r="D22" s="29"/>
      <c r="E22" s="31" t="str">
        <f aca="false">IF($C22="","",IF(NOT(OR(M22="Completed",M22="NA",M22="Cancelled")),"S1 Schematic",IF(NOT(OR(R22="Completed",R22="NA",R22="Cancelled")),"S2 PCB Layout",IF(NOT(OR(W22="Completed",W22="NA",W22="Cancelled")),"S3 SI &amp; PI",IF(NOT(OR(AB22="Completed",AB22="NA",AB22="Cancelled")),"S4 Bare-PCB Fab",IF(NOT(OR(AG22="Completed",AG22="NA",AG22="Cancelled")),"S5 Assembly",IF(NOT(OR(AL22="Completed",AL22="NA",AL22="Cancelled")),"S6 Bring-up",IF(NOT(OR(AQ22="Completed",AQ22="NA",AQ22="Cancelled")),"S7 BOM Procurement","All Stages Closed"))))))))</f>
        <v/>
      </c>
      <c r="F22" s="32" t="str">
        <f aca="false">IF($C22="","",IF(COUNTIF(M22,"Cancelled")+COUNTIF(R22,"Cancelled")+COUNTIF(W22,"Cancelled")+COUNTIF(AB22,"Cancelled")+COUNTIF(AG22,"Cancelled")+COUNTIF(AL22,"Cancelled")+COUNTIF(AQ22,"Cancelled")&gt;0,"Cancelled",IF(E22="All Stages Closed","Completed",IF(E22="S1 Schematic",M22,IF(E22="S2 PCB Layout",R22,IF(E22="S3 SI &amp; PI",W22,IF(E22="S4 Bare-PCB Fab",AB22,IF(E22="S5 Assembly",AG22,IF(E22="S6 Bring-up",AL22,AQ22)))))))))</f>
        <v/>
      </c>
      <c r="G22" s="33" t="str">
        <f aca="false">IF($C22="","",IF(E22="All Stages Closed","",IF(E22="S1 Schematic",IF(N22="","Not added",N22),IF(E22="S2 PCB Layout",IF(S22="","Not added",S22),IF(E22="S3 SI &amp; PI",IF(X22="","Not added",X22),IF(E22="S4 Bare-PCB Fab",IF(AC22="","Not added",AC22),IF(E22="S5 Assembly",IF(AH22="","Not added",AH22),IF(E22="S6 Bring-up",IF(AM22="","Not added",AM22),IF(AR22="","Not added",AR22)))))))))</f>
        <v/>
      </c>
      <c r="H22" s="32" t="str">
        <f aca="true">IF($C22="","",IF(OR(F22="Completed",F22="Cancelled"),"",IF(NOT(ISNUMBER(G22)),"No date set",IF(TODAY()&gt;G22,TODAY()-G22&amp;" days late",G22-TODAY()&amp;" days left"))))</f>
        <v/>
      </c>
      <c r="I22" s="31" t="str">
        <f aca="false">IF($C22="","",COUNTIF(M22,"Completed")+COUNTIF(R22,"Completed")+COUNTIF(W22,"Completed")+COUNTIF(AB22,"Completed")+COUNTIF(AG22,"Completed")+COUNTIF(AL22,"Completed")+COUNTIF(AQ22,"Completed"))</f>
        <v/>
      </c>
      <c r="J22" s="31" t="str">
        <f aca="false">IF($C22="","",7-(COUNTIF(M22,"NA")+COUNTIF(R22,"NA")+COUNTIF(W22,"NA")+COUNTIF(AB22,"NA")+COUNTIF(AG22,"NA")+COUNTIF(AL22,"NA")+COUNTIF(AQ22,"NA")))</f>
        <v/>
      </c>
      <c r="K22" s="34" t="str">
        <f aca="false">IFERROR(I22/J22,"")</f>
        <v/>
      </c>
      <c r="L22" s="29"/>
      <c r="M22" s="35"/>
      <c r="N22" s="36"/>
      <c r="O22" s="36"/>
      <c r="P22" s="30"/>
      <c r="Q22" s="29"/>
      <c r="R22" s="35"/>
      <c r="S22" s="36"/>
      <c r="T22" s="36"/>
      <c r="U22" s="30"/>
      <c r="V22" s="29"/>
      <c r="W22" s="35"/>
      <c r="X22" s="36"/>
      <c r="Y22" s="36"/>
      <c r="Z22" s="30"/>
      <c r="AA22" s="29"/>
      <c r="AB22" s="35"/>
      <c r="AC22" s="36"/>
      <c r="AD22" s="36"/>
      <c r="AE22" s="30"/>
      <c r="AF22" s="29"/>
      <c r="AG22" s="35"/>
      <c r="AH22" s="36"/>
      <c r="AI22" s="36"/>
      <c r="AJ22" s="30"/>
      <c r="AK22" s="29"/>
      <c r="AL22" s="35"/>
      <c r="AM22" s="36"/>
      <c r="AN22" s="36"/>
      <c r="AO22" s="30"/>
      <c r="AP22" s="29"/>
      <c r="AQ22" s="35"/>
      <c r="AR22" s="36"/>
      <c r="AS22" s="36"/>
      <c r="AT22" s="30"/>
      <c r="AU22" s="29"/>
      <c r="AV22" s="29"/>
      <c r="AW22" s="29"/>
      <c r="AX22" s="37"/>
      <c r="AY22" s="39" t="str">
        <f aca="false">IF(AU22&lt;&gt;"Yes","",IF(AV22="","SELECT RE-ENTRY STAGE","MOVE TO ACTIVE at "&amp;AV22))</f>
        <v/>
      </c>
      <c r="AZ22" s="40" t="str">
        <f aca="false">IF(AU22="Yes",COUNTIF($AU$6:AU22,"Yes"),"")</f>
        <v/>
      </c>
      <c r="BA22" s="29"/>
      <c r="BB22" s="38" t="str">
        <f aca="false">IF($C22="","",IF(OR(F22="Completed",F22="Cancelled"),"",IF(AND(OR(F22="On Hold",ISNUMBER(VALUE(LEFT(H22,2)))),BA22=""),"Reason not given","")))</f>
        <v/>
      </c>
      <c r="BC22" s="30"/>
    </row>
    <row r="23" customFormat="false" ht="19.5" hidden="false" customHeight="true" outlineLevel="0" collapsed="false">
      <c r="A23" s="28" t="str">
        <f aca="false">IF($C23="","",COUNTA($C$6:$C23))</f>
        <v/>
      </c>
      <c r="B23" s="29"/>
      <c r="C23" s="30"/>
      <c r="D23" s="29"/>
      <c r="E23" s="31" t="str">
        <f aca="false">IF($C23="","",IF(NOT(OR(M23="Completed",M23="NA",M23="Cancelled")),"S1 Schematic",IF(NOT(OR(R23="Completed",R23="NA",R23="Cancelled")),"S2 PCB Layout",IF(NOT(OR(W23="Completed",W23="NA",W23="Cancelled")),"S3 SI &amp; PI",IF(NOT(OR(AB23="Completed",AB23="NA",AB23="Cancelled")),"S4 Bare-PCB Fab",IF(NOT(OR(AG23="Completed",AG23="NA",AG23="Cancelled")),"S5 Assembly",IF(NOT(OR(AL23="Completed",AL23="NA",AL23="Cancelled")),"S6 Bring-up",IF(NOT(OR(AQ23="Completed",AQ23="NA",AQ23="Cancelled")),"S7 BOM Procurement","All Stages Closed"))))))))</f>
        <v/>
      </c>
      <c r="F23" s="32" t="str">
        <f aca="false">IF($C23="","",IF(COUNTIF(M23,"Cancelled")+COUNTIF(R23,"Cancelled")+COUNTIF(W23,"Cancelled")+COUNTIF(AB23,"Cancelled")+COUNTIF(AG23,"Cancelled")+COUNTIF(AL23,"Cancelled")+COUNTIF(AQ23,"Cancelled")&gt;0,"Cancelled",IF(E23="All Stages Closed","Completed",IF(E23="S1 Schematic",M23,IF(E23="S2 PCB Layout",R23,IF(E23="S3 SI &amp; PI",W23,IF(E23="S4 Bare-PCB Fab",AB23,IF(E23="S5 Assembly",AG23,IF(E23="S6 Bring-up",AL23,AQ23)))))))))</f>
        <v/>
      </c>
      <c r="G23" s="33" t="str">
        <f aca="false">IF($C23="","",IF(E23="All Stages Closed","",IF(E23="S1 Schematic",IF(N23="","Not added",N23),IF(E23="S2 PCB Layout",IF(S23="","Not added",S23),IF(E23="S3 SI &amp; PI",IF(X23="","Not added",X23),IF(E23="S4 Bare-PCB Fab",IF(AC23="","Not added",AC23),IF(E23="S5 Assembly",IF(AH23="","Not added",AH23),IF(E23="S6 Bring-up",IF(AM23="","Not added",AM23),IF(AR23="","Not added",AR23)))))))))</f>
        <v/>
      </c>
      <c r="H23" s="32" t="str">
        <f aca="true">IF($C23="","",IF(OR(F23="Completed",F23="Cancelled"),"",IF(NOT(ISNUMBER(G23)),"No date set",IF(TODAY()&gt;G23,TODAY()-G23&amp;" days late",G23-TODAY()&amp;" days left"))))</f>
        <v/>
      </c>
      <c r="I23" s="31" t="str">
        <f aca="false">IF($C23="","",COUNTIF(M23,"Completed")+COUNTIF(R23,"Completed")+COUNTIF(W23,"Completed")+COUNTIF(AB23,"Completed")+COUNTIF(AG23,"Completed")+COUNTIF(AL23,"Completed")+COUNTIF(AQ23,"Completed"))</f>
        <v/>
      </c>
      <c r="J23" s="31" t="str">
        <f aca="false">IF($C23="","",7-(COUNTIF(M23,"NA")+COUNTIF(R23,"NA")+COUNTIF(W23,"NA")+COUNTIF(AB23,"NA")+COUNTIF(AG23,"NA")+COUNTIF(AL23,"NA")+COUNTIF(AQ23,"NA")))</f>
        <v/>
      </c>
      <c r="K23" s="34" t="str">
        <f aca="false">IFERROR(I23/J23,"")</f>
        <v/>
      </c>
      <c r="L23" s="29"/>
      <c r="M23" s="35"/>
      <c r="N23" s="36"/>
      <c r="O23" s="36"/>
      <c r="P23" s="30"/>
      <c r="Q23" s="29"/>
      <c r="R23" s="35"/>
      <c r="S23" s="36"/>
      <c r="T23" s="36"/>
      <c r="U23" s="30"/>
      <c r="V23" s="29"/>
      <c r="W23" s="35"/>
      <c r="X23" s="36"/>
      <c r="Y23" s="36"/>
      <c r="Z23" s="30"/>
      <c r="AA23" s="29"/>
      <c r="AB23" s="35"/>
      <c r="AC23" s="36"/>
      <c r="AD23" s="36"/>
      <c r="AE23" s="30"/>
      <c r="AF23" s="29"/>
      <c r="AG23" s="35"/>
      <c r="AH23" s="36"/>
      <c r="AI23" s="36"/>
      <c r="AJ23" s="30"/>
      <c r="AK23" s="29"/>
      <c r="AL23" s="35"/>
      <c r="AM23" s="36"/>
      <c r="AN23" s="36"/>
      <c r="AO23" s="30"/>
      <c r="AP23" s="29"/>
      <c r="AQ23" s="35"/>
      <c r="AR23" s="36"/>
      <c r="AS23" s="36"/>
      <c r="AT23" s="30"/>
      <c r="AU23" s="29"/>
      <c r="AV23" s="29"/>
      <c r="AW23" s="29"/>
      <c r="AX23" s="37"/>
      <c r="AY23" s="39" t="str">
        <f aca="false">IF(AU23&lt;&gt;"Yes","",IF(AV23="","SELECT RE-ENTRY STAGE","MOVE TO ACTIVE at "&amp;AV23))</f>
        <v/>
      </c>
      <c r="AZ23" s="40" t="str">
        <f aca="false">IF(AU23="Yes",COUNTIF($AU$6:AU23,"Yes"),"")</f>
        <v/>
      </c>
      <c r="BA23" s="29"/>
      <c r="BB23" s="38" t="str">
        <f aca="false">IF($C23="","",IF(OR(F23="Completed",F23="Cancelled"),"",IF(AND(OR(F23="On Hold",ISNUMBER(VALUE(LEFT(H23,2)))),BA23=""),"Reason not given","")))</f>
        <v/>
      </c>
      <c r="BC23" s="30"/>
    </row>
    <row r="24" customFormat="false" ht="19.5" hidden="false" customHeight="true" outlineLevel="0" collapsed="false">
      <c r="A24" s="28" t="str">
        <f aca="false">IF($C24="","",COUNTA($C$6:$C24))</f>
        <v/>
      </c>
      <c r="B24" s="29"/>
      <c r="C24" s="30"/>
      <c r="D24" s="29"/>
      <c r="E24" s="31" t="str">
        <f aca="false">IF($C24="","",IF(NOT(OR(M24="Completed",M24="NA",M24="Cancelled")),"S1 Schematic",IF(NOT(OR(R24="Completed",R24="NA",R24="Cancelled")),"S2 PCB Layout",IF(NOT(OR(W24="Completed",W24="NA",W24="Cancelled")),"S3 SI &amp; PI",IF(NOT(OR(AB24="Completed",AB24="NA",AB24="Cancelled")),"S4 Bare-PCB Fab",IF(NOT(OR(AG24="Completed",AG24="NA",AG24="Cancelled")),"S5 Assembly",IF(NOT(OR(AL24="Completed",AL24="NA",AL24="Cancelled")),"S6 Bring-up",IF(NOT(OR(AQ24="Completed",AQ24="NA",AQ24="Cancelled")),"S7 BOM Procurement","All Stages Closed"))))))))</f>
        <v/>
      </c>
      <c r="F24" s="32" t="str">
        <f aca="false">IF($C24="","",IF(COUNTIF(M24,"Cancelled")+COUNTIF(R24,"Cancelled")+COUNTIF(W24,"Cancelled")+COUNTIF(AB24,"Cancelled")+COUNTIF(AG24,"Cancelled")+COUNTIF(AL24,"Cancelled")+COUNTIF(AQ24,"Cancelled")&gt;0,"Cancelled",IF(E24="All Stages Closed","Completed",IF(E24="S1 Schematic",M24,IF(E24="S2 PCB Layout",R24,IF(E24="S3 SI &amp; PI",W24,IF(E24="S4 Bare-PCB Fab",AB24,IF(E24="S5 Assembly",AG24,IF(E24="S6 Bring-up",AL24,AQ24)))))))))</f>
        <v/>
      </c>
      <c r="G24" s="33" t="str">
        <f aca="false">IF($C24="","",IF(E24="All Stages Closed","",IF(E24="S1 Schematic",IF(N24="","Not added",N24),IF(E24="S2 PCB Layout",IF(S24="","Not added",S24),IF(E24="S3 SI &amp; PI",IF(X24="","Not added",X24),IF(E24="S4 Bare-PCB Fab",IF(AC24="","Not added",AC24),IF(E24="S5 Assembly",IF(AH24="","Not added",AH24),IF(E24="S6 Bring-up",IF(AM24="","Not added",AM24),IF(AR24="","Not added",AR24)))))))))</f>
        <v/>
      </c>
      <c r="H24" s="32" t="str">
        <f aca="true">IF($C24="","",IF(OR(F24="Completed",F24="Cancelled"),"",IF(NOT(ISNUMBER(G24)),"No date set",IF(TODAY()&gt;G24,TODAY()-G24&amp;" days late",G24-TODAY()&amp;" days left"))))</f>
        <v/>
      </c>
      <c r="I24" s="31" t="str">
        <f aca="false">IF($C24="","",COUNTIF(M24,"Completed")+COUNTIF(R24,"Completed")+COUNTIF(W24,"Completed")+COUNTIF(AB24,"Completed")+COUNTIF(AG24,"Completed")+COUNTIF(AL24,"Completed")+COUNTIF(AQ24,"Completed"))</f>
        <v/>
      </c>
      <c r="J24" s="31" t="str">
        <f aca="false">IF($C24="","",7-(COUNTIF(M24,"NA")+COUNTIF(R24,"NA")+COUNTIF(W24,"NA")+COUNTIF(AB24,"NA")+COUNTIF(AG24,"NA")+COUNTIF(AL24,"NA")+COUNTIF(AQ24,"NA")))</f>
        <v/>
      </c>
      <c r="K24" s="34" t="str">
        <f aca="false">IFERROR(I24/J24,"")</f>
        <v/>
      </c>
      <c r="L24" s="29"/>
      <c r="M24" s="35"/>
      <c r="N24" s="36"/>
      <c r="O24" s="36"/>
      <c r="P24" s="30"/>
      <c r="Q24" s="29"/>
      <c r="R24" s="35"/>
      <c r="S24" s="36"/>
      <c r="T24" s="36"/>
      <c r="U24" s="30"/>
      <c r="V24" s="29"/>
      <c r="W24" s="35"/>
      <c r="X24" s="36"/>
      <c r="Y24" s="36"/>
      <c r="Z24" s="30"/>
      <c r="AA24" s="29"/>
      <c r="AB24" s="35"/>
      <c r="AC24" s="36"/>
      <c r="AD24" s="36"/>
      <c r="AE24" s="30"/>
      <c r="AF24" s="29"/>
      <c r="AG24" s="35"/>
      <c r="AH24" s="36"/>
      <c r="AI24" s="36"/>
      <c r="AJ24" s="30"/>
      <c r="AK24" s="29"/>
      <c r="AL24" s="35"/>
      <c r="AM24" s="36"/>
      <c r="AN24" s="36"/>
      <c r="AO24" s="30"/>
      <c r="AP24" s="29"/>
      <c r="AQ24" s="35"/>
      <c r="AR24" s="36"/>
      <c r="AS24" s="36"/>
      <c r="AT24" s="30"/>
      <c r="AU24" s="29"/>
      <c r="AV24" s="29"/>
      <c r="AW24" s="29"/>
      <c r="AX24" s="37"/>
      <c r="AY24" s="39" t="str">
        <f aca="false">IF(AU24&lt;&gt;"Yes","",IF(AV24="","SELECT RE-ENTRY STAGE","MOVE TO ACTIVE at "&amp;AV24))</f>
        <v/>
      </c>
      <c r="AZ24" s="40" t="str">
        <f aca="false">IF(AU24="Yes",COUNTIF($AU$6:AU24,"Yes"),"")</f>
        <v/>
      </c>
      <c r="BA24" s="29"/>
      <c r="BB24" s="38" t="str">
        <f aca="false">IF($C24="","",IF(OR(F24="Completed",F24="Cancelled"),"",IF(AND(OR(F24="On Hold",ISNUMBER(VALUE(LEFT(H24,2)))),BA24=""),"Reason not given","")))</f>
        <v/>
      </c>
      <c r="BC24" s="30"/>
    </row>
    <row r="25" customFormat="false" ht="19.5" hidden="false" customHeight="true" outlineLevel="0" collapsed="false">
      <c r="A25" s="28" t="str">
        <f aca="false">IF($C25="","",COUNTA($C$6:$C25))</f>
        <v/>
      </c>
      <c r="B25" s="29"/>
      <c r="C25" s="30"/>
      <c r="D25" s="29"/>
      <c r="E25" s="31" t="str">
        <f aca="false">IF($C25="","",IF(NOT(OR(M25="Completed",M25="NA",M25="Cancelled")),"S1 Schematic",IF(NOT(OR(R25="Completed",R25="NA",R25="Cancelled")),"S2 PCB Layout",IF(NOT(OR(W25="Completed",W25="NA",W25="Cancelled")),"S3 SI &amp; PI",IF(NOT(OR(AB25="Completed",AB25="NA",AB25="Cancelled")),"S4 Bare-PCB Fab",IF(NOT(OR(AG25="Completed",AG25="NA",AG25="Cancelled")),"S5 Assembly",IF(NOT(OR(AL25="Completed",AL25="NA",AL25="Cancelled")),"S6 Bring-up",IF(NOT(OR(AQ25="Completed",AQ25="NA",AQ25="Cancelled")),"S7 BOM Procurement","All Stages Closed"))))))))</f>
        <v/>
      </c>
      <c r="F25" s="32" t="str">
        <f aca="false">IF($C25="","",IF(COUNTIF(M25,"Cancelled")+COUNTIF(R25,"Cancelled")+COUNTIF(W25,"Cancelled")+COUNTIF(AB25,"Cancelled")+COUNTIF(AG25,"Cancelled")+COUNTIF(AL25,"Cancelled")+COUNTIF(AQ25,"Cancelled")&gt;0,"Cancelled",IF(E25="All Stages Closed","Completed",IF(E25="S1 Schematic",M25,IF(E25="S2 PCB Layout",R25,IF(E25="S3 SI &amp; PI",W25,IF(E25="S4 Bare-PCB Fab",AB25,IF(E25="S5 Assembly",AG25,IF(E25="S6 Bring-up",AL25,AQ25)))))))))</f>
        <v/>
      </c>
      <c r="G25" s="33" t="str">
        <f aca="false">IF($C25="","",IF(E25="All Stages Closed","",IF(E25="S1 Schematic",IF(N25="","Not added",N25),IF(E25="S2 PCB Layout",IF(S25="","Not added",S25),IF(E25="S3 SI &amp; PI",IF(X25="","Not added",X25),IF(E25="S4 Bare-PCB Fab",IF(AC25="","Not added",AC25),IF(E25="S5 Assembly",IF(AH25="","Not added",AH25),IF(E25="S6 Bring-up",IF(AM25="","Not added",AM25),IF(AR25="","Not added",AR25)))))))))</f>
        <v/>
      </c>
      <c r="H25" s="32" t="str">
        <f aca="true">IF($C25="","",IF(OR(F25="Completed",F25="Cancelled"),"",IF(NOT(ISNUMBER(G25)),"No date set",IF(TODAY()&gt;G25,TODAY()-G25&amp;" days late",G25-TODAY()&amp;" days left"))))</f>
        <v/>
      </c>
      <c r="I25" s="31" t="str">
        <f aca="false">IF($C25="","",COUNTIF(M25,"Completed")+COUNTIF(R25,"Completed")+COUNTIF(W25,"Completed")+COUNTIF(AB25,"Completed")+COUNTIF(AG25,"Completed")+COUNTIF(AL25,"Completed")+COUNTIF(AQ25,"Completed"))</f>
        <v/>
      </c>
      <c r="J25" s="31" t="str">
        <f aca="false">IF($C25="","",7-(COUNTIF(M25,"NA")+COUNTIF(R25,"NA")+COUNTIF(W25,"NA")+COUNTIF(AB25,"NA")+COUNTIF(AG25,"NA")+COUNTIF(AL25,"NA")+COUNTIF(AQ25,"NA")))</f>
        <v/>
      </c>
      <c r="K25" s="34" t="str">
        <f aca="false">IFERROR(I25/J25,"")</f>
        <v/>
      </c>
      <c r="L25" s="29"/>
      <c r="M25" s="35"/>
      <c r="N25" s="36"/>
      <c r="O25" s="36"/>
      <c r="P25" s="30"/>
      <c r="Q25" s="29"/>
      <c r="R25" s="35"/>
      <c r="S25" s="36"/>
      <c r="T25" s="36"/>
      <c r="U25" s="30"/>
      <c r="V25" s="29"/>
      <c r="W25" s="35"/>
      <c r="X25" s="36"/>
      <c r="Y25" s="36"/>
      <c r="Z25" s="30"/>
      <c r="AA25" s="29"/>
      <c r="AB25" s="35"/>
      <c r="AC25" s="36"/>
      <c r="AD25" s="36"/>
      <c r="AE25" s="30"/>
      <c r="AF25" s="29"/>
      <c r="AG25" s="35"/>
      <c r="AH25" s="36"/>
      <c r="AI25" s="36"/>
      <c r="AJ25" s="30"/>
      <c r="AK25" s="29"/>
      <c r="AL25" s="35"/>
      <c r="AM25" s="36"/>
      <c r="AN25" s="36"/>
      <c r="AO25" s="30"/>
      <c r="AP25" s="29"/>
      <c r="AQ25" s="35"/>
      <c r="AR25" s="36"/>
      <c r="AS25" s="36"/>
      <c r="AT25" s="30"/>
      <c r="AU25" s="29"/>
      <c r="AV25" s="29"/>
      <c r="AW25" s="29"/>
      <c r="AX25" s="37"/>
      <c r="AY25" s="39" t="str">
        <f aca="false">IF(AU25&lt;&gt;"Yes","",IF(AV25="","SELECT RE-ENTRY STAGE","MOVE TO ACTIVE at "&amp;AV25))</f>
        <v/>
      </c>
      <c r="AZ25" s="40" t="str">
        <f aca="false">IF(AU25="Yes",COUNTIF($AU$6:AU25,"Yes"),"")</f>
        <v/>
      </c>
      <c r="BA25" s="29"/>
      <c r="BB25" s="38" t="str">
        <f aca="false">IF($C25="","",IF(OR(F25="Completed",F25="Cancelled"),"",IF(AND(OR(F25="On Hold",ISNUMBER(VALUE(LEFT(H25,2)))),BA25=""),"Reason not given","")))</f>
        <v/>
      </c>
      <c r="BC25" s="30"/>
    </row>
    <row r="26" customFormat="false" ht="19.5" hidden="false" customHeight="true" outlineLevel="0" collapsed="false">
      <c r="A26" s="28" t="str">
        <f aca="false">IF($C26="","",COUNTA($C$6:$C26))</f>
        <v/>
      </c>
      <c r="B26" s="29"/>
      <c r="C26" s="30"/>
      <c r="D26" s="29"/>
      <c r="E26" s="31" t="str">
        <f aca="false">IF($C26="","",IF(NOT(OR(M26="Completed",M26="NA",M26="Cancelled")),"S1 Schematic",IF(NOT(OR(R26="Completed",R26="NA",R26="Cancelled")),"S2 PCB Layout",IF(NOT(OR(W26="Completed",W26="NA",W26="Cancelled")),"S3 SI &amp; PI",IF(NOT(OR(AB26="Completed",AB26="NA",AB26="Cancelled")),"S4 Bare-PCB Fab",IF(NOT(OR(AG26="Completed",AG26="NA",AG26="Cancelled")),"S5 Assembly",IF(NOT(OR(AL26="Completed",AL26="NA",AL26="Cancelled")),"S6 Bring-up",IF(NOT(OR(AQ26="Completed",AQ26="NA",AQ26="Cancelled")),"S7 BOM Procurement","All Stages Closed"))))))))</f>
        <v/>
      </c>
      <c r="F26" s="32" t="str">
        <f aca="false">IF($C26="","",IF(COUNTIF(M26,"Cancelled")+COUNTIF(R26,"Cancelled")+COUNTIF(W26,"Cancelled")+COUNTIF(AB26,"Cancelled")+COUNTIF(AG26,"Cancelled")+COUNTIF(AL26,"Cancelled")+COUNTIF(AQ26,"Cancelled")&gt;0,"Cancelled",IF(E26="All Stages Closed","Completed",IF(E26="S1 Schematic",M26,IF(E26="S2 PCB Layout",R26,IF(E26="S3 SI &amp; PI",W26,IF(E26="S4 Bare-PCB Fab",AB26,IF(E26="S5 Assembly",AG26,IF(E26="S6 Bring-up",AL26,AQ26)))))))))</f>
        <v/>
      </c>
      <c r="G26" s="33" t="str">
        <f aca="false">IF($C26="","",IF(E26="All Stages Closed","",IF(E26="S1 Schematic",IF(N26="","Not added",N26),IF(E26="S2 PCB Layout",IF(S26="","Not added",S26),IF(E26="S3 SI &amp; PI",IF(X26="","Not added",X26),IF(E26="S4 Bare-PCB Fab",IF(AC26="","Not added",AC26),IF(E26="S5 Assembly",IF(AH26="","Not added",AH26),IF(E26="S6 Bring-up",IF(AM26="","Not added",AM26),IF(AR26="","Not added",AR26)))))))))</f>
        <v/>
      </c>
      <c r="H26" s="32" t="str">
        <f aca="true">IF($C26="","",IF(OR(F26="Completed",F26="Cancelled"),"",IF(NOT(ISNUMBER(G26)),"No date set",IF(TODAY()&gt;G26,TODAY()-G26&amp;" days late",G26-TODAY()&amp;" days left"))))</f>
        <v/>
      </c>
      <c r="I26" s="31" t="str">
        <f aca="false">IF($C26="","",COUNTIF(M26,"Completed")+COUNTIF(R26,"Completed")+COUNTIF(W26,"Completed")+COUNTIF(AB26,"Completed")+COUNTIF(AG26,"Completed")+COUNTIF(AL26,"Completed")+COUNTIF(AQ26,"Completed"))</f>
        <v/>
      </c>
      <c r="J26" s="31" t="str">
        <f aca="false">IF($C26="","",7-(COUNTIF(M26,"NA")+COUNTIF(R26,"NA")+COUNTIF(W26,"NA")+COUNTIF(AB26,"NA")+COUNTIF(AG26,"NA")+COUNTIF(AL26,"NA")+COUNTIF(AQ26,"NA")))</f>
        <v/>
      </c>
      <c r="K26" s="34" t="str">
        <f aca="false">IFERROR(I26/J26,"")</f>
        <v/>
      </c>
      <c r="L26" s="29"/>
      <c r="M26" s="35"/>
      <c r="N26" s="36"/>
      <c r="O26" s="36"/>
      <c r="P26" s="30"/>
      <c r="Q26" s="29"/>
      <c r="R26" s="35"/>
      <c r="S26" s="36"/>
      <c r="T26" s="36"/>
      <c r="U26" s="30"/>
      <c r="V26" s="29"/>
      <c r="W26" s="35"/>
      <c r="X26" s="36"/>
      <c r="Y26" s="36"/>
      <c r="Z26" s="30"/>
      <c r="AA26" s="29"/>
      <c r="AB26" s="35"/>
      <c r="AC26" s="36"/>
      <c r="AD26" s="36"/>
      <c r="AE26" s="30"/>
      <c r="AF26" s="29"/>
      <c r="AG26" s="35"/>
      <c r="AH26" s="36"/>
      <c r="AI26" s="36"/>
      <c r="AJ26" s="30"/>
      <c r="AK26" s="29"/>
      <c r="AL26" s="35"/>
      <c r="AM26" s="36"/>
      <c r="AN26" s="36"/>
      <c r="AO26" s="30"/>
      <c r="AP26" s="29"/>
      <c r="AQ26" s="35"/>
      <c r="AR26" s="36"/>
      <c r="AS26" s="36"/>
      <c r="AT26" s="30"/>
      <c r="AU26" s="29"/>
      <c r="AV26" s="29"/>
      <c r="AW26" s="29"/>
      <c r="AX26" s="37"/>
      <c r="AY26" s="39" t="str">
        <f aca="false">IF(AU26&lt;&gt;"Yes","",IF(AV26="","SELECT RE-ENTRY STAGE","MOVE TO ACTIVE at "&amp;AV26))</f>
        <v/>
      </c>
      <c r="AZ26" s="40" t="str">
        <f aca="false">IF(AU26="Yes",COUNTIF($AU$6:AU26,"Yes"),"")</f>
        <v/>
      </c>
      <c r="BA26" s="29"/>
      <c r="BB26" s="38" t="str">
        <f aca="false">IF($C26="","",IF(OR(F26="Completed",F26="Cancelled"),"",IF(AND(OR(F26="On Hold",ISNUMBER(VALUE(LEFT(H26,2)))),BA26=""),"Reason not given","")))</f>
        <v/>
      </c>
      <c r="BC26" s="30"/>
    </row>
    <row r="27" customFormat="false" ht="19.5" hidden="false" customHeight="true" outlineLevel="0" collapsed="false">
      <c r="A27" s="28" t="str">
        <f aca="false">IF($C27="","",COUNTA($C$6:$C27))</f>
        <v/>
      </c>
      <c r="B27" s="29"/>
      <c r="C27" s="30"/>
      <c r="D27" s="29"/>
      <c r="E27" s="31" t="str">
        <f aca="false">IF($C27="","",IF(NOT(OR(M27="Completed",M27="NA",M27="Cancelled")),"S1 Schematic",IF(NOT(OR(R27="Completed",R27="NA",R27="Cancelled")),"S2 PCB Layout",IF(NOT(OR(W27="Completed",W27="NA",W27="Cancelled")),"S3 SI &amp; PI",IF(NOT(OR(AB27="Completed",AB27="NA",AB27="Cancelled")),"S4 Bare-PCB Fab",IF(NOT(OR(AG27="Completed",AG27="NA",AG27="Cancelled")),"S5 Assembly",IF(NOT(OR(AL27="Completed",AL27="NA",AL27="Cancelled")),"S6 Bring-up",IF(NOT(OR(AQ27="Completed",AQ27="NA",AQ27="Cancelled")),"S7 BOM Procurement","All Stages Closed"))))))))</f>
        <v/>
      </c>
      <c r="F27" s="32" t="str">
        <f aca="false">IF($C27="","",IF(COUNTIF(M27,"Cancelled")+COUNTIF(R27,"Cancelled")+COUNTIF(W27,"Cancelled")+COUNTIF(AB27,"Cancelled")+COUNTIF(AG27,"Cancelled")+COUNTIF(AL27,"Cancelled")+COUNTIF(AQ27,"Cancelled")&gt;0,"Cancelled",IF(E27="All Stages Closed","Completed",IF(E27="S1 Schematic",M27,IF(E27="S2 PCB Layout",R27,IF(E27="S3 SI &amp; PI",W27,IF(E27="S4 Bare-PCB Fab",AB27,IF(E27="S5 Assembly",AG27,IF(E27="S6 Bring-up",AL27,AQ27)))))))))</f>
        <v/>
      </c>
      <c r="G27" s="33" t="str">
        <f aca="false">IF($C27="","",IF(E27="All Stages Closed","",IF(E27="S1 Schematic",IF(N27="","Not added",N27),IF(E27="S2 PCB Layout",IF(S27="","Not added",S27),IF(E27="S3 SI &amp; PI",IF(X27="","Not added",X27),IF(E27="S4 Bare-PCB Fab",IF(AC27="","Not added",AC27),IF(E27="S5 Assembly",IF(AH27="","Not added",AH27),IF(E27="S6 Bring-up",IF(AM27="","Not added",AM27),IF(AR27="","Not added",AR27)))))))))</f>
        <v/>
      </c>
      <c r="H27" s="32" t="str">
        <f aca="true">IF($C27="","",IF(OR(F27="Completed",F27="Cancelled"),"",IF(NOT(ISNUMBER(G27)),"No date set",IF(TODAY()&gt;G27,TODAY()-G27&amp;" days late",G27-TODAY()&amp;" days left"))))</f>
        <v/>
      </c>
      <c r="I27" s="31" t="str">
        <f aca="false">IF($C27="","",COUNTIF(M27,"Completed")+COUNTIF(R27,"Completed")+COUNTIF(W27,"Completed")+COUNTIF(AB27,"Completed")+COUNTIF(AG27,"Completed")+COUNTIF(AL27,"Completed")+COUNTIF(AQ27,"Completed"))</f>
        <v/>
      </c>
      <c r="J27" s="31" t="str">
        <f aca="false">IF($C27="","",7-(COUNTIF(M27,"NA")+COUNTIF(R27,"NA")+COUNTIF(W27,"NA")+COUNTIF(AB27,"NA")+COUNTIF(AG27,"NA")+COUNTIF(AL27,"NA")+COUNTIF(AQ27,"NA")))</f>
        <v/>
      </c>
      <c r="K27" s="34" t="str">
        <f aca="false">IFERROR(I27/J27,"")</f>
        <v/>
      </c>
      <c r="L27" s="29"/>
      <c r="M27" s="35"/>
      <c r="N27" s="36"/>
      <c r="O27" s="36"/>
      <c r="P27" s="30"/>
      <c r="Q27" s="29"/>
      <c r="R27" s="35"/>
      <c r="S27" s="36"/>
      <c r="T27" s="36"/>
      <c r="U27" s="30"/>
      <c r="V27" s="29"/>
      <c r="W27" s="35"/>
      <c r="X27" s="36"/>
      <c r="Y27" s="36"/>
      <c r="Z27" s="30"/>
      <c r="AA27" s="29"/>
      <c r="AB27" s="35"/>
      <c r="AC27" s="36"/>
      <c r="AD27" s="36"/>
      <c r="AE27" s="30"/>
      <c r="AF27" s="29"/>
      <c r="AG27" s="35"/>
      <c r="AH27" s="36"/>
      <c r="AI27" s="36"/>
      <c r="AJ27" s="30"/>
      <c r="AK27" s="29"/>
      <c r="AL27" s="35"/>
      <c r="AM27" s="36"/>
      <c r="AN27" s="36"/>
      <c r="AO27" s="30"/>
      <c r="AP27" s="29"/>
      <c r="AQ27" s="35"/>
      <c r="AR27" s="36"/>
      <c r="AS27" s="36"/>
      <c r="AT27" s="30"/>
      <c r="AU27" s="29"/>
      <c r="AV27" s="29"/>
      <c r="AW27" s="29"/>
      <c r="AX27" s="37"/>
      <c r="AY27" s="39" t="str">
        <f aca="false">IF(AU27&lt;&gt;"Yes","",IF(AV27="","SELECT RE-ENTRY STAGE","MOVE TO ACTIVE at "&amp;AV27))</f>
        <v/>
      </c>
      <c r="AZ27" s="40" t="str">
        <f aca="false">IF(AU27="Yes",COUNTIF($AU$6:AU27,"Yes"),"")</f>
        <v/>
      </c>
      <c r="BA27" s="29"/>
      <c r="BB27" s="38" t="str">
        <f aca="false">IF($C27="","",IF(OR(F27="Completed",F27="Cancelled"),"",IF(AND(OR(F27="On Hold",ISNUMBER(VALUE(LEFT(H27,2)))),BA27=""),"Reason not given","")))</f>
        <v/>
      </c>
      <c r="BC27" s="30"/>
    </row>
    <row r="28" customFormat="false" ht="19.5" hidden="false" customHeight="true" outlineLevel="0" collapsed="false">
      <c r="A28" s="28" t="str">
        <f aca="false">IF($C28="","",COUNTA($C$6:$C28))</f>
        <v/>
      </c>
      <c r="B28" s="29"/>
      <c r="C28" s="30"/>
      <c r="D28" s="29"/>
      <c r="E28" s="31" t="str">
        <f aca="false">IF($C28="","",IF(NOT(OR(M28="Completed",M28="NA",M28="Cancelled")),"S1 Schematic",IF(NOT(OR(R28="Completed",R28="NA",R28="Cancelled")),"S2 PCB Layout",IF(NOT(OR(W28="Completed",W28="NA",W28="Cancelled")),"S3 SI &amp; PI",IF(NOT(OR(AB28="Completed",AB28="NA",AB28="Cancelled")),"S4 Bare-PCB Fab",IF(NOT(OR(AG28="Completed",AG28="NA",AG28="Cancelled")),"S5 Assembly",IF(NOT(OR(AL28="Completed",AL28="NA",AL28="Cancelled")),"S6 Bring-up",IF(NOT(OR(AQ28="Completed",AQ28="NA",AQ28="Cancelled")),"S7 BOM Procurement","All Stages Closed"))))))))</f>
        <v/>
      </c>
      <c r="F28" s="32" t="str">
        <f aca="false">IF($C28="","",IF(COUNTIF(M28,"Cancelled")+COUNTIF(R28,"Cancelled")+COUNTIF(W28,"Cancelled")+COUNTIF(AB28,"Cancelled")+COUNTIF(AG28,"Cancelled")+COUNTIF(AL28,"Cancelled")+COUNTIF(AQ28,"Cancelled")&gt;0,"Cancelled",IF(E28="All Stages Closed","Completed",IF(E28="S1 Schematic",M28,IF(E28="S2 PCB Layout",R28,IF(E28="S3 SI &amp; PI",W28,IF(E28="S4 Bare-PCB Fab",AB28,IF(E28="S5 Assembly",AG28,IF(E28="S6 Bring-up",AL28,AQ28)))))))))</f>
        <v/>
      </c>
      <c r="G28" s="33" t="str">
        <f aca="false">IF($C28="","",IF(E28="All Stages Closed","",IF(E28="S1 Schematic",IF(N28="","Not added",N28),IF(E28="S2 PCB Layout",IF(S28="","Not added",S28),IF(E28="S3 SI &amp; PI",IF(X28="","Not added",X28),IF(E28="S4 Bare-PCB Fab",IF(AC28="","Not added",AC28),IF(E28="S5 Assembly",IF(AH28="","Not added",AH28),IF(E28="S6 Bring-up",IF(AM28="","Not added",AM28),IF(AR28="","Not added",AR28)))))))))</f>
        <v/>
      </c>
      <c r="H28" s="32" t="str">
        <f aca="true">IF($C28="","",IF(OR(F28="Completed",F28="Cancelled"),"",IF(NOT(ISNUMBER(G28)),"No date set",IF(TODAY()&gt;G28,TODAY()-G28&amp;" days late",G28-TODAY()&amp;" days left"))))</f>
        <v/>
      </c>
      <c r="I28" s="31" t="str">
        <f aca="false">IF($C28="","",COUNTIF(M28,"Completed")+COUNTIF(R28,"Completed")+COUNTIF(W28,"Completed")+COUNTIF(AB28,"Completed")+COUNTIF(AG28,"Completed")+COUNTIF(AL28,"Completed")+COUNTIF(AQ28,"Completed"))</f>
        <v/>
      </c>
      <c r="J28" s="31" t="str">
        <f aca="false">IF($C28="","",7-(COUNTIF(M28,"NA")+COUNTIF(R28,"NA")+COUNTIF(W28,"NA")+COUNTIF(AB28,"NA")+COUNTIF(AG28,"NA")+COUNTIF(AL28,"NA")+COUNTIF(AQ28,"NA")))</f>
        <v/>
      </c>
      <c r="K28" s="34" t="str">
        <f aca="false">IFERROR(I28/J28,"")</f>
        <v/>
      </c>
      <c r="L28" s="29"/>
      <c r="M28" s="35"/>
      <c r="N28" s="36"/>
      <c r="O28" s="36"/>
      <c r="P28" s="30"/>
      <c r="Q28" s="29"/>
      <c r="R28" s="35"/>
      <c r="S28" s="36"/>
      <c r="T28" s="36"/>
      <c r="U28" s="30"/>
      <c r="V28" s="29"/>
      <c r="W28" s="35"/>
      <c r="X28" s="36"/>
      <c r="Y28" s="36"/>
      <c r="Z28" s="30"/>
      <c r="AA28" s="29"/>
      <c r="AB28" s="35"/>
      <c r="AC28" s="36"/>
      <c r="AD28" s="36"/>
      <c r="AE28" s="30"/>
      <c r="AF28" s="29"/>
      <c r="AG28" s="35"/>
      <c r="AH28" s="36"/>
      <c r="AI28" s="36"/>
      <c r="AJ28" s="30"/>
      <c r="AK28" s="29"/>
      <c r="AL28" s="35"/>
      <c r="AM28" s="36"/>
      <c r="AN28" s="36"/>
      <c r="AO28" s="30"/>
      <c r="AP28" s="29"/>
      <c r="AQ28" s="35"/>
      <c r="AR28" s="36"/>
      <c r="AS28" s="36"/>
      <c r="AT28" s="30"/>
      <c r="AU28" s="29"/>
      <c r="AV28" s="29"/>
      <c r="AW28" s="29"/>
      <c r="AX28" s="37"/>
      <c r="AY28" s="39" t="str">
        <f aca="false">IF(AU28&lt;&gt;"Yes","",IF(AV28="","SELECT RE-ENTRY STAGE","MOVE TO ACTIVE at "&amp;AV28))</f>
        <v/>
      </c>
      <c r="AZ28" s="40" t="str">
        <f aca="false">IF(AU28="Yes",COUNTIF($AU$6:AU28,"Yes"),"")</f>
        <v/>
      </c>
      <c r="BA28" s="29"/>
      <c r="BB28" s="38" t="str">
        <f aca="false">IF($C28="","",IF(OR(F28="Completed",F28="Cancelled"),"",IF(AND(OR(F28="On Hold",ISNUMBER(VALUE(LEFT(H28,2)))),BA28=""),"Reason not given","")))</f>
        <v/>
      </c>
      <c r="BC28" s="30"/>
    </row>
    <row r="29" customFormat="false" ht="19.5" hidden="false" customHeight="true" outlineLevel="0" collapsed="false">
      <c r="A29" s="28" t="str">
        <f aca="false">IF($C29="","",COUNTA($C$6:$C29))</f>
        <v/>
      </c>
      <c r="B29" s="29"/>
      <c r="C29" s="30"/>
      <c r="D29" s="29"/>
      <c r="E29" s="31" t="str">
        <f aca="false">IF($C29="","",IF(NOT(OR(M29="Completed",M29="NA",M29="Cancelled")),"S1 Schematic",IF(NOT(OR(R29="Completed",R29="NA",R29="Cancelled")),"S2 PCB Layout",IF(NOT(OR(W29="Completed",W29="NA",W29="Cancelled")),"S3 SI &amp; PI",IF(NOT(OR(AB29="Completed",AB29="NA",AB29="Cancelled")),"S4 Bare-PCB Fab",IF(NOT(OR(AG29="Completed",AG29="NA",AG29="Cancelled")),"S5 Assembly",IF(NOT(OR(AL29="Completed",AL29="NA",AL29="Cancelled")),"S6 Bring-up",IF(NOT(OR(AQ29="Completed",AQ29="NA",AQ29="Cancelled")),"S7 BOM Procurement","All Stages Closed"))))))))</f>
        <v/>
      </c>
      <c r="F29" s="32" t="str">
        <f aca="false">IF($C29="","",IF(COUNTIF(M29,"Cancelled")+COUNTIF(R29,"Cancelled")+COUNTIF(W29,"Cancelled")+COUNTIF(AB29,"Cancelled")+COUNTIF(AG29,"Cancelled")+COUNTIF(AL29,"Cancelled")+COUNTIF(AQ29,"Cancelled")&gt;0,"Cancelled",IF(E29="All Stages Closed","Completed",IF(E29="S1 Schematic",M29,IF(E29="S2 PCB Layout",R29,IF(E29="S3 SI &amp; PI",W29,IF(E29="S4 Bare-PCB Fab",AB29,IF(E29="S5 Assembly",AG29,IF(E29="S6 Bring-up",AL29,AQ29)))))))))</f>
        <v/>
      </c>
      <c r="G29" s="33" t="str">
        <f aca="false">IF($C29="","",IF(E29="All Stages Closed","",IF(E29="S1 Schematic",IF(N29="","Not added",N29),IF(E29="S2 PCB Layout",IF(S29="","Not added",S29),IF(E29="S3 SI &amp; PI",IF(X29="","Not added",X29),IF(E29="S4 Bare-PCB Fab",IF(AC29="","Not added",AC29),IF(E29="S5 Assembly",IF(AH29="","Not added",AH29),IF(E29="S6 Bring-up",IF(AM29="","Not added",AM29),IF(AR29="","Not added",AR29)))))))))</f>
        <v/>
      </c>
      <c r="H29" s="32" t="str">
        <f aca="true">IF($C29="","",IF(OR(F29="Completed",F29="Cancelled"),"",IF(NOT(ISNUMBER(G29)),"No date set",IF(TODAY()&gt;G29,TODAY()-G29&amp;" days late",G29-TODAY()&amp;" days left"))))</f>
        <v/>
      </c>
      <c r="I29" s="31" t="str">
        <f aca="false">IF($C29="","",COUNTIF(M29,"Completed")+COUNTIF(R29,"Completed")+COUNTIF(W29,"Completed")+COUNTIF(AB29,"Completed")+COUNTIF(AG29,"Completed")+COUNTIF(AL29,"Completed")+COUNTIF(AQ29,"Completed"))</f>
        <v/>
      </c>
      <c r="J29" s="31" t="str">
        <f aca="false">IF($C29="","",7-(COUNTIF(M29,"NA")+COUNTIF(R29,"NA")+COUNTIF(W29,"NA")+COUNTIF(AB29,"NA")+COUNTIF(AG29,"NA")+COUNTIF(AL29,"NA")+COUNTIF(AQ29,"NA")))</f>
        <v/>
      </c>
      <c r="K29" s="34" t="str">
        <f aca="false">IFERROR(I29/J29,"")</f>
        <v/>
      </c>
      <c r="L29" s="29"/>
      <c r="M29" s="35"/>
      <c r="N29" s="36"/>
      <c r="O29" s="36"/>
      <c r="P29" s="30"/>
      <c r="Q29" s="29"/>
      <c r="R29" s="35"/>
      <c r="S29" s="36"/>
      <c r="T29" s="36"/>
      <c r="U29" s="30"/>
      <c r="V29" s="29"/>
      <c r="W29" s="35"/>
      <c r="X29" s="36"/>
      <c r="Y29" s="36"/>
      <c r="Z29" s="30"/>
      <c r="AA29" s="29"/>
      <c r="AB29" s="35"/>
      <c r="AC29" s="36"/>
      <c r="AD29" s="36"/>
      <c r="AE29" s="30"/>
      <c r="AF29" s="29"/>
      <c r="AG29" s="35"/>
      <c r="AH29" s="36"/>
      <c r="AI29" s="36"/>
      <c r="AJ29" s="30"/>
      <c r="AK29" s="29"/>
      <c r="AL29" s="35"/>
      <c r="AM29" s="36"/>
      <c r="AN29" s="36"/>
      <c r="AO29" s="30"/>
      <c r="AP29" s="29"/>
      <c r="AQ29" s="35"/>
      <c r="AR29" s="36"/>
      <c r="AS29" s="36"/>
      <c r="AT29" s="30"/>
      <c r="AU29" s="29"/>
      <c r="AV29" s="29"/>
      <c r="AW29" s="29"/>
      <c r="AX29" s="37"/>
      <c r="AY29" s="39" t="str">
        <f aca="false">IF(AU29&lt;&gt;"Yes","",IF(AV29="","SELECT RE-ENTRY STAGE","MOVE TO ACTIVE at "&amp;AV29))</f>
        <v/>
      </c>
      <c r="AZ29" s="40" t="str">
        <f aca="false">IF(AU29="Yes",COUNTIF($AU$6:AU29,"Yes"),"")</f>
        <v/>
      </c>
      <c r="BA29" s="29"/>
      <c r="BB29" s="38" t="str">
        <f aca="false">IF($C29="","",IF(OR(F29="Completed",F29="Cancelled"),"",IF(AND(OR(F29="On Hold",ISNUMBER(VALUE(LEFT(H29,2)))),BA29=""),"Reason not given","")))</f>
        <v/>
      </c>
      <c r="BC29" s="30"/>
    </row>
    <row r="30" customFormat="false" ht="19.5" hidden="false" customHeight="true" outlineLevel="0" collapsed="false">
      <c r="A30" s="28" t="str">
        <f aca="false">IF($C30="","",COUNTA($C$6:$C30))</f>
        <v/>
      </c>
      <c r="B30" s="29"/>
      <c r="C30" s="30"/>
      <c r="D30" s="29"/>
      <c r="E30" s="31" t="str">
        <f aca="false">IF($C30="","",IF(NOT(OR(M30="Completed",M30="NA",M30="Cancelled")),"S1 Schematic",IF(NOT(OR(R30="Completed",R30="NA",R30="Cancelled")),"S2 PCB Layout",IF(NOT(OR(W30="Completed",W30="NA",W30="Cancelled")),"S3 SI &amp; PI",IF(NOT(OR(AB30="Completed",AB30="NA",AB30="Cancelled")),"S4 Bare-PCB Fab",IF(NOT(OR(AG30="Completed",AG30="NA",AG30="Cancelled")),"S5 Assembly",IF(NOT(OR(AL30="Completed",AL30="NA",AL30="Cancelled")),"S6 Bring-up",IF(NOT(OR(AQ30="Completed",AQ30="NA",AQ30="Cancelled")),"S7 BOM Procurement","All Stages Closed"))))))))</f>
        <v/>
      </c>
      <c r="F30" s="32" t="str">
        <f aca="false">IF($C30="","",IF(COUNTIF(M30,"Cancelled")+COUNTIF(R30,"Cancelled")+COUNTIF(W30,"Cancelled")+COUNTIF(AB30,"Cancelled")+COUNTIF(AG30,"Cancelled")+COUNTIF(AL30,"Cancelled")+COUNTIF(AQ30,"Cancelled")&gt;0,"Cancelled",IF(E30="All Stages Closed","Completed",IF(E30="S1 Schematic",M30,IF(E30="S2 PCB Layout",R30,IF(E30="S3 SI &amp; PI",W30,IF(E30="S4 Bare-PCB Fab",AB30,IF(E30="S5 Assembly",AG30,IF(E30="S6 Bring-up",AL30,AQ30)))))))))</f>
        <v/>
      </c>
      <c r="G30" s="33" t="str">
        <f aca="false">IF($C30="","",IF(E30="All Stages Closed","",IF(E30="S1 Schematic",IF(N30="","Not added",N30),IF(E30="S2 PCB Layout",IF(S30="","Not added",S30),IF(E30="S3 SI &amp; PI",IF(X30="","Not added",X30),IF(E30="S4 Bare-PCB Fab",IF(AC30="","Not added",AC30),IF(E30="S5 Assembly",IF(AH30="","Not added",AH30),IF(E30="S6 Bring-up",IF(AM30="","Not added",AM30),IF(AR30="","Not added",AR30)))))))))</f>
        <v/>
      </c>
      <c r="H30" s="32" t="str">
        <f aca="true">IF($C30="","",IF(OR(F30="Completed",F30="Cancelled"),"",IF(NOT(ISNUMBER(G30)),"No date set",IF(TODAY()&gt;G30,TODAY()-G30&amp;" days late",G30-TODAY()&amp;" days left"))))</f>
        <v/>
      </c>
      <c r="I30" s="31" t="str">
        <f aca="false">IF($C30="","",COUNTIF(M30,"Completed")+COUNTIF(R30,"Completed")+COUNTIF(W30,"Completed")+COUNTIF(AB30,"Completed")+COUNTIF(AG30,"Completed")+COUNTIF(AL30,"Completed")+COUNTIF(AQ30,"Completed"))</f>
        <v/>
      </c>
      <c r="J30" s="31" t="str">
        <f aca="false">IF($C30="","",7-(COUNTIF(M30,"NA")+COUNTIF(R30,"NA")+COUNTIF(W30,"NA")+COUNTIF(AB30,"NA")+COUNTIF(AG30,"NA")+COUNTIF(AL30,"NA")+COUNTIF(AQ30,"NA")))</f>
        <v/>
      </c>
      <c r="K30" s="34" t="str">
        <f aca="false">IFERROR(I30/J30,"")</f>
        <v/>
      </c>
      <c r="L30" s="29"/>
      <c r="M30" s="35"/>
      <c r="N30" s="36"/>
      <c r="O30" s="36"/>
      <c r="P30" s="30"/>
      <c r="Q30" s="29"/>
      <c r="R30" s="35"/>
      <c r="S30" s="36"/>
      <c r="T30" s="36"/>
      <c r="U30" s="30"/>
      <c r="V30" s="29"/>
      <c r="W30" s="35"/>
      <c r="X30" s="36"/>
      <c r="Y30" s="36"/>
      <c r="Z30" s="30"/>
      <c r="AA30" s="29"/>
      <c r="AB30" s="35"/>
      <c r="AC30" s="36"/>
      <c r="AD30" s="36"/>
      <c r="AE30" s="30"/>
      <c r="AF30" s="29"/>
      <c r="AG30" s="35"/>
      <c r="AH30" s="36"/>
      <c r="AI30" s="36"/>
      <c r="AJ30" s="30"/>
      <c r="AK30" s="29"/>
      <c r="AL30" s="35"/>
      <c r="AM30" s="36"/>
      <c r="AN30" s="36"/>
      <c r="AO30" s="30"/>
      <c r="AP30" s="29"/>
      <c r="AQ30" s="35"/>
      <c r="AR30" s="36"/>
      <c r="AS30" s="36"/>
      <c r="AT30" s="30"/>
      <c r="AU30" s="29"/>
      <c r="AV30" s="29"/>
      <c r="AW30" s="29"/>
      <c r="AX30" s="37"/>
      <c r="AY30" s="39" t="str">
        <f aca="false">IF(AU30&lt;&gt;"Yes","",IF(AV30="","SELECT RE-ENTRY STAGE","MOVE TO ACTIVE at "&amp;AV30))</f>
        <v/>
      </c>
      <c r="AZ30" s="40" t="str">
        <f aca="false">IF(AU30="Yes",COUNTIF($AU$6:AU30,"Yes"),"")</f>
        <v/>
      </c>
      <c r="BA30" s="29"/>
      <c r="BB30" s="38" t="str">
        <f aca="false">IF($C30="","",IF(OR(F30="Completed",F30="Cancelled"),"",IF(AND(OR(F30="On Hold",ISNUMBER(VALUE(LEFT(H30,2)))),BA30=""),"Reason not given","")))</f>
        <v/>
      </c>
      <c r="BC30" s="30"/>
    </row>
    <row r="31" customFormat="false" ht="19.5" hidden="false" customHeight="true" outlineLevel="0" collapsed="false">
      <c r="A31" s="28" t="str">
        <f aca="false">IF($C31="","",COUNTA($C$6:$C31))</f>
        <v/>
      </c>
      <c r="B31" s="29"/>
      <c r="C31" s="30"/>
      <c r="D31" s="29"/>
      <c r="E31" s="31" t="str">
        <f aca="false">IF($C31="","",IF(NOT(OR(M31="Completed",M31="NA",M31="Cancelled")),"S1 Schematic",IF(NOT(OR(R31="Completed",R31="NA",R31="Cancelled")),"S2 PCB Layout",IF(NOT(OR(W31="Completed",W31="NA",W31="Cancelled")),"S3 SI &amp; PI",IF(NOT(OR(AB31="Completed",AB31="NA",AB31="Cancelled")),"S4 Bare-PCB Fab",IF(NOT(OR(AG31="Completed",AG31="NA",AG31="Cancelled")),"S5 Assembly",IF(NOT(OR(AL31="Completed",AL31="NA",AL31="Cancelled")),"S6 Bring-up",IF(NOT(OR(AQ31="Completed",AQ31="NA",AQ31="Cancelled")),"S7 BOM Procurement","All Stages Closed"))))))))</f>
        <v/>
      </c>
      <c r="F31" s="32" t="str">
        <f aca="false">IF($C31="","",IF(COUNTIF(M31,"Cancelled")+COUNTIF(R31,"Cancelled")+COUNTIF(W31,"Cancelled")+COUNTIF(AB31,"Cancelled")+COUNTIF(AG31,"Cancelled")+COUNTIF(AL31,"Cancelled")+COUNTIF(AQ31,"Cancelled")&gt;0,"Cancelled",IF(E31="All Stages Closed","Completed",IF(E31="S1 Schematic",M31,IF(E31="S2 PCB Layout",R31,IF(E31="S3 SI &amp; PI",W31,IF(E31="S4 Bare-PCB Fab",AB31,IF(E31="S5 Assembly",AG31,IF(E31="S6 Bring-up",AL31,AQ31)))))))))</f>
        <v/>
      </c>
      <c r="G31" s="33" t="str">
        <f aca="false">IF($C31="","",IF(E31="All Stages Closed","",IF(E31="S1 Schematic",IF(N31="","Not added",N31),IF(E31="S2 PCB Layout",IF(S31="","Not added",S31),IF(E31="S3 SI &amp; PI",IF(X31="","Not added",X31),IF(E31="S4 Bare-PCB Fab",IF(AC31="","Not added",AC31),IF(E31="S5 Assembly",IF(AH31="","Not added",AH31),IF(E31="S6 Bring-up",IF(AM31="","Not added",AM31),IF(AR31="","Not added",AR31)))))))))</f>
        <v/>
      </c>
      <c r="H31" s="32" t="str">
        <f aca="true">IF($C31="","",IF(OR(F31="Completed",F31="Cancelled"),"",IF(NOT(ISNUMBER(G31)),"No date set",IF(TODAY()&gt;G31,TODAY()-G31&amp;" days late",G31-TODAY()&amp;" days left"))))</f>
        <v/>
      </c>
      <c r="I31" s="31" t="str">
        <f aca="false">IF($C31="","",COUNTIF(M31,"Completed")+COUNTIF(R31,"Completed")+COUNTIF(W31,"Completed")+COUNTIF(AB31,"Completed")+COUNTIF(AG31,"Completed")+COUNTIF(AL31,"Completed")+COUNTIF(AQ31,"Completed"))</f>
        <v/>
      </c>
      <c r="J31" s="31" t="str">
        <f aca="false">IF($C31="","",7-(COUNTIF(M31,"NA")+COUNTIF(R31,"NA")+COUNTIF(W31,"NA")+COUNTIF(AB31,"NA")+COUNTIF(AG31,"NA")+COUNTIF(AL31,"NA")+COUNTIF(AQ31,"NA")))</f>
        <v/>
      </c>
      <c r="K31" s="34" t="str">
        <f aca="false">IFERROR(I31/J31,"")</f>
        <v/>
      </c>
      <c r="L31" s="29"/>
      <c r="M31" s="35"/>
      <c r="N31" s="36"/>
      <c r="O31" s="36"/>
      <c r="P31" s="30"/>
      <c r="Q31" s="29"/>
      <c r="R31" s="35"/>
      <c r="S31" s="36"/>
      <c r="T31" s="36"/>
      <c r="U31" s="30"/>
      <c r="V31" s="29"/>
      <c r="W31" s="35"/>
      <c r="X31" s="36"/>
      <c r="Y31" s="36"/>
      <c r="Z31" s="30"/>
      <c r="AA31" s="29"/>
      <c r="AB31" s="35"/>
      <c r="AC31" s="36"/>
      <c r="AD31" s="36"/>
      <c r="AE31" s="30"/>
      <c r="AF31" s="29"/>
      <c r="AG31" s="35"/>
      <c r="AH31" s="36"/>
      <c r="AI31" s="36"/>
      <c r="AJ31" s="30"/>
      <c r="AK31" s="29"/>
      <c r="AL31" s="35"/>
      <c r="AM31" s="36"/>
      <c r="AN31" s="36"/>
      <c r="AO31" s="30"/>
      <c r="AP31" s="29"/>
      <c r="AQ31" s="35"/>
      <c r="AR31" s="36"/>
      <c r="AS31" s="36"/>
      <c r="AT31" s="30"/>
      <c r="AU31" s="29"/>
      <c r="AV31" s="29"/>
      <c r="AW31" s="29"/>
      <c r="AX31" s="37"/>
      <c r="AY31" s="39" t="str">
        <f aca="false">IF(AU31&lt;&gt;"Yes","",IF(AV31="","SELECT RE-ENTRY STAGE","MOVE TO ACTIVE at "&amp;AV31))</f>
        <v/>
      </c>
      <c r="AZ31" s="40" t="str">
        <f aca="false">IF(AU31="Yes",COUNTIF($AU$6:AU31,"Yes"),"")</f>
        <v/>
      </c>
      <c r="BA31" s="29"/>
      <c r="BB31" s="38" t="str">
        <f aca="false">IF($C31="","",IF(OR(F31="Completed",F31="Cancelled"),"",IF(AND(OR(F31="On Hold",ISNUMBER(VALUE(LEFT(H31,2)))),BA31=""),"Reason not given","")))</f>
        <v/>
      </c>
      <c r="BC31" s="30"/>
    </row>
    <row r="32" customFormat="false" ht="19.5" hidden="false" customHeight="true" outlineLevel="0" collapsed="false">
      <c r="A32" s="28" t="str">
        <f aca="false">IF($C32="","",COUNTA($C$6:$C32))</f>
        <v/>
      </c>
      <c r="B32" s="29"/>
      <c r="C32" s="30"/>
      <c r="D32" s="29"/>
      <c r="E32" s="31" t="str">
        <f aca="false">IF($C32="","",IF(NOT(OR(M32="Completed",M32="NA",M32="Cancelled")),"S1 Schematic",IF(NOT(OR(R32="Completed",R32="NA",R32="Cancelled")),"S2 PCB Layout",IF(NOT(OR(W32="Completed",W32="NA",W32="Cancelled")),"S3 SI &amp; PI",IF(NOT(OR(AB32="Completed",AB32="NA",AB32="Cancelled")),"S4 Bare-PCB Fab",IF(NOT(OR(AG32="Completed",AG32="NA",AG32="Cancelled")),"S5 Assembly",IF(NOT(OR(AL32="Completed",AL32="NA",AL32="Cancelled")),"S6 Bring-up",IF(NOT(OR(AQ32="Completed",AQ32="NA",AQ32="Cancelled")),"S7 BOM Procurement","All Stages Closed"))))))))</f>
        <v/>
      </c>
      <c r="F32" s="32" t="str">
        <f aca="false">IF($C32="","",IF(COUNTIF(M32,"Cancelled")+COUNTIF(R32,"Cancelled")+COUNTIF(W32,"Cancelled")+COUNTIF(AB32,"Cancelled")+COUNTIF(AG32,"Cancelled")+COUNTIF(AL32,"Cancelled")+COUNTIF(AQ32,"Cancelled")&gt;0,"Cancelled",IF(E32="All Stages Closed","Completed",IF(E32="S1 Schematic",M32,IF(E32="S2 PCB Layout",R32,IF(E32="S3 SI &amp; PI",W32,IF(E32="S4 Bare-PCB Fab",AB32,IF(E32="S5 Assembly",AG32,IF(E32="S6 Bring-up",AL32,AQ32)))))))))</f>
        <v/>
      </c>
      <c r="G32" s="33" t="str">
        <f aca="false">IF($C32="","",IF(E32="All Stages Closed","",IF(E32="S1 Schematic",IF(N32="","Not added",N32),IF(E32="S2 PCB Layout",IF(S32="","Not added",S32),IF(E32="S3 SI &amp; PI",IF(X32="","Not added",X32),IF(E32="S4 Bare-PCB Fab",IF(AC32="","Not added",AC32),IF(E32="S5 Assembly",IF(AH32="","Not added",AH32),IF(E32="S6 Bring-up",IF(AM32="","Not added",AM32),IF(AR32="","Not added",AR32)))))))))</f>
        <v/>
      </c>
      <c r="H32" s="32" t="str">
        <f aca="true">IF($C32="","",IF(OR(F32="Completed",F32="Cancelled"),"",IF(NOT(ISNUMBER(G32)),"No date set",IF(TODAY()&gt;G32,TODAY()-G32&amp;" days late",G32-TODAY()&amp;" days left"))))</f>
        <v/>
      </c>
      <c r="I32" s="31" t="str">
        <f aca="false">IF($C32="","",COUNTIF(M32,"Completed")+COUNTIF(R32,"Completed")+COUNTIF(W32,"Completed")+COUNTIF(AB32,"Completed")+COUNTIF(AG32,"Completed")+COUNTIF(AL32,"Completed")+COUNTIF(AQ32,"Completed"))</f>
        <v/>
      </c>
      <c r="J32" s="31" t="str">
        <f aca="false">IF($C32="","",7-(COUNTIF(M32,"NA")+COUNTIF(R32,"NA")+COUNTIF(W32,"NA")+COUNTIF(AB32,"NA")+COUNTIF(AG32,"NA")+COUNTIF(AL32,"NA")+COUNTIF(AQ32,"NA")))</f>
        <v/>
      </c>
      <c r="K32" s="34" t="str">
        <f aca="false">IFERROR(I32/J32,"")</f>
        <v/>
      </c>
      <c r="L32" s="29"/>
      <c r="M32" s="35"/>
      <c r="N32" s="36"/>
      <c r="O32" s="36"/>
      <c r="P32" s="30"/>
      <c r="Q32" s="29"/>
      <c r="R32" s="35"/>
      <c r="S32" s="36"/>
      <c r="T32" s="36"/>
      <c r="U32" s="30"/>
      <c r="V32" s="29"/>
      <c r="W32" s="35"/>
      <c r="X32" s="36"/>
      <c r="Y32" s="36"/>
      <c r="Z32" s="30"/>
      <c r="AA32" s="29"/>
      <c r="AB32" s="35"/>
      <c r="AC32" s="36"/>
      <c r="AD32" s="36"/>
      <c r="AE32" s="30"/>
      <c r="AF32" s="29"/>
      <c r="AG32" s="35"/>
      <c r="AH32" s="36"/>
      <c r="AI32" s="36"/>
      <c r="AJ32" s="30"/>
      <c r="AK32" s="29"/>
      <c r="AL32" s="35"/>
      <c r="AM32" s="36"/>
      <c r="AN32" s="36"/>
      <c r="AO32" s="30"/>
      <c r="AP32" s="29"/>
      <c r="AQ32" s="35"/>
      <c r="AR32" s="36"/>
      <c r="AS32" s="36"/>
      <c r="AT32" s="30"/>
      <c r="AU32" s="29"/>
      <c r="AV32" s="29"/>
      <c r="AW32" s="29"/>
      <c r="AX32" s="37"/>
      <c r="AY32" s="39" t="str">
        <f aca="false">IF(AU32&lt;&gt;"Yes","",IF(AV32="","SELECT RE-ENTRY STAGE","MOVE TO ACTIVE at "&amp;AV32))</f>
        <v/>
      </c>
      <c r="AZ32" s="40" t="str">
        <f aca="false">IF(AU32="Yes",COUNTIF($AU$6:AU32,"Yes"),"")</f>
        <v/>
      </c>
      <c r="BA32" s="29"/>
      <c r="BB32" s="38" t="str">
        <f aca="false">IF($C32="","",IF(OR(F32="Completed",F32="Cancelled"),"",IF(AND(OR(F32="On Hold",ISNUMBER(VALUE(LEFT(H32,2)))),BA32=""),"Reason not given","")))</f>
        <v/>
      </c>
      <c r="BC32" s="30"/>
    </row>
    <row r="33" customFormat="false" ht="19.5" hidden="false" customHeight="true" outlineLevel="0" collapsed="false">
      <c r="A33" s="28" t="str">
        <f aca="false">IF($C33="","",COUNTA($C$6:$C33))</f>
        <v/>
      </c>
      <c r="B33" s="29"/>
      <c r="C33" s="30"/>
      <c r="D33" s="29"/>
      <c r="E33" s="31" t="str">
        <f aca="false">IF($C33="","",IF(NOT(OR(M33="Completed",M33="NA",M33="Cancelled")),"S1 Schematic",IF(NOT(OR(R33="Completed",R33="NA",R33="Cancelled")),"S2 PCB Layout",IF(NOT(OR(W33="Completed",W33="NA",W33="Cancelled")),"S3 SI &amp; PI",IF(NOT(OR(AB33="Completed",AB33="NA",AB33="Cancelled")),"S4 Bare-PCB Fab",IF(NOT(OR(AG33="Completed",AG33="NA",AG33="Cancelled")),"S5 Assembly",IF(NOT(OR(AL33="Completed",AL33="NA",AL33="Cancelled")),"S6 Bring-up",IF(NOT(OR(AQ33="Completed",AQ33="NA",AQ33="Cancelled")),"S7 BOM Procurement","All Stages Closed"))))))))</f>
        <v/>
      </c>
      <c r="F33" s="32" t="str">
        <f aca="false">IF($C33="","",IF(COUNTIF(M33,"Cancelled")+COUNTIF(R33,"Cancelled")+COUNTIF(W33,"Cancelled")+COUNTIF(AB33,"Cancelled")+COUNTIF(AG33,"Cancelled")+COUNTIF(AL33,"Cancelled")+COUNTIF(AQ33,"Cancelled")&gt;0,"Cancelled",IF(E33="All Stages Closed","Completed",IF(E33="S1 Schematic",M33,IF(E33="S2 PCB Layout",R33,IF(E33="S3 SI &amp; PI",W33,IF(E33="S4 Bare-PCB Fab",AB33,IF(E33="S5 Assembly",AG33,IF(E33="S6 Bring-up",AL33,AQ33)))))))))</f>
        <v/>
      </c>
      <c r="G33" s="33" t="str">
        <f aca="false">IF($C33="","",IF(E33="All Stages Closed","",IF(E33="S1 Schematic",IF(N33="","Not added",N33),IF(E33="S2 PCB Layout",IF(S33="","Not added",S33),IF(E33="S3 SI &amp; PI",IF(X33="","Not added",X33),IF(E33="S4 Bare-PCB Fab",IF(AC33="","Not added",AC33),IF(E33="S5 Assembly",IF(AH33="","Not added",AH33),IF(E33="S6 Bring-up",IF(AM33="","Not added",AM33),IF(AR33="","Not added",AR33)))))))))</f>
        <v/>
      </c>
      <c r="H33" s="32" t="str">
        <f aca="true">IF($C33="","",IF(OR(F33="Completed",F33="Cancelled"),"",IF(NOT(ISNUMBER(G33)),"No date set",IF(TODAY()&gt;G33,TODAY()-G33&amp;" days late",G33-TODAY()&amp;" days left"))))</f>
        <v/>
      </c>
      <c r="I33" s="31" t="str">
        <f aca="false">IF($C33="","",COUNTIF(M33,"Completed")+COUNTIF(R33,"Completed")+COUNTIF(W33,"Completed")+COUNTIF(AB33,"Completed")+COUNTIF(AG33,"Completed")+COUNTIF(AL33,"Completed")+COUNTIF(AQ33,"Completed"))</f>
        <v/>
      </c>
      <c r="J33" s="31" t="str">
        <f aca="false">IF($C33="","",7-(COUNTIF(M33,"NA")+COUNTIF(R33,"NA")+COUNTIF(W33,"NA")+COUNTIF(AB33,"NA")+COUNTIF(AG33,"NA")+COUNTIF(AL33,"NA")+COUNTIF(AQ33,"NA")))</f>
        <v/>
      </c>
      <c r="K33" s="34" t="str">
        <f aca="false">IFERROR(I33/J33,"")</f>
        <v/>
      </c>
      <c r="L33" s="29"/>
      <c r="M33" s="35"/>
      <c r="N33" s="36"/>
      <c r="O33" s="36"/>
      <c r="P33" s="30"/>
      <c r="Q33" s="29"/>
      <c r="R33" s="35"/>
      <c r="S33" s="36"/>
      <c r="T33" s="36"/>
      <c r="U33" s="30"/>
      <c r="V33" s="29"/>
      <c r="W33" s="35"/>
      <c r="X33" s="36"/>
      <c r="Y33" s="36"/>
      <c r="Z33" s="30"/>
      <c r="AA33" s="29"/>
      <c r="AB33" s="35"/>
      <c r="AC33" s="36"/>
      <c r="AD33" s="36"/>
      <c r="AE33" s="30"/>
      <c r="AF33" s="29"/>
      <c r="AG33" s="35"/>
      <c r="AH33" s="36"/>
      <c r="AI33" s="36"/>
      <c r="AJ33" s="30"/>
      <c r="AK33" s="29"/>
      <c r="AL33" s="35"/>
      <c r="AM33" s="36"/>
      <c r="AN33" s="36"/>
      <c r="AO33" s="30"/>
      <c r="AP33" s="29"/>
      <c r="AQ33" s="35"/>
      <c r="AR33" s="36"/>
      <c r="AS33" s="36"/>
      <c r="AT33" s="30"/>
      <c r="AU33" s="29"/>
      <c r="AV33" s="29"/>
      <c r="AW33" s="29"/>
      <c r="AX33" s="37"/>
      <c r="AY33" s="39" t="str">
        <f aca="false">IF(AU33&lt;&gt;"Yes","",IF(AV33="","SELECT RE-ENTRY STAGE","MOVE TO ACTIVE at "&amp;AV33))</f>
        <v/>
      </c>
      <c r="AZ33" s="40" t="str">
        <f aca="false">IF(AU33="Yes",COUNTIF($AU$6:AU33,"Yes"),"")</f>
        <v/>
      </c>
      <c r="BA33" s="29"/>
      <c r="BB33" s="38" t="str">
        <f aca="false">IF($C33="","",IF(OR(F33="Completed",F33="Cancelled"),"",IF(AND(OR(F33="On Hold",ISNUMBER(VALUE(LEFT(H33,2)))),BA33=""),"Reason not given","")))</f>
        <v/>
      </c>
      <c r="BC33" s="30"/>
    </row>
    <row r="34" customFormat="false" ht="19.5" hidden="false" customHeight="true" outlineLevel="0" collapsed="false">
      <c r="A34" s="28" t="str">
        <f aca="false">IF($C34="","",COUNTA($C$6:$C34))</f>
        <v/>
      </c>
      <c r="B34" s="29"/>
      <c r="C34" s="30"/>
      <c r="D34" s="29"/>
      <c r="E34" s="31" t="str">
        <f aca="false">IF($C34="","",IF(NOT(OR(M34="Completed",M34="NA",M34="Cancelled")),"S1 Schematic",IF(NOT(OR(R34="Completed",R34="NA",R34="Cancelled")),"S2 PCB Layout",IF(NOT(OR(W34="Completed",W34="NA",W34="Cancelled")),"S3 SI &amp; PI",IF(NOT(OR(AB34="Completed",AB34="NA",AB34="Cancelled")),"S4 Bare-PCB Fab",IF(NOT(OR(AG34="Completed",AG34="NA",AG34="Cancelled")),"S5 Assembly",IF(NOT(OR(AL34="Completed",AL34="NA",AL34="Cancelled")),"S6 Bring-up",IF(NOT(OR(AQ34="Completed",AQ34="NA",AQ34="Cancelled")),"S7 BOM Procurement","All Stages Closed"))))))))</f>
        <v/>
      </c>
      <c r="F34" s="32" t="str">
        <f aca="false">IF($C34="","",IF(COUNTIF(M34,"Cancelled")+COUNTIF(R34,"Cancelled")+COUNTIF(W34,"Cancelled")+COUNTIF(AB34,"Cancelled")+COUNTIF(AG34,"Cancelled")+COUNTIF(AL34,"Cancelled")+COUNTIF(AQ34,"Cancelled")&gt;0,"Cancelled",IF(E34="All Stages Closed","Completed",IF(E34="S1 Schematic",M34,IF(E34="S2 PCB Layout",R34,IF(E34="S3 SI &amp; PI",W34,IF(E34="S4 Bare-PCB Fab",AB34,IF(E34="S5 Assembly",AG34,IF(E34="S6 Bring-up",AL34,AQ34)))))))))</f>
        <v/>
      </c>
      <c r="G34" s="33" t="str">
        <f aca="false">IF($C34="","",IF(E34="All Stages Closed","",IF(E34="S1 Schematic",IF(N34="","Not added",N34),IF(E34="S2 PCB Layout",IF(S34="","Not added",S34),IF(E34="S3 SI &amp; PI",IF(X34="","Not added",X34),IF(E34="S4 Bare-PCB Fab",IF(AC34="","Not added",AC34),IF(E34="S5 Assembly",IF(AH34="","Not added",AH34),IF(E34="S6 Bring-up",IF(AM34="","Not added",AM34),IF(AR34="","Not added",AR34)))))))))</f>
        <v/>
      </c>
      <c r="H34" s="32" t="str">
        <f aca="true">IF($C34="","",IF(OR(F34="Completed",F34="Cancelled"),"",IF(NOT(ISNUMBER(G34)),"No date set",IF(TODAY()&gt;G34,TODAY()-G34&amp;" days late",G34-TODAY()&amp;" days left"))))</f>
        <v/>
      </c>
      <c r="I34" s="31" t="str">
        <f aca="false">IF($C34="","",COUNTIF(M34,"Completed")+COUNTIF(R34,"Completed")+COUNTIF(W34,"Completed")+COUNTIF(AB34,"Completed")+COUNTIF(AG34,"Completed")+COUNTIF(AL34,"Completed")+COUNTIF(AQ34,"Completed"))</f>
        <v/>
      </c>
      <c r="J34" s="31" t="str">
        <f aca="false">IF($C34="","",7-(COUNTIF(M34,"NA")+COUNTIF(R34,"NA")+COUNTIF(W34,"NA")+COUNTIF(AB34,"NA")+COUNTIF(AG34,"NA")+COUNTIF(AL34,"NA")+COUNTIF(AQ34,"NA")))</f>
        <v/>
      </c>
      <c r="K34" s="34" t="str">
        <f aca="false">IFERROR(I34/J34,"")</f>
        <v/>
      </c>
      <c r="L34" s="29"/>
      <c r="M34" s="35"/>
      <c r="N34" s="36"/>
      <c r="O34" s="36"/>
      <c r="P34" s="30"/>
      <c r="Q34" s="29"/>
      <c r="R34" s="35"/>
      <c r="S34" s="36"/>
      <c r="T34" s="36"/>
      <c r="U34" s="30"/>
      <c r="V34" s="29"/>
      <c r="W34" s="35"/>
      <c r="X34" s="36"/>
      <c r="Y34" s="36"/>
      <c r="Z34" s="30"/>
      <c r="AA34" s="29"/>
      <c r="AB34" s="35"/>
      <c r="AC34" s="36"/>
      <c r="AD34" s="36"/>
      <c r="AE34" s="30"/>
      <c r="AF34" s="29"/>
      <c r="AG34" s="35"/>
      <c r="AH34" s="36"/>
      <c r="AI34" s="36"/>
      <c r="AJ34" s="30"/>
      <c r="AK34" s="29"/>
      <c r="AL34" s="35"/>
      <c r="AM34" s="36"/>
      <c r="AN34" s="36"/>
      <c r="AO34" s="30"/>
      <c r="AP34" s="29"/>
      <c r="AQ34" s="35"/>
      <c r="AR34" s="36"/>
      <c r="AS34" s="36"/>
      <c r="AT34" s="30"/>
      <c r="AU34" s="29"/>
      <c r="AV34" s="29"/>
      <c r="AW34" s="29"/>
      <c r="AX34" s="37"/>
      <c r="AY34" s="39" t="str">
        <f aca="false">IF(AU34&lt;&gt;"Yes","",IF(AV34="","SELECT RE-ENTRY STAGE","MOVE TO ACTIVE at "&amp;AV34))</f>
        <v/>
      </c>
      <c r="AZ34" s="40" t="str">
        <f aca="false">IF(AU34="Yes",COUNTIF($AU$6:AU34,"Yes"),"")</f>
        <v/>
      </c>
      <c r="BA34" s="29"/>
      <c r="BB34" s="38" t="str">
        <f aca="false">IF($C34="","",IF(OR(F34="Completed",F34="Cancelled"),"",IF(AND(OR(F34="On Hold",ISNUMBER(VALUE(LEFT(H34,2)))),BA34=""),"Reason not given","")))</f>
        <v/>
      </c>
      <c r="BC34" s="30"/>
    </row>
    <row r="35" customFormat="false" ht="19.5" hidden="false" customHeight="true" outlineLevel="0" collapsed="false">
      <c r="A35" s="28" t="str">
        <f aca="false">IF($C35="","",COUNTA($C$6:$C35))</f>
        <v/>
      </c>
      <c r="B35" s="29"/>
      <c r="C35" s="30"/>
      <c r="D35" s="29"/>
      <c r="E35" s="31" t="str">
        <f aca="false">IF($C35="","",IF(NOT(OR(M35="Completed",M35="NA",M35="Cancelled")),"S1 Schematic",IF(NOT(OR(R35="Completed",R35="NA",R35="Cancelled")),"S2 PCB Layout",IF(NOT(OR(W35="Completed",W35="NA",W35="Cancelled")),"S3 SI &amp; PI",IF(NOT(OR(AB35="Completed",AB35="NA",AB35="Cancelled")),"S4 Bare-PCB Fab",IF(NOT(OR(AG35="Completed",AG35="NA",AG35="Cancelled")),"S5 Assembly",IF(NOT(OR(AL35="Completed",AL35="NA",AL35="Cancelled")),"S6 Bring-up",IF(NOT(OR(AQ35="Completed",AQ35="NA",AQ35="Cancelled")),"S7 BOM Procurement","All Stages Closed"))))))))</f>
        <v/>
      </c>
      <c r="F35" s="32" t="str">
        <f aca="false">IF($C35="","",IF(COUNTIF(M35,"Cancelled")+COUNTIF(R35,"Cancelled")+COUNTIF(W35,"Cancelled")+COUNTIF(AB35,"Cancelled")+COUNTIF(AG35,"Cancelled")+COUNTIF(AL35,"Cancelled")+COUNTIF(AQ35,"Cancelled")&gt;0,"Cancelled",IF(E35="All Stages Closed","Completed",IF(E35="S1 Schematic",M35,IF(E35="S2 PCB Layout",R35,IF(E35="S3 SI &amp; PI",W35,IF(E35="S4 Bare-PCB Fab",AB35,IF(E35="S5 Assembly",AG35,IF(E35="S6 Bring-up",AL35,AQ35)))))))))</f>
        <v/>
      </c>
      <c r="G35" s="33" t="str">
        <f aca="false">IF($C35="","",IF(E35="All Stages Closed","",IF(E35="S1 Schematic",IF(N35="","Not added",N35),IF(E35="S2 PCB Layout",IF(S35="","Not added",S35),IF(E35="S3 SI &amp; PI",IF(X35="","Not added",X35),IF(E35="S4 Bare-PCB Fab",IF(AC35="","Not added",AC35),IF(E35="S5 Assembly",IF(AH35="","Not added",AH35),IF(E35="S6 Bring-up",IF(AM35="","Not added",AM35),IF(AR35="","Not added",AR35)))))))))</f>
        <v/>
      </c>
      <c r="H35" s="32" t="str">
        <f aca="true">IF($C35="","",IF(OR(F35="Completed",F35="Cancelled"),"",IF(NOT(ISNUMBER(G35)),"No date set",IF(TODAY()&gt;G35,TODAY()-G35&amp;" days late",G35-TODAY()&amp;" days left"))))</f>
        <v/>
      </c>
      <c r="I35" s="31" t="str">
        <f aca="false">IF($C35="","",COUNTIF(M35,"Completed")+COUNTIF(R35,"Completed")+COUNTIF(W35,"Completed")+COUNTIF(AB35,"Completed")+COUNTIF(AG35,"Completed")+COUNTIF(AL35,"Completed")+COUNTIF(AQ35,"Completed"))</f>
        <v/>
      </c>
      <c r="J35" s="31" t="str">
        <f aca="false">IF($C35="","",7-(COUNTIF(M35,"NA")+COUNTIF(R35,"NA")+COUNTIF(W35,"NA")+COUNTIF(AB35,"NA")+COUNTIF(AG35,"NA")+COUNTIF(AL35,"NA")+COUNTIF(AQ35,"NA")))</f>
        <v/>
      </c>
      <c r="K35" s="34" t="str">
        <f aca="false">IFERROR(I35/J35,"")</f>
        <v/>
      </c>
      <c r="L35" s="29"/>
      <c r="M35" s="35"/>
      <c r="N35" s="36"/>
      <c r="O35" s="36"/>
      <c r="P35" s="30"/>
      <c r="Q35" s="29"/>
      <c r="R35" s="35"/>
      <c r="S35" s="36"/>
      <c r="T35" s="36"/>
      <c r="U35" s="30"/>
      <c r="V35" s="29"/>
      <c r="W35" s="35"/>
      <c r="X35" s="36"/>
      <c r="Y35" s="36"/>
      <c r="Z35" s="30"/>
      <c r="AA35" s="29"/>
      <c r="AB35" s="35"/>
      <c r="AC35" s="36"/>
      <c r="AD35" s="36"/>
      <c r="AE35" s="30"/>
      <c r="AF35" s="29"/>
      <c r="AG35" s="35"/>
      <c r="AH35" s="36"/>
      <c r="AI35" s="36"/>
      <c r="AJ35" s="30"/>
      <c r="AK35" s="29"/>
      <c r="AL35" s="35"/>
      <c r="AM35" s="36"/>
      <c r="AN35" s="36"/>
      <c r="AO35" s="30"/>
      <c r="AP35" s="29"/>
      <c r="AQ35" s="35"/>
      <c r="AR35" s="36"/>
      <c r="AS35" s="36"/>
      <c r="AT35" s="30"/>
      <c r="AU35" s="29"/>
      <c r="AV35" s="29"/>
      <c r="AW35" s="29"/>
      <c r="AX35" s="37"/>
      <c r="AY35" s="39" t="str">
        <f aca="false">IF(AU35&lt;&gt;"Yes","",IF(AV35="","SELECT RE-ENTRY STAGE","MOVE TO ACTIVE at "&amp;AV35))</f>
        <v/>
      </c>
      <c r="AZ35" s="40" t="str">
        <f aca="false">IF(AU35="Yes",COUNTIF($AU$6:AU35,"Yes"),"")</f>
        <v/>
      </c>
      <c r="BA35" s="29"/>
      <c r="BB35" s="38" t="str">
        <f aca="false">IF($C35="","",IF(OR(F35="Completed",F35="Cancelled"),"",IF(AND(OR(F35="On Hold",ISNUMBER(VALUE(LEFT(H35,2)))),BA35=""),"Reason not given","")))</f>
        <v/>
      </c>
      <c r="BC35" s="30"/>
    </row>
    <row r="36" customFormat="false" ht="19.5" hidden="false" customHeight="true" outlineLevel="0" collapsed="false">
      <c r="A36" s="28" t="str">
        <f aca="false">IF($C36="","",COUNTA($C$6:$C36))</f>
        <v/>
      </c>
      <c r="B36" s="29"/>
      <c r="C36" s="30"/>
      <c r="D36" s="29"/>
      <c r="E36" s="31" t="str">
        <f aca="false">IF($C36="","",IF(NOT(OR(M36="Completed",M36="NA",M36="Cancelled")),"S1 Schematic",IF(NOT(OR(R36="Completed",R36="NA",R36="Cancelled")),"S2 PCB Layout",IF(NOT(OR(W36="Completed",W36="NA",W36="Cancelled")),"S3 SI &amp; PI",IF(NOT(OR(AB36="Completed",AB36="NA",AB36="Cancelled")),"S4 Bare-PCB Fab",IF(NOT(OR(AG36="Completed",AG36="NA",AG36="Cancelled")),"S5 Assembly",IF(NOT(OR(AL36="Completed",AL36="NA",AL36="Cancelled")),"S6 Bring-up",IF(NOT(OR(AQ36="Completed",AQ36="NA",AQ36="Cancelled")),"S7 BOM Procurement","All Stages Closed"))))))))</f>
        <v/>
      </c>
      <c r="F36" s="32" t="str">
        <f aca="false">IF($C36="","",IF(COUNTIF(M36,"Cancelled")+COUNTIF(R36,"Cancelled")+COUNTIF(W36,"Cancelled")+COUNTIF(AB36,"Cancelled")+COUNTIF(AG36,"Cancelled")+COUNTIF(AL36,"Cancelled")+COUNTIF(AQ36,"Cancelled")&gt;0,"Cancelled",IF(E36="All Stages Closed","Completed",IF(E36="S1 Schematic",M36,IF(E36="S2 PCB Layout",R36,IF(E36="S3 SI &amp; PI",W36,IF(E36="S4 Bare-PCB Fab",AB36,IF(E36="S5 Assembly",AG36,IF(E36="S6 Bring-up",AL36,AQ36)))))))))</f>
        <v/>
      </c>
      <c r="G36" s="33" t="str">
        <f aca="false">IF($C36="","",IF(E36="All Stages Closed","",IF(E36="S1 Schematic",IF(N36="","Not added",N36),IF(E36="S2 PCB Layout",IF(S36="","Not added",S36),IF(E36="S3 SI &amp; PI",IF(X36="","Not added",X36),IF(E36="S4 Bare-PCB Fab",IF(AC36="","Not added",AC36),IF(E36="S5 Assembly",IF(AH36="","Not added",AH36),IF(E36="S6 Bring-up",IF(AM36="","Not added",AM36),IF(AR36="","Not added",AR36)))))))))</f>
        <v/>
      </c>
      <c r="H36" s="32" t="str">
        <f aca="true">IF($C36="","",IF(OR(F36="Completed",F36="Cancelled"),"",IF(NOT(ISNUMBER(G36)),"No date set",IF(TODAY()&gt;G36,TODAY()-G36&amp;" days late",G36-TODAY()&amp;" days left"))))</f>
        <v/>
      </c>
      <c r="I36" s="31" t="str">
        <f aca="false">IF($C36="","",COUNTIF(M36,"Completed")+COUNTIF(R36,"Completed")+COUNTIF(W36,"Completed")+COUNTIF(AB36,"Completed")+COUNTIF(AG36,"Completed")+COUNTIF(AL36,"Completed")+COUNTIF(AQ36,"Completed"))</f>
        <v/>
      </c>
      <c r="J36" s="31" t="str">
        <f aca="false">IF($C36="","",7-(COUNTIF(M36,"NA")+COUNTIF(R36,"NA")+COUNTIF(W36,"NA")+COUNTIF(AB36,"NA")+COUNTIF(AG36,"NA")+COUNTIF(AL36,"NA")+COUNTIF(AQ36,"NA")))</f>
        <v/>
      </c>
      <c r="K36" s="34" t="str">
        <f aca="false">IFERROR(I36/J36,"")</f>
        <v/>
      </c>
      <c r="L36" s="29"/>
      <c r="M36" s="35"/>
      <c r="N36" s="36"/>
      <c r="O36" s="36"/>
      <c r="P36" s="30"/>
      <c r="Q36" s="29"/>
      <c r="R36" s="35"/>
      <c r="S36" s="36"/>
      <c r="T36" s="36"/>
      <c r="U36" s="30"/>
      <c r="V36" s="29"/>
      <c r="W36" s="35"/>
      <c r="X36" s="36"/>
      <c r="Y36" s="36"/>
      <c r="Z36" s="30"/>
      <c r="AA36" s="29"/>
      <c r="AB36" s="35"/>
      <c r="AC36" s="36"/>
      <c r="AD36" s="36"/>
      <c r="AE36" s="30"/>
      <c r="AF36" s="29"/>
      <c r="AG36" s="35"/>
      <c r="AH36" s="36"/>
      <c r="AI36" s="36"/>
      <c r="AJ36" s="30"/>
      <c r="AK36" s="29"/>
      <c r="AL36" s="35"/>
      <c r="AM36" s="36"/>
      <c r="AN36" s="36"/>
      <c r="AO36" s="30"/>
      <c r="AP36" s="29"/>
      <c r="AQ36" s="35"/>
      <c r="AR36" s="36"/>
      <c r="AS36" s="36"/>
      <c r="AT36" s="30"/>
      <c r="AU36" s="29"/>
      <c r="AV36" s="29"/>
      <c r="AW36" s="29"/>
      <c r="AX36" s="37"/>
      <c r="AY36" s="39" t="str">
        <f aca="false">IF(AU36&lt;&gt;"Yes","",IF(AV36="","SELECT RE-ENTRY STAGE","MOVE TO ACTIVE at "&amp;AV36))</f>
        <v/>
      </c>
      <c r="AZ36" s="40" t="str">
        <f aca="false">IF(AU36="Yes",COUNTIF($AU$6:AU36,"Yes"),"")</f>
        <v/>
      </c>
      <c r="BA36" s="29"/>
      <c r="BB36" s="38" t="str">
        <f aca="false">IF($C36="","",IF(OR(F36="Completed",F36="Cancelled"),"",IF(AND(OR(F36="On Hold",ISNUMBER(VALUE(LEFT(H36,2)))),BA36=""),"Reason not given","")))</f>
        <v/>
      </c>
      <c r="BC36" s="30"/>
    </row>
    <row r="37" customFormat="false" ht="19.5" hidden="false" customHeight="true" outlineLevel="0" collapsed="false">
      <c r="A37" s="28" t="str">
        <f aca="false">IF($C37="","",COUNTA($C$6:$C37))</f>
        <v/>
      </c>
      <c r="B37" s="29"/>
      <c r="C37" s="30"/>
      <c r="D37" s="29"/>
      <c r="E37" s="31" t="str">
        <f aca="false">IF($C37="","",IF(NOT(OR(M37="Completed",M37="NA",M37="Cancelled")),"S1 Schematic",IF(NOT(OR(R37="Completed",R37="NA",R37="Cancelled")),"S2 PCB Layout",IF(NOT(OR(W37="Completed",W37="NA",W37="Cancelled")),"S3 SI &amp; PI",IF(NOT(OR(AB37="Completed",AB37="NA",AB37="Cancelled")),"S4 Bare-PCB Fab",IF(NOT(OR(AG37="Completed",AG37="NA",AG37="Cancelled")),"S5 Assembly",IF(NOT(OR(AL37="Completed",AL37="NA",AL37="Cancelled")),"S6 Bring-up",IF(NOT(OR(AQ37="Completed",AQ37="NA",AQ37="Cancelled")),"S7 BOM Procurement","All Stages Closed"))))))))</f>
        <v/>
      </c>
      <c r="F37" s="32" t="str">
        <f aca="false">IF($C37="","",IF(COUNTIF(M37,"Cancelled")+COUNTIF(R37,"Cancelled")+COUNTIF(W37,"Cancelled")+COUNTIF(AB37,"Cancelled")+COUNTIF(AG37,"Cancelled")+COUNTIF(AL37,"Cancelled")+COUNTIF(AQ37,"Cancelled")&gt;0,"Cancelled",IF(E37="All Stages Closed","Completed",IF(E37="S1 Schematic",M37,IF(E37="S2 PCB Layout",R37,IF(E37="S3 SI &amp; PI",W37,IF(E37="S4 Bare-PCB Fab",AB37,IF(E37="S5 Assembly",AG37,IF(E37="S6 Bring-up",AL37,AQ37)))))))))</f>
        <v/>
      </c>
      <c r="G37" s="33" t="str">
        <f aca="false">IF($C37="","",IF(E37="All Stages Closed","",IF(E37="S1 Schematic",IF(N37="","Not added",N37),IF(E37="S2 PCB Layout",IF(S37="","Not added",S37),IF(E37="S3 SI &amp; PI",IF(X37="","Not added",X37),IF(E37="S4 Bare-PCB Fab",IF(AC37="","Not added",AC37),IF(E37="S5 Assembly",IF(AH37="","Not added",AH37),IF(E37="S6 Bring-up",IF(AM37="","Not added",AM37),IF(AR37="","Not added",AR37)))))))))</f>
        <v/>
      </c>
      <c r="H37" s="32" t="str">
        <f aca="true">IF($C37="","",IF(OR(F37="Completed",F37="Cancelled"),"",IF(NOT(ISNUMBER(G37)),"No date set",IF(TODAY()&gt;G37,TODAY()-G37&amp;" days late",G37-TODAY()&amp;" days left"))))</f>
        <v/>
      </c>
      <c r="I37" s="31" t="str">
        <f aca="false">IF($C37="","",COUNTIF(M37,"Completed")+COUNTIF(R37,"Completed")+COUNTIF(W37,"Completed")+COUNTIF(AB37,"Completed")+COUNTIF(AG37,"Completed")+COUNTIF(AL37,"Completed")+COUNTIF(AQ37,"Completed"))</f>
        <v/>
      </c>
      <c r="J37" s="31" t="str">
        <f aca="false">IF($C37="","",7-(COUNTIF(M37,"NA")+COUNTIF(R37,"NA")+COUNTIF(W37,"NA")+COUNTIF(AB37,"NA")+COUNTIF(AG37,"NA")+COUNTIF(AL37,"NA")+COUNTIF(AQ37,"NA")))</f>
        <v/>
      </c>
      <c r="K37" s="34" t="str">
        <f aca="false">IFERROR(I37/J37,"")</f>
        <v/>
      </c>
      <c r="L37" s="29"/>
      <c r="M37" s="35"/>
      <c r="N37" s="36"/>
      <c r="O37" s="36"/>
      <c r="P37" s="30"/>
      <c r="Q37" s="29"/>
      <c r="R37" s="35"/>
      <c r="S37" s="36"/>
      <c r="T37" s="36"/>
      <c r="U37" s="30"/>
      <c r="V37" s="29"/>
      <c r="W37" s="35"/>
      <c r="X37" s="36"/>
      <c r="Y37" s="36"/>
      <c r="Z37" s="30"/>
      <c r="AA37" s="29"/>
      <c r="AB37" s="35"/>
      <c r="AC37" s="36"/>
      <c r="AD37" s="36"/>
      <c r="AE37" s="30"/>
      <c r="AF37" s="29"/>
      <c r="AG37" s="35"/>
      <c r="AH37" s="36"/>
      <c r="AI37" s="36"/>
      <c r="AJ37" s="30"/>
      <c r="AK37" s="29"/>
      <c r="AL37" s="35"/>
      <c r="AM37" s="36"/>
      <c r="AN37" s="36"/>
      <c r="AO37" s="30"/>
      <c r="AP37" s="29"/>
      <c r="AQ37" s="35"/>
      <c r="AR37" s="36"/>
      <c r="AS37" s="36"/>
      <c r="AT37" s="30"/>
      <c r="AU37" s="29"/>
      <c r="AV37" s="29"/>
      <c r="AW37" s="29"/>
      <c r="AX37" s="37"/>
      <c r="AY37" s="39" t="str">
        <f aca="false">IF(AU37&lt;&gt;"Yes","",IF(AV37="","SELECT RE-ENTRY STAGE","MOVE TO ACTIVE at "&amp;AV37))</f>
        <v/>
      </c>
      <c r="AZ37" s="40" t="str">
        <f aca="false">IF(AU37="Yes",COUNTIF($AU$6:AU37,"Yes"),"")</f>
        <v/>
      </c>
      <c r="BA37" s="29"/>
      <c r="BB37" s="38" t="str">
        <f aca="false">IF($C37="","",IF(OR(F37="Completed",F37="Cancelled"),"",IF(AND(OR(F37="On Hold",ISNUMBER(VALUE(LEFT(H37,2)))),BA37=""),"Reason not given","")))</f>
        <v/>
      </c>
      <c r="BC37" s="30"/>
    </row>
    <row r="38" customFormat="false" ht="19.5" hidden="false" customHeight="true" outlineLevel="0" collapsed="false">
      <c r="A38" s="28" t="str">
        <f aca="false">IF($C38="","",COUNTA($C$6:$C38))</f>
        <v/>
      </c>
      <c r="B38" s="29"/>
      <c r="C38" s="30"/>
      <c r="D38" s="29"/>
      <c r="E38" s="31" t="str">
        <f aca="false">IF($C38="","",IF(NOT(OR(M38="Completed",M38="NA",M38="Cancelled")),"S1 Schematic",IF(NOT(OR(R38="Completed",R38="NA",R38="Cancelled")),"S2 PCB Layout",IF(NOT(OR(W38="Completed",W38="NA",W38="Cancelled")),"S3 SI &amp; PI",IF(NOT(OR(AB38="Completed",AB38="NA",AB38="Cancelled")),"S4 Bare-PCB Fab",IF(NOT(OR(AG38="Completed",AG38="NA",AG38="Cancelled")),"S5 Assembly",IF(NOT(OR(AL38="Completed",AL38="NA",AL38="Cancelled")),"S6 Bring-up",IF(NOT(OR(AQ38="Completed",AQ38="NA",AQ38="Cancelled")),"S7 BOM Procurement","All Stages Closed"))))))))</f>
        <v/>
      </c>
      <c r="F38" s="32" t="str">
        <f aca="false">IF($C38="","",IF(COUNTIF(M38,"Cancelled")+COUNTIF(R38,"Cancelled")+COUNTIF(W38,"Cancelled")+COUNTIF(AB38,"Cancelled")+COUNTIF(AG38,"Cancelled")+COUNTIF(AL38,"Cancelled")+COUNTIF(AQ38,"Cancelled")&gt;0,"Cancelled",IF(E38="All Stages Closed","Completed",IF(E38="S1 Schematic",M38,IF(E38="S2 PCB Layout",R38,IF(E38="S3 SI &amp; PI",W38,IF(E38="S4 Bare-PCB Fab",AB38,IF(E38="S5 Assembly",AG38,IF(E38="S6 Bring-up",AL38,AQ38)))))))))</f>
        <v/>
      </c>
      <c r="G38" s="33" t="str">
        <f aca="false">IF($C38="","",IF(E38="All Stages Closed","",IF(E38="S1 Schematic",IF(N38="","Not added",N38),IF(E38="S2 PCB Layout",IF(S38="","Not added",S38),IF(E38="S3 SI &amp; PI",IF(X38="","Not added",X38),IF(E38="S4 Bare-PCB Fab",IF(AC38="","Not added",AC38),IF(E38="S5 Assembly",IF(AH38="","Not added",AH38),IF(E38="S6 Bring-up",IF(AM38="","Not added",AM38),IF(AR38="","Not added",AR38)))))))))</f>
        <v/>
      </c>
      <c r="H38" s="32" t="str">
        <f aca="true">IF($C38="","",IF(OR(F38="Completed",F38="Cancelled"),"",IF(NOT(ISNUMBER(G38)),"No date set",IF(TODAY()&gt;G38,TODAY()-G38&amp;" days late",G38-TODAY()&amp;" days left"))))</f>
        <v/>
      </c>
      <c r="I38" s="31" t="str">
        <f aca="false">IF($C38="","",COUNTIF(M38,"Completed")+COUNTIF(R38,"Completed")+COUNTIF(W38,"Completed")+COUNTIF(AB38,"Completed")+COUNTIF(AG38,"Completed")+COUNTIF(AL38,"Completed")+COUNTIF(AQ38,"Completed"))</f>
        <v/>
      </c>
      <c r="J38" s="31" t="str">
        <f aca="false">IF($C38="","",7-(COUNTIF(M38,"NA")+COUNTIF(R38,"NA")+COUNTIF(W38,"NA")+COUNTIF(AB38,"NA")+COUNTIF(AG38,"NA")+COUNTIF(AL38,"NA")+COUNTIF(AQ38,"NA")))</f>
        <v/>
      </c>
      <c r="K38" s="34" t="str">
        <f aca="false">IFERROR(I38/J38,"")</f>
        <v/>
      </c>
      <c r="L38" s="29"/>
      <c r="M38" s="35"/>
      <c r="N38" s="36"/>
      <c r="O38" s="36"/>
      <c r="P38" s="30"/>
      <c r="Q38" s="29"/>
      <c r="R38" s="35"/>
      <c r="S38" s="36"/>
      <c r="T38" s="36"/>
      <c r="U38" s="30"/>
      <c r="V38" s="29"/>
      <c r="W38" s="35"/>
      <c r="X38" s="36"/>
      <c r="Y38" s="36"/>
      <c r="Z38" s="30"/>
      <c r="AA38" s="29"/>
      <c r="AB38" s="35"/>
      <c r="AC38" s="36"/>
      <c r="AD38" s="36"/>
      <c r="AE38" s="30"/>
      <c r="AF38" s="29"/>
      <c r="AG38" s="35"/>
      <c r="AH38" s="36"/>
      <c r="AI38" s="36"/>
      <c r="AJ38" s="30"/>
      <c r="AK38" s="29"/>
      <c r="AL38" s="35"/>
      <c r="AM38" s="36"/>
      <c r="AN38" s="36"/>
      <c r="AO38" s="30"/>
      <c r="AP38" s="29"/>
      <c r="AQ38" s="35"/>
      <c r="AR38" s="36"/>
      <c r="AS38" s="36"/>
      <c r="AT38" s="30"/>
      <c r="AU38" s="29"/>
      <c r="AV38" s="29"/>
      <c r="AW38" s="29"/>
      <c r="AX38" s="37"/>
      <c r="AY38" s="39" t="str">
        <f aca="false">IF(AU38&lt;&gt;"Yes","",IF(AV38="","SELECT RE-ENTRY STAGE","MOVE TO ACTIVE at "&amp;AV38))</f>
        <v/>
      </c>
      <c r="AZ38" s="40" t="str">
        <f aca="false">IF(AU38="Yes",COUNTIF($AU$6:AU38,"Yes"),"")</f>
        <v/>
      </c>
      <c r="BA38" s="29"/>
      <c r="BB38" s="38" t="str">
        <f aca="false">IF($C38="","",IF(OR(F38="Completed",F38="Cancelled"),"",IF(AND(OR(F38="On Hold",ISNUMBER(VALUE(LEFT(H38,2)))),BA38=""),"Reason not given","")))</f>
        <v/>
      </c>
      <c r="BC38" s="30"/>
    </row>
    <row r="39" customFormat="false" ht="19.5" hidden="false" customHeight="true" outlineLevel="0" collapsed="false">
      <c r="A39" s="28" t="str">
        <f aca="false">IF($C39="","",COUNTA($C$6:$C39))</f>
        <v/>
      </c>
      <c r="B39" s="29"/>
      <c r="C39" s="30"/>
      <c r="D39" s="29"/>
      <c r="E39" s="31" t="str">
        <f aca="false">IF($C39="","",IF(NOT(OR(M39="Completed",M39="NA",M39="Cancelled")),"S1 Schematic",IF(NOT(OR(R39="Completed",R39="NA",R39="Cancelled")),"S2 PCB Layout",IF(NOT(OR(W39="Completed",W39="NA",W39="Cancelled")),"S3 SI &amp; PI",IF(NOT(OR(AB39="Completed",AB39="NA",AB39="Cancelled")),"S4 Bare-PCB Fab",IF(NOT(OR(AG39="Completed",AG39="NA",AG39="Cancelled")),"S5 Assembly",IF(NOT(OR(AL39="Completed",AL39="NA",AL39="Cancelled")),"S6 Bring-up",IF(NOT(OR(AQ39="Completed",AQ39="NA",AQ39="Cancelled")),"S7 BOM Procurement","All Stages Closed"))))))))</f>
        <v/>
      </c>
      <c r="F39" s="32" t="str">
        <f aca="false">IF($C39="","",IF(COUNTIF(M39,"Cancelled")+COUNTIF(R39,"Cancelled")+COUNTIF(W39,"Cancelled")+COUNTIF(AB39,"Cancelled")+COUNTIF(AG39,"Cancelled")+COUNTIF(AL39,"Cancelled")+COUNTIF(AQ39,"Cancelled")&gt;0,"Cancelled",IF(E39="All Stages Closed","Completed",IF(E39="S1 Schematic",M39,IF(E39="S2 PCB Layout",R39,IF(E39="S3 SI &amp; PI",W39,IF(E39="S4 Bare-PCB Fab",AB39,IF(E39="S5 Assembly",AG39,IF(E39="S6 Bring-up",AL39,AQ39)))))))))</f>
        <v/>
      </c>
      <c r="G39" s="33" t="str">
        <f aca="false">IF($C39="","",IF(E39="All Stages Closed","",IF(E39="S1 Schematic",IF(N39="","Not added",N39),IF(E39="S2 PCB Layout",IF(S39="","Not added",S39),IF(E39="S3 SI &amp; PI",IF(X39="","Not added",X39),IF(E39="S4 Bare-PCB Fab",IF(AC39="","Not added",AC39),IF(E39="S5 Assembly",IF(AH39="","Not added",AH39),IF(E39="S6 Bring-up",IF(AM39="","Not added",AM39),IF(AR39="","Not added",AR39)))))))))</f>
        <v/>
      </c>
      <c r="H39" s="32" t="str">
        <f aca="true">IF($C39="","",IF(OR(F39="Completed",F39="Cancelled"),"",IF(NOT(ISNUMBER(G39)),"No date set",IF(TODAY()&gt;G39,TODAY()-G39&amp;" days late",G39-TODAY()&amp;" days left"))))</f>
        <v/>
      </c>
      <c r="I39" s="31" t="str">
        <f aca="false">IF($C39="","",COUNTIF(M39,"Completed")+COUNTIF(R39,"Completed")+COUNTIF(W39,"Completed")+COUNTIF(AB39,"Completed")+COUNTIF(AG39,"Completed")+COUNTIF(AL39,"Completed")+COUNTIF(AQ39,"Completed"))</f>
        <v/>
      </c>
      <c r="J39" s="31" t="str">
        <f aca="false">IF($C39="","",7-(COUNTIF(M39,"NA")+COUNTIF(R39,"NA")+COUNTIF(W39,"NA")+COUNTIF(AB39,"NA")+COUNTIF(AG39,"NA")+COUNTIF(AL39,"NA")+COUNTIF(AQ39,"NA")))</f>
        <v/>
      </c>
      <c r="K39" s="34" t="str">
        <f aca="false">IFERROR(I39/J39,"")</f>
        <v/>
      </c>
      <c r="L39" s="29"/>
      <c r="M39" s="35"/>
      <c r="N39" s="36"/>
      <c r="O39" s="36"/>
      <c r="P39" s="30"/>
      <c r="Q39" s="29"/>
      <c r="R39" s="35"/>
      <c r="S39" s="36"/>
      <c r="T39" s="36"/>
      <c r="U39" s="30"/>
      <c r="V39" s="29"/>
      <c r="W39" s="35"/>
      <c r="X39" s="36"/>
      <c r="Y39" s="36"/>
      <c r="Z39" s="30"/>
      <c r="AA39" s="29"/>
      <c r="AB39" s="35"/>
      <c r="AC39" s="36"/>
      <c r="AD39" s="36"/>
      <c r="AE39" s="30"/>
      <c r="AF39" s="29"/>
      <c r="AG39" s="35"/>
      <c r="AH39" s="36"/>
      <c r="AI39" s="36"/>
      <c r="AJ39" s="30"/>
      <c r="AK39" s="29"/>
      <c r="AL39" s="35"/>
      <c r="AM39" s="36"/>
      <c r="AN39" s="36"/>
      <c r="AO39" s="30"/>
      <c r="AP39" s="29"/>
      <c r="AQ39" s="35"/>
      <c r="AR39" s="36"/>
      <c r="AS39" s="36"/>
      <c r="AT39" s="30"/>
      <c r="AU39" s="29"/>
      <c r="AV39" s="29"/>
      <c r="AW39" s="29"/>
      <c r="AX39" s="37"/>
      <c r="AY39" s="39" t="str">
        <f aca="false">IF(AU39&lt;&gt;"Yes","",IF(AV39="","SELECT RE-ENTRY STAGE","MOVE TO ACTIVE at "&amp;AV39))</f>
        <v/>
      </c>
      <c r="AZ39" s="40" t="str">
        <f aca="false">IF(AU39="Yes",COUNTIF($AU$6:AU39,"Yes"),"")</f>
        <v/>
      </c>
      <c r="BA39" s="29"/>
      <c r="BB39" s="38" t="str">
        <f aca="false">IF($C39="","",IF(OR(F39="Completed",F39="Cancelled"),"",IF(AND(OR(F39="On Hold",ISNUMBER(VALUE(LEFT(H39,2)))),BA39=""),"Reason not given","")))</f>
        <v/>
      </c>
      <c r="BC39" s="30"/>
    </row>
    <row r="40" customFormat="false" ht="19.5" hidden="false" customHeight="true" outlineLevel="0" collapsed="false">
      <c r="A40" s="28" t="str">
        <f aca="false">IF($C40="","",COUNTA($C$6:$C40))</f>
        <v/>
      </c>
      <c r="B40" s="29"/>
      <c r="C40" s="30"/>
      <c r="D40" s="29"/>
      <c r="E40" s="31" t="str">
        <f aca="false">IF($C40="","",IF(NOT(OR(M40="Completed",M40="NA",M40="Cancelled")),"S1 Schematic",IF(NOT(OR(R40="Completed",R40="NA",R40="Cancelled")),"S2 PCB Layout",IF(NOT(OR(W40="Completed",W40="NA",W40="Cancelled")),"S3 SI &amp; PI",IF(NOT(OR(AB40="Completed",AB40="NA",AB40="Cancelled")),"S4 Bare-PCB Fab",IF(NOT(OR(AG40="Completed",AG40="NA",AG40="Cancelled")),"S5 Assembly",IF(NOT(OR(AL40="Completed",AL40="NA",AL40="Cancelled")),"S6 Bring-up",IF(NOT(OR(AQ40="Completed",AQ40="NA",AQ40="Cancelled")),"S7 BOM Procurement","All Stages Closed"))))))))</f>
        <v/>
      </c>
      <c r="F40" s="32" t="str">
        <f aca="false">IF($C40="","",IF(COUNTIF(M40,"Cancelled")+COUNTIF(R40,"Cancelled")+COUNTIF(W40,"Cancelled")+COUNTIF(AB40,"Cancelled")+COUNTIF(AG40,"Cancelled")+COUNTIF(AL40,"Cancelled")+COUNTIF(AQ40,"Cancelled")&gt;0,"Cancelled",IF(E40="All Stages Closed","Completed",IF(E40="S1 Schematic",M40,IF(E40="S2 PCB Layout",R40,IF(E40="S3 SI &amp; PI",W40,IF(E40="S4 Bare-PCB Fab",AB40,IF(E40="S5 Assembly",AG40,IF(E40="S6 Bring-up",AL40,AQ40)))))))))</f>
        <v/>
      </c>
      <c r="G40" s="33" t="str">
        <f aca="false">IF($C40="","",IF(E40="All Stages Closed","",IF(E40="S1 Schematic",IF(N40="","Not added",N40),IF(E40="S2 PCB Layout",IF(S40="","Not added",S40),IF(E40="S3 SI &amp; PI",IF(X40="","Not added",X40),IF(E40="S4 Bare-PCB Fab",IF(AC40="","Not added",AC40),IF(E40="S5 Assembly",IF(AH40="","Not added",AH40),IF(E40="S6 Bring-up",IF(AM40="","Not added",AM40),IF(AR40="","Not added",AR40)))))))))</f>
        <v/>
      </c>
      <c r="H40" s="32" t="str">
        <f aca="true">IF($C40="","",IF(OR(F40="Completed",F40="Cancelled"),"",IF(NOT(ISNUMBER(G40)),"No date set",IF(TODAY()&gt;G40,TODAY()-G40&amp;" days late",G40-TODAY()&amp;" days left"))))</f>
        <v/>
      </c>
      <c r="I40" s="31" t="str">
        <f aca="false">IF($C40="","",COUNTIF(M40,"Completed")+COUNTIF(R40,"Completed")+COUNTIF(W40,"Completed")+COUNTIF(AB40,"Completed")+COUNTIF(AG40,"Completed")+COUNTIF(AL40,"Completed")+COUNTIF(AQ40,"Completed"))</f>
        <v/>
      </c>
      <c r="J40" s="31" t="str">
        <f aca="false">IF($C40="","",7-(COUNTIF(M40,"NA")+COUNTIF(R40,"NA")+COUNTIF(W40,"NA")+COUNTIF(AB40,"NA")+COUNTIF(AG40,"NA")+COUNTIF(AL40,"NA")+COUNTIF(AQ40,"NA")))</f>
        <v/>
      </c>
      <c r="K40" s="34" t="str">
        <f aca="false">IFERROR(I40/J40,"")</f>
        <v/>
      </c>
      <c r="L40" s="29"/>
      <c r="M40" s="35"/>
      <c r="N40" s="36"/>
      <c r="O40" s="36"/>
      <c r="P40" s="30"/>
      <c r="Q40" s="29"/>
      <c r="R40" s="35"/>
      <c r="S40" s="36"/>
      <c r="T40" s="36"/>
      <c r="U40" s="30"/>
      <c r="V40" s="29"/>
      <c r="W40" s="35"/>
      <c r="X40" s="36"/>
      <c r="Y40" s="36"/>
      <c r="Z40" s="30"/>
      <c r="AA40" s="29"/>
      <c r="AB40" s="35"/>
      <c r="AC40" s="36"/>
      <c r="AD40" s="36"/>
      <c r="AE40" s="30"/>
      <c r="AF40" s="29"/>
      <c r="AG40" s="35"/>
      <c r="AH40" s="36"/>
      <c r="AI40" s="36"/>
      <c r="AJ40" s="30"/>
      <c r="AK40" s="29"/>
      <c r="AL40" s="35"/>
      <c r="AM40" s="36"/>
      <c r="AN40" s="36"/>
      <c r="AO40" s="30"/>
      <c r="AP40" s="29"/>
      <c r="AQ40" s="35"/>
      <c r="AR40" s="36"/>
      <c r="AS40" s="36"/>
      <c r="AT40" s="30"/>
      <c r="AU40" s="29"/>
      <c r="AV40" s="29"/>
      <c r="AW40" s="29"/>
      <c r="AX40" s="37"/>
      <c r="AY40" s="39" t="str">
        <f aca="false">IF(AU40&lt;&gt;"Yes","",IF(AV40="","SELECT RE-ENTRY STAGE","MOVE TO ACTIVE at "&amp;AV40))</f>
        <v/>
      </c>
      <c r="AZ40" s="40" t="str">
        <f aca="false">IF(AU40="Yes",COUNTIF($AU$6:AU40,"Yes"),"")</f>
        <v/>
      </c>
      <c r="BA40" s="29"/>
      <c r="BB40" s="38" t="str">
        <f aca="false">IF($C40="","",IF(OR(F40="Completed",F40="Cancelled"),"",IF(AND(OR(F40="On Hold",ISNUMBER(VALUE(LEFT(H40,2)))),BA40=""),"Reason not given","")))</f>
        <v/>
      </c>
      <c r="BC40" s="30"/>
    </row>
    <row r="41" customFormat="false" ht="19.5" hidden="false" customHeight="true" outlineLevel="0" collapsed="false">
      <c r="A41" s="28" t="str">
        <f aca="false">IF($C41="","",COUNTA($C$6:$C41))</f>
        <v/>
      </c>
      <c r="B41" s="29"/>
      <c r="C41" s="30"/>
      <c r="D41" s="29"/>
      <c r="E41" s="31" t="str">
        <f aca="false">IF($C41="","",IF(NOT(OR(M41="Completed",M41="NA",M41="Cancelled")),"S1 Schematic",IF(NOT(OR(R41="Completed",R41="NA",R41="Cancelled")),"S2 PCB Layout",IF(NOT(OR(W41="Completed",W41="NA",W41="Cancelled")),"S3 SI &amp; PI",IF(NOT(OR(AB41="Completed",AB41="NA",AB41="Cancelled")),"S4 Bare-PCB Fab",IF(NOT(OR(AG41="Completed",AG41="NA",AG41="Cancelled")),"S5 Assembly",IF(NOT(OR(AL41="Completed",AL41="NA",AL41="Cancelled")),"S6 Bring-up",IF(NOT(OR(AQ41="Completed",AQ41="NA",AQ41="Cancelled")),"S7 BOM Procurement","All Stages Closed"))))))))</f>
        <v/>
      </c>
      <c r="F41" s="32" t="str">
        <f aca="false">IF($C41="","",IF(COUNTIF(M41,"Cancelled")+COUNTIF(R41,"Cancelled")+COUNTIF(W41,"Cancelled")+COUNTIF(AB41,"Cancelled")+COUNTIF(AG41,"Cancelled")+COUNTIF(AL41,"Cancelled")+COUNTIF(AQ41,"Cancelled")&gt;0,"Cancelled",IF(E41="All Stages Closed","Completed",IF(E41="S1 Schematic",M41,IF(E41="S2 PCB Layout",R41,IF(E41="S3 SI &amp; PI",W41,IF(E41="S4 Bare-PCB Fab",AB41,IF(E41="S5 Assembly",AG41,IF(E41="S6 Bring-up",AL41,AQ41)))))))))</f>
        <v/>
      </c>
      <c r="G41" s="33" t="str">
        <f aca="false">IF($C41="","",IF(E41="All Stages Closed","",IF(E41="S1 Schematic",IF(N41="","Not added",N41),IF(E41="S2 PCB Layout",IF(S41="","Not added",S41),IF(E41="S3 SI &amp; PI",IF(X41="","Not added",X41),IF(E41="S4 Bare-PCB Fab",IF(AC41="","Not added",AC41),IF(E41="S5 Assembly",IF(AH41="","Not added",AH41),IF(E41="S6 Bring-up",IF(AM41="","Not added",AM41),IF(AR41="","Not added",AR41)))))))))</f>
        <v/>
      </c>
      <c r="H41" s="32" t="str">
        <f aca="true">IF($C41="","",IF(OR(F41="Completed",F41="Cancelled"),"",IF(NOT(ISNUMBER(G41)),"No date set",IF(TODAY()&gt;G41,TODAY()-G41&amp;" days late",G41-TODAY()&amp;" days left"))))</f>
        <v/>
      </c>
      <c r="I41" s="31" t="str">
        <f aca="false">IF($C41="","",COUNTIF(M41,"Completed")+COUNTIF(R41,"Completed")+COUNTIF(W41,"Completed")+COUNTIF(AB41,"Completed")+COUNTIF(AG41,"Completed")+COUNTIF(AL41,"Completed")+COUNTIF(AQ41,"Completed"))</f>
        <v/>
      </c>
      <c r="J41" s="31" t="str">
        <f aca="false">IF($C41="","",7-(COUNTIF(M41,"NA")+COUNTIF(R41,"NA")+COUNTIF(W41,"NA")+COUNTIF(AB41,"NA")+COUNTIF(AG41,"NA")+COUNTIF(AL41,"NA")+COUNTIF(AQ41,"NA")))</f>
        <v/>
      </c>
      <c r="K41" s="34" t="str">
        <f aca="false">IFERROR(I41/J41,"")</f>
        <v/>
      </c>
      <c r="L41" s="29"/>
      <c r="M41" s="35"/>
      <c r="N41" s="36"/>
      <c r="O41" s="36"/>
      <c r="P41" s="30"/>
      <c r="Q41" s="29"/>
      <c r="R41" s="35"/>
      <c r="S41" s="36"/>
      <c r="T41" s="36"/>
      <c r="U41" s="30"/>
      <c r="V41" s="29"/>
      <c r="W41" s="35"/>
      <c r="X41" s="36"/>
      <c r="Y41" s="36"/>
      <c r="Z41" s="30"/>
      <c r="AA41" s="29"/>
      <c r="AB41" s="35"/>
      <c r="AC41" s="36"/>
      <c r="AD41" s="36"/>
      <c r="AE41" s="30"/>
      <c r="AF41" s="29"/>
      <c r="AG41" s="35"/>
      <c r="AH41" s="36"/>
      <c r="AI41" s="36"/>
      <c r="AJ41" s="30"/>
      <c r="AK41" s="29"/>
      <c r="AL41" s="35"/>
      <c r="AM41" s="36"/>
      <c r="AN41" s="36"/>
      <c r="AO41" s="30"/>
      <c r="AP41" s="29"/>
      <c r="AQ41" s="35"/>
      <c r="AR41" s="36"/>
      <c r="AS41" s="36"/>
      <c r="AT41" s="30"/>
      <c r="AU41" s="29"/>
      <c r="AV41" s="29"/>
      <c r="AW41" s="29"/>
      <c r="AX41" s="37"/>
      <c r="AY41" s="39" t="str">
        <f aca="false">IF(AU41&lt;&gt;"Yes","",IF(AV41="","SELECT RE-ENTRY STAGE","MOVE TO ACTIVE at "&amp;AV41))</f>
        <v/>
      </c>
      <c r="AZ41" s="40" t="str">
        <f aca="false">IF(AU41="Yes",COUNTIF($AU$6:AU41,"Yes"),"")</f>
        <v/>
      </c>
      <c r="BA41" s="29"/>
      <c r="BB41" s="38" t="str">
        <f aca="false">IF($C41="","",IF(OR(F41="Completed",F41="Cancelled"),"",IF(AND(OR(F41="On Hold",ISNUMBER(VALUE(LEFT(H41,2)))),BA41=""),"Reason not given","")))</f>
        <v/>
      </c>
      <c r="BC41" s="30"/>
    </row>
    <row r="42" customFormat="false" ht="19.5" hidden="false" customHeight="true" outlineLevel="0" collapsed="false">
      <c r="A42" s="28" t="str">
        <f aca="false">IF($C42="","",COUNTA($C$6:$C42))</f>
        <v/>
      </c>
      <c r="B42" s="29"/>
      <c r="C42" s="30"/>
      <c r="D42" s="29"/>
      <c r="E42" s="31" t="str">
        <f aca="false">IF($C42="","",IF(NOT(OR(M42="Completed",M42="NA",M42="Cancelled")),"S1 Schematic",IF(NOT(OR(R42="Completed",R42="NA",R42="Cancelled")),"S2 PCB Layout",IF(NOT(OR(W42="Completed",W42="NA",W42="Cancelled")),"S3 SI &amp; PI",IF(NOT(OR(AB42="Completed",AB42="NA",AB42="Cancelled")),"S4 Bare-PCB Fab",IF(NOT(OR(AG42="Completed",AG42="NA",AG42="Cancelled")),"S5 Assembly",IF(NOT(OR(AL42="Completed",AL42="NA",AL42="Cancelled")),"S6 Bring-up",IF(NOT(OR(AQ42="Completed",AQ42="NA",AQ42="Cancelled")),"S7 BOM Procurement","All Stages Closed"))))))))</f>
        <v/>
      </c>
      <c r="F42" s="32" t="str">
        <f aca="false">IF($C42="","",IF(COUNTIF(M42,"Cancelled")+COUNTIF(R42,"Cancelled")+COUNTIF(W42,"Cancelled")+COUNTIF(AB42,"Cancelled")+COUNTIF(AG42,"Cancelled")+COUNTIF(AL42,"Cancelled")+COUNTIF(AQ42,"Cancelled")&gt;0,"Cancelled",IF(E42="All Stages Closed","Completed",IF(E42="S1 Schematic",M42,IF(E42="S2 PCB Layout",R42,IF(E42="S3 SI &amp; PI",W42,IF(E42="S4 Bare-PCB Fab",AB42,IF(E42="S5 Assembly",AG42,IF(E42="S6 Bring-up",AL42,AQ42)))))))))</f>
        <v/>
      </c>
      <c r="G42" s="33" t="str">
        <f aca="false">IF($C42="","",IF(E42="All Stages Closed","",IF(E42="S1 Schematic",IF(N42="","Not added",N42),IF(E42="S2 PCB Layout",IF(S42="","Not added",S42),IF(E42="S3 SI &amp; PI",IF(X42="","Not added",X42),IF(E42="S4 Bare-PCB Fab",IF(AC42="","Not added",AC42),IF(E42="S5 Assembly",IF(AH42="","Not added",AH42),IF(E42="S6 Bring-up",IF(AM42="","Not added",AM42),IF(AR42="","Not added",AR42)))))))))</f>
        <v/>
      </c>
      <c r="H42" s="32" t="str">
        <f aca="true">IF($C42="","",IF(OR(F42="Completed",F42="Cancelled"),"",IF(NOT(ISNUMBER(G42)),"No date set",IF(TODAY()&gt;G42,TODAY()-G42&amp;" days late",G42-TODAY()&amp;" days left"))))</f>
        <v/>
      </c>
      <c r="I42" s="31" t="str">
        <f aca="false">IF($C42="","",COUNTIF(M42,"Completed")+COUNTIF(R42,"Completed")+COUNTIF(W42,"Completed")+COUNTIF(AB42,"Completed")+COUNTIF(AG42,"Completed")+COUNTIF(AL42,"Completed")+COUNTIF(AQ42,"Completed"))</f>
        <v/>
      </c>
      <c r="J42" s="31" t="str">
        <f aca="false">IF($C42="","",7-(COUNTIF(M42,"NA")+COUNTIF(R42,"NA")+COUNTIF(W42,"NA")+COUNTIF(AB42,"NA")+COUNTIF(AG42,"NA")+COUNTIF(AL42,"NA")+COUNTIF(AQ42,"NA")))</f>
        <v/>
      </c>
      <c r="K42" s="34" t="str">
        <f aca="false">IFERROR(I42/J42,"")</f>
        <v/>
      </c>
      <c r="L42" s="29"/>
      <c r="M42" s="35"/>
      <c r="N42" s="36"/>
      <c r="O42" s="36"/>
      <c r="P42" s="30"/>
      <c r="Q42" s="29"/>
      <c r="R42" s="35"/>
      <c r="S42" s="36"/>
      <c r="T42" s="36"/>
      <c r="U42" s="30"/>
      <c r="V42" s="29"/>
      <c r="W42" s="35"/>
      <c r="X42" s="36"/>
      <c r="Y42" s="36"/>
      <c r="Z42" s="30"/>
      <c r="AA42" s="29"/>
      <c r="AB42" s="35"/>
      <c r="AC42" s="36"/>
      <c r="AD42" s="36"/>
      <c r="AE42" s="30"/>
      <c r="AF42" s="29"/>
      <c r="AG42" s="35"/>
      <c r="AH42" s="36"/>
      <c r="AI42" s="36"/>
      <c r="AJ42" s="30"/>
      <c r="AK42" s="29"/>
      <c r="AL42" s="35"/>
      <c r="AM42" s="36"/>
      <c r="AN42" s="36"/>
      <c r="AO42" s="30"/>
      <c r="AP42" s="29"/>
      <c r="AQ42" s="35"/>
      <c r="AR42" s="36"/>
      <c r="AS42" s="36"/>
      <c r="AT42" s="30"/>
      <c r="AU42" s="29"/>
      <c r="AV42" s="29"/>
      <c r="AW42" s="29"/>
      <c r="AX42" s="37"/>
      <c r="AY42" s="39" t="str">
        <f aca="false">IF(AU42&lt;&gt;"Yes","",IF(AV42="","SELECT RE-ENTRY STAGE","MOVE TO ACTIVE at "&amp;AV42))</f>
        <v/>
      </c>
      <c r="AZ42" s="40" t="str">
        <f aca="false">IF(AU42="Yes",COUNTIF($AU$6:AU42,"Yes"),"")</f>
        <v/>
      </c>
      <c r="BA42" s="29"/>
      <c r="BB42" s="38" t="str">
        <f aca="false">IF($C42="","",IF(OR(F42="Completed",F42="Cancelled"),"",IF(AND(OR(F42="On Hold",ISNUMBER(VALUE(LEFT(H42,2)))),BA42=""),"Reason not given","")))</f>
        <v/>
      </c>
      <c r="BC42" s="30"/>
    </row>
    <row r="43" customFormat="false" ht="19.5" hidden="false" customHeight="true" outlineLevel="0" collapsed="false">
      <c r="A43" s="28" t="str">
        <f aca="false">IF($C43="","",COUNTA($C$6:$C43))</f>
        <v/>
      </c>
      <c r="B43" s="29"/>
      <c r="C43" s="30"/>
      <c r="D43" s="29"/>
      <c r="E43" s="31" t="str">
        <f aca="false">IF($C43="","",IF(NOT(OR(M43="Completed",M43="NA",M43="Cancelled")),"S1 Schematic",IF(NOT(OR(R43="Completed",R43="NA",R43="Cancelled")),"S2 PCB Layout",IF(NOT(OR(W43="Completed",W43="NA",W43="Cancelled")),"S3 SI &amp; PI",IF(NOT(OR(AB43="Completed",AB43="NA",AB43="Cancelled")),"S4 Bare-PCB Fab",IF(NOT(OR(AG43="Completed",AG43="NA",AG43="Cancelled")),"S5 Assembly",IF(NOT(OR(AL43="Completed",AL43="NA",AL43="Cancelled")),"S6 Bring-up",IF(NOT(OR(AQ43="Completed",AQ43="NA",AQ43="Cancelled")),"S7 BOM Procurement","All Stages Closed"))))))))</f>
        <v/>
      </c>
      <c r="F43" s="32" t="str">
        <f aca="false">IF($C43="","",IF(COUNTIF(M43,"Cancelled")+COUNTIF(R43,"Cancelled")+COUNTIF(W43,"Cancelled")+COUNTIF(AB43,"Cancelled")+COUNTIF(AG43,"Cancelled")+COUNTIF(AL43,"Cancelled")+COUNTIF(AQ43,"Cancelled")&gt;0,"Cancelled",IF(E43="All Stages Closed","Completed",IF(E43="S1 Schematic",M43,IF(E43="S2 PCB Layout",R43,IF(E43="S3 SI &amp; PI",W43,IF(E43="S4 Bare-PCB Fab",AB43,IF(E43="S5 Assembly",AG43,IF(E43="S6 Bring-up",AL43,AQ43)))))))))</f>
        <v/>
      </c>
      <c r="G43" s="33" t="str">
        <f aca="false">IF($C43="","",IF(E43="All Stages Closed","",IF(E43="S1 Schematic",IF(N43="","Not added",N43),IF(E43="S2 PCB Layout",IF(S43="","Not added",S43),IF(E43="S3 SI &amp; PI",IF(X43="","Not added",X43),IF(E43="S4 Bare-PCB Fab",IF(AC43="","Not added",AC43),IF(E43="S5 Assembly",IF(AH43="","Not added",AH43),IF(E43="S6 Bring-up",IF(AM43="","Not added",AM43),IF(AR43="","Not added",AR43)))))))))</f>
        <v/>
      </c>
      <c r="H43" s="32" t="str">
        <f aca="true">IF($C43="","",IF(OR(F43="Completed",F43="Cancelled"),"",IF(NOT(ISNUMBER(G43)),"No date set",IF(TODAY()&gt;G43,TODAY()-G43&amp;" days late",G43-TODAY()&amp;" days left"))))</f>
        <v/>
      </c>
      <c r="I43" s="31" t="str">
        <f aca="false">IF($C43="","",COUNTIF(M43,"Completed")+COUNTIF(R43,"Completed")+COUNTIF(W43,"Completed")+COUNTIF(AB43,"Completed")+COUNTIF(AG43,"Completed")+COUNTIF(AL43,"Completed")+COUNTIF(AQ43,"Completed"))</f>
        <v/>
      </c>
      <c r="J43" s="31" t="str">
        <f aca="false">IF($C43="","",7-(COUNTIF(M43,"NA")+COUNTIF(R43,"NA")+COUNTIF(W43,"NA")+COUNTIF(AB43,"NA")+COUNTIF(AG43,"NA")+COUNTIF(AL43,"NA")+COUNTIF(AQ43,"NA")))</f>
        <v/>
      </c>
      <c r="K43" s="34" t="str">
        <f aca="false">IFERROR(I43/J43,"")</f>
        <v/>
      </c>
      <c r="L43" s="29"/>
      <c r="M43" s="35"/>
      <c r="N43" s="36"/>
      <c r="O43" s="36"/>
      <c r="P43" s="30"/>
      <c r="Q43" s="29"/>
      <c r="R43" s="35"/>
      <c r="S43" s="36"/>
      <c r="T43" s="36"/>
      <c r="U43" s="30"/>
      <c r="V43" s="29"/>
      <c r="W43" s="35"/>
      <c r="X43" s="36"/>
      <c r="Y43" s="36"/>
      <c r="Z43" s="30"/>
      <c r="AA43" s="29"/>
      <c r="AB43" s="35"/>
      <c r="AC43" s="36"/>
      <c r="AD43" s="36"/>
      <c r="AE43" s="30"/>
      <c r="AF43" s="29"/>
      <c r="AG43" s="35"/>
      <c r="AH43" s="36"/>
      <c r="AI43" s="36"/>
      <c r="AJ43" s="30"/>
      <c r="AK43" s="29"/>
      <c r="AL43" s="35"/>
      <c r="AM43" s="36"/>
      <c r="AN43" s="36"/>
      <c r="AO43" s="30"/>
      <c r="AP43" s="29"/>
      <c r="AQ43" s="35"/>
      <c r="AR43" s="36"/>
      <c r="AS43" s="36"/>
      <c r="AT43" s="30"/>
      <c r="AU43" s="29"/>
      <c r="AV43" s="29"/>
      <c r="AW43" s="29"/>
      <c r="AX43" s="37"/>
      <c r="AY43" s="39" t="str">
        <f aca="false">IF(AU43&lt;&gt;"Yes","",IF(AV43="","SELECT RE-ENTRY STAGE","MOVE TO ACTIVE at "&amp;AV43))</f>
        <v/>
      </c>
      <c r="AZ43" s="40" t="str">
        <f aca="false">IF(AU43="Yes",COUNTIF($AU$6:AU43,"Yes"),"")</f>
        <v/>
      </c>
      <c r="BA43" s="29"/>
      <c r="BB43" s="38" t="str">
        <f aca="false">IF($C43="","",IF(OR(F43="Completed",F43="Cancelled"),"",IF(AND(OR(F43="On Hold",ISNUMBER(VALUE(LEFT(H43,2)))),BA43=""),"Reason not given","")))</f>
        <v/>
      </c>
      <c r="BC43" s="30"/>
    </row>
    <row r="44" customFormat="false" ht="19.5" hidden="false" customHeight="true" outlineLevel="0" collapsed="false">
      <c r="A44" s="28" t="str">
        <f aca="false">IF($C44="","",COUNTA($C$6:$C44))</f>
        <v/>
      </c>
      <c r="B44" s="29"/>
      <c r="C44" s="30"/>
      <c r="D44" s="29"/>
      <c r="E44" s="31" t="str">
        <f aca="false">IF($C44="","",IF(NOT(OR(M44="Completed",M44="NA",M44="Cancelled")),"S1 Schematic",IF(NOT(OR(R44="Completed",R44="NA",R44="Cancelled")),"S2 PCB Layout",IF(NOT(OR(W44="Completed",W44="NA",W44="Cancelled")),"S3 SI &amp; PI",IF(NOT(OR(AB44="Completed",AB44="NA",AB44="Cancelled")),"S4 Bare-PCB Fab",IF(NOT(OR(AG44="Completed",AG44="NA",AG44="Cancelled")),"S5 Assembly",IF(NOT(OR(AL44="Completed",AL44="NA",AL44="Cancelled")),"S6 Bring-up",IF(NOT(OR(AQ44="Completed",AQ44="NA",AQ44="Cancelled")),"S7 BOM Procurement","All Stages Closed"))))))))</f>
        <v/>
      </c>
      <c r="F44" s="32" t="str">
        <f aca="false">IF($C44="","",IF(COUNTIF(M44,"Cancelled")+COUNTIF(R44,"Cancelled")+COUNTIF(W44,"Cancelled")+COUNTIF(AB44,"Cancelled")+COUNTIF(AG44,"Cancelled")+COUNTIF(AL44,"Cancelled")+COUNTIF(AQ44,"Cancelled")&gt;0,"Cancelled",IF(E44="All Stages Closed","Completed",IF(E44="S1 Schematic",M44,IF(E44="S2 PCB Layout",R44,IF(E44="S3 SI &amp; PI",W44,IF(E44="S4 Bare-PCB Fab",AB44,IF(E44="S5 Assembly",AG44,IF(E44="S6 Bring-up",AL44,AQ44)))))))))</f>
        <v/>
      </c>
      <c r="G44" s="33" t="str">
        <f aca="false">IF($C44="","",IF(E44="All Stages Closed","",IF(E44="S1 Schematic",IF(N44="","Not added",N44),IF(E44="S2 PCB Layout",IF(S44="","Not added",S44),IF(E44="S3 SI &amp; PI",IF(X44="","Not added",X44),IF(E44="S4 Bare-PCB Fab",IF(AC44="","Not added",AC44),IF(E44="S5 Assembly",IF(AH44="","Not added",AH44),IF(E44="S6 Bring-up",IF(AM44="","Not added",AM44),IF(AR44="","Not added",AR44)))))))))</f>
        <v/>
      </c>
      <c r="H44" s="32" t="str">
        <f aca="true">IF($C44="","",IF(OR(F44="Completed",F44="Cancelled"),"",IF(NOT(ISNUMBER(G44)),"No date set",IF(TODAY()&gt;G44,TODAY()-G44&amp;" days late",G44-TODAY()&amp;" days left"))))</f>
        <v/>
      </c>
      <c r="I44" s="31" t="str">
        <f aca="false">IF($C44="","",COUNTIF(M44,"Completed")+COUNTIF(R44,"Completed")+COUNTIF(W44,"Completed")+COUNTIF(AB44,"Completed")+COUNTIF(AG44,"Completed")+COUNTIF(AL44,"Completed")+COUNTIF(AQ44,"Completed"))</f>
        <v/>
      </c>
      <c r="J44" s="31" t="str">
        <f aca="false">IF($C44="","",7-(COUNTIF(M44,"NA")+COUNTIF(R44,"NA")+COUNTIF(W44,"NA")+COUNTIF(AB44,"NA")+COUNTIF(AG44,"NA")+COUNTIF(AL44,"NA")+COUNTIF(AQ44,"NA")))</f>
        <v/>
      </c>
      <c r="K44" s="34" t="str">
        <f aca="false">IFERROR(I44/J44,"")</f>
        <v/>
      </c>
      <c r="L44" s="29"/>
      <c r="M44" s="35"/>
      <c r="N44" s="36"/>
      <c r="O44" s="36"/>
      <c r="P44" s="30"/>
      <c r="Q44" s="29"/>
      <c r="R44" s="35"/>
      <c r="S44" s="36"/>
      <c r="T44" s="36"/>
      <c r="U44" s="30"/>
      <c r="V44" s="29"/>
      <c r="W44" s="35"/>
      <c r="X44" s="36"/>
      <c r="Y44" s="36"/>
      <c r="Z44" s="30"/>
      <c r="AA44" s="29"/>
      <c r="AB44" s="35"/>
      <c r="AC44" s="36"/>
      <c r="AD44" s="36"/>
      <c r="AE44" s="30"/>
      <c r="AF44" s="29"/>
      <c r="AG44" s="35"/>
      <c r="AH44" s="36"/>
      <c r="AI44" s="36"/>
      <c r="AJ44" s="30"/>
      <c r="AK44" s="29"/>
      <c r="AL44" s="35"/>
      <c r="AM44" s="36"/>
      <c r="AN44" s="36"/>
      <c r="AO44" s="30"/>
      <c r="AP44" s="29"/>
      <c r="AQ44" s="35"/>
      <c r="AR44" s="36"/>
      <c r="AS44" s="36"/>
      <c r="AT44" s="30"/>
      <c r="AU44" s="29"/>
      <c r="AV44" s="29"/>
      <c r="AW44" s="29"/>
      <c r="AX44" s="37"/>
      <c r="AY44" s="39" t="str">
        <f aca="false">IF(AU44&lt;&gt;"Yes","",IF(AV44="","SELECT RE-ENTRY STAGE","MOVE TO ACTIVE at "&amp;AV44))</f>
        <v/>
      </c>
      <c r="AZ44" s="40" t="str">
        <f aca="false">IF(AU44="Yes",COUNTIF($AU$6:AU44,"Yes"),"")</f>
        <v/>
      </c>
      <c r="BA44" s="29"/>
      <c r="BB44" s="38" t="str">
        <f aca="false">IF($C44="","",IF(OR(F44="Completed",F44="Cancelled"),"",IF(AND(OR(F44="On Hold",ISNUMBER(VALUE(LEFT(H44,2)))),BA44=""),"Reason not given","")))</f>
        <v/>
      </c>
      <c r="BC44" s="30"/>
    </row>
    <row r="45" customFormat="false" ht="19.5" hidden="false" customHeight="true" outlineLevel="0" collapsed="false">
      <c r="A45" s="28" t="str">
        <f aca="false">IF($C45="","",COUNTA($C$6:$C45))</f>
        <v/>
      </c>
      <c r="B45" s="29"/>
      <c r="C45" s="30"/>
      <c r="D45" s="29"/>
      <c r="E45" s="31" t="str">
        <f aca="false">IF($C45="","",IF(NOT(OR(M45="Completed",M45="NA",M45="Cancelled")),"S1 Schematic",IF(NOT(OR(R45="Completed",R45="NA",R45="Cancelled")),"S2 PCB Layout",IF(NOT(OR(W45="Completed",W45="NA",W45="Cancelled")),"S3 SI &amp; PI",IF(NOT(OR(AB45="Completed",AB45="NA",AB45="Cancelled")),"S4 Bare-PCB Fab",IF(NOT(OR(AG45="Completed",AG45="NA",AG45="Cancelled")),"S5 Assembly",IF(NOT(OR(AL45="Completed",AL45="NA",AL45="Cancelled")),"S6 Bring-up",IF(NOT(OR(AQ45="Completed",AQ45="NA",AQ45="Cancelled")),"S7 BOM Procurement","All Stages Closed"))))))))</f>
        <v/>
      </c>
      <c r="F45" s="32" t="str">
        <f aca="false">IF($C45="","",IF(COUNTIF(M45,"Cancelled")+COUNTIF(R45,"Cancelled")+COUNTIF(W45,"Cancelled")+COUNTIF(AB45,"Cancelled")+COUNTIF(AG45,"Cancelled")+COUNTIF(AL45,"Cancelled")+COUNTIF(AQ45,"Cancelled")&gt;0,"Cancelled",IF(E45="All Stages Closed","Completed",IF(E45="S1 Schematic",M45,IF(E45="S2 PCB Layout",R45,IF(E45="S3 SI &amp; PI",W45,IF(E45="S4 Bare-PCB Fab",AB45,IF(E45="S5 Assembly",AG45,IF(E45="S6 Bring-up",AL45,AQ45)))))))))</f>
        <v/>
      </c>
      <c r="G45" s="33" t="str">
        <f aca="false">IF($C45="","",IF(E45="All Stages Closed","",IF(E45="S1 Schematic",IF(N45="","Not added",N45),IF(E45="S2 PCB Layout",IF(S45="","Not added",S45),IF(E45="S3 SI &amp; PI",IF(X45="","Not added",X45),IF(E45="S4 Bare-PCB Fab",IF(AC45="","Not added",AC45),IF(E45="S5 Assembly",IF(AH45="","Not added",AH45),IF(E45="S6 Bring-up",IF(AM45="","Not added",AM45),IF(AR45="","Not added",AR45)))))))))</f>
        <v/>
      </c>
      <c r="H45" s="32" t="str">
        <f aca="true">IF($C45="","",IF(OR(F45="Completed",F45="Cancelled"),"",IF(NOT(ISNUMBER(G45)),"No date set",IF(TODAY()&gt;G45,TODAY()-G45&amp;" days late",G45-TODAY()&amp;" days left"))))</f>
        <v/>
      </c>
      <c r="I45" s="31" t="str">
        <f aca="false">IF($C45="","",COUNTIF(M45,"Completed")+COUNTIF(R45,"Completed")+COUNTIF(W45,"Completed")+COUNTIF(AB45,"Completed")+COUNTIF(AG45,"Completed")+COUNTIF(AL45,"Completed")+COUNTIF(AQ45,"Completed"))</f>
        <v/>
      </c>
      <c r="J45" s="31" t="str">
        <f aca="false">IF($C45="","",7-(COUNTIF(M45,"NA")+COUNTIF(R45,"NA")+COUNTIF(W45,"NA")+COUNTIF(AB45,"NA")+COUNTIF(AG45,"NA")+COUNTIF(AL45,"NA")+COUNTIF(AQ45,"NA")))</f>
        <v/>
      </c>
      <c r="K45" s="34" t="str">
        <f aca="false">IFERROR(I45/J45,"")</f>
        <v/>
      </c>
      <c r="L45" s="29"/>
      <c r="M45" s="35"/>
      <c r="N45" s="36"/>
      <c r="O45" s="36"/>
      <c r="P45" s="30"/>
      <c r="Q45" s="29"/>
      <c r="R45" s="35"/>
      <c r="S45" s="36"/>
      <c r="T45" s="36"/>
      <c r="U45" s="30"/>
      <c r="V45" s="29"/>
      <c r="W45" s="35"/>
      <c r="X45" s="36"/>
      <c r="Y45" s="36"/>
      <c r="Z45" s="30"/>
      <c r="AA45" s="29"/>
      <c r="AB45" s="35"/>
      <c r="AC45" s="36"/>
      <c r="AD45" s="36"/>
      <c r="AE45" s="30"/>
      <c r="AF45" s="29"/>
      <c r="AG45" s="35"/>
      <c r="AH45" s="36"/>
      <c r="AI45" s="36"/>
      <c r="AJ45" s="30"/>
      <c r="AK45" s="29"/>
      <c r="AL45" s="35"/>
      <c r="AM45" s="36"/>
      <c r="AN45" s="36"/>
      <c r="AO45" s="30"/>
      <c r="AP45" s="29"/>
      <c r="AQ45" s="35"/>
      <c r="AR45" s="36"/>
      <c r="AS45" s="36"/>
      <c r="AT45" s="30"/>
      <c r="AU45" s="29"/>
      <c r="AV45" s="29"/>
      <c r="AW45" s="29"/>
      <c r="AX45" s="37"/>
      <c r="AY45" s="39" t="str">
        <f aca="false">IF(AU45&lt;&gt;"Yes","",IF(AV45="","SELECT RE-ENTRY STAGE","MOVE TO ACTIVE at "&amp;AV45))</f>
        <v/>
      </c>
      <c r="AZ45" s="40" t="str">
        <f aca="false">IF(AU45="Yes",COUNTIF($AU$6:AU45,"Yes"),"")</f>
        <v/>
      </c>
      <c r="BA45" s="29"/>
      <c r="BB45" s="38" t="str">
        <f aca="false">IF($C45="","",IF(OR(F45="Completed",F45="Cancelled"),"",IF(AND(OR(F45="On Hold",ISNUMBER(VALUE(LEFT(H45,2)))),BA45=""),"Reason not given","")))</f>
        <v/>
      </c>
      <c r="BC45" s="30"/>
    </row>
    <row r="46" customFormat="false" ht="19.5" hidden="false" customHeight="true" outlineLevel="0" collapsed="false">
      <c r="A46" s="28" t="str">
        <f aca="false">IF($C46="","",COUNTA($C$6:$C46))</f>
        <v/>
      </c>
      <c r="B46" s="29"/>
      <c r="C46" s="30"/>
      <c r="D46" s="29"/>
      <c r="E46" s="31" t="str">
        <f aca="false">IF($C46="","",IF(NOT(OR(M46="Completed",M46="NA",M46="Cancelled")),"S1 Schematic",IF(NOT(OR(R46="Completed",R46="NA",R46="Cancelled")),"S2 PCB Layout",IF(NOT(OR(W46="Completed",W46="NA",W46="Cancelled")),"S3 SI &amp; PI",IF(NOT(OR(AB46="Completed",AB46="NA",AB46="Cancelled")),"S4 Bare-PCB Fab",IF(NOT(OR(AG46="Completed",AG46="NA",AG46="Cancelled")),"S5 Assembly",IF(NOT(OR(AL46="Completed",AL46="NA",AL46="Cancelled")),"S6 Bring-up",IF(NOT(OR(AQ46="Completed",AQ46="NA",AQ46="Cancelled")),"S7 BOM Procurement","All Stages Closed"))))))))</f>
        <v/>
      </c>
      <c r="F46" s="32" t="str">
        <f aca="false">IF($C46="","",IF(COUNTIF(M46,"Cancelled")+COUNTIF(R46,"Cancelled")+COUNTIF(W46,"Cancelled")+COUNTIF(AB46,"Cancelled")+COUNTIF(AG46,"Cancelled")+COUNTIF(AL46,"Cancelled")+COUNTIF(AQ46,"Cancelled")&gt;0,"Cancelled",IF(E46="All Stages Closed","Completed",IF(E46="S1 Schematic",M46,IF(E46="S2 PCB Layout",R46,IF(E46="S3 SI &amp; PI",W46,IF(E46="S4 Bare-PCB Fab",AB46,IF(E46="S5 Assembly",AG46,IF(E46="S6 Bring-up",AL46,AQ46)))))))))</f>
        <v/>
      </c>
      <c r="G46" s="33" t="str">
        <f aca="false">IF($C46="","",IF(E46="All Stages Closed","",IF(E46="S1 Schematic",IF(N46="","Not added",N46),IF(E46="S2 PCB Layout",IF(S46="","Not added",S46),IF(E46="S3 SI &amp; PI",IF(X46="","Not added",X46),IF(E46="S4 Bare-PCB Fab",IF(AC46="","Not added",AC46),IF(E46="S5 Assembly",IF(AH46="","Not added",AH46),IF(E46="S6 Bring-up",IF(AM46="","Not added",AM46),IF(AR46="","Not added",AR46)))))))))</f>
        <v/>
      </c>
      <c r="H46" s="32" t="str">
        <f aca="true">IF($C46="","",IF(OR(F46="Completed",F46="Cancelled"),"",IF(NOT(ISNUMBER(G46)),"No date set",IF(TODAY()&gt;G46,TODAY()-G46&amp;" days late",G46-TODAY()&amp;" days left"))))</f>
        <v/>
      </c>
      <c r="I46" s="31" t="str">
        <f aca="false">IF($C46="","",COUNTIF(M46,"Completed")+COUNTIF(R46,"Completed")+COUNTIF(W46,"Completed")+COUNTIF(AB46,"Completed")+COUNTIF(AG46,"Completed")+COUNTIF(AL46,"Completed")+COUNTIF(AQ46,"Completed"))</f>
        <v/>
      </c>
      <c r="J46" s="31" t="str">
        <f aca="false">IF($C46="","",7-(COUNTIF(M46,"NA")+COUNTIF(R46,"NA")+COUNTIF(W46,"NA")+COUNTIF(AB46,"NA")+COUNTIF(AG46,"NA")+COUNTIF(AL46,"NA")+COUNTIF(AQ46,"NA")))</f>
        <v/>
      </c>
      <c r="K46" s="34" t="str">
        <f aca="false">IFERROR(I46/J46,"")</f>
        <v/>
      </c>
      <c r="L46" s="29"/>
      <c r="M46" s="35"/>
      <c r="N46" s="36"/>
      <c r="O46" s="36"/>
      <c r="P46" s="30"/>
      <c r="Q46" s="29"/>
      <c r="R46" s="35"/>
      <c r="S46" s="36"/>
      <c r="T46" s="36"/>
      <c r="U46" s="30"/>
      <c r="V46" s="29"/>
      <c r="W46" s="35"/>
      <c r="X46" s="36"/>
      <c r="Y46" s="36"/>
      <c r="Z46" s="30"/>
      <c r="AA46" s="29"/>
      <c r="AB46" s="35"/>
      <c r="AC46" s="36"/>
      <c r="AD46" s="36"/>
      <c r="AE46" s="30"/>
      <c r="AF46" s="29"/>
      <c r="AG46" s="35"/>
      <c r="AH46" s="36"/>
      <c r="AI46" s="36"/>
      <c r="AJ46" s="30"/>
      <c r="AK46" s="29"/>
      <c r="AL46" s="35"/>
      <c r="AM46" s="36"/>
      <c r="AN46" s="36"/>
      <c r="AO46" s="30"/>
      <c r="AP46" s="29"/>
      <c r="AQ46" s="35"/>
      <c r="AR46" s="36"/>
      <c r="AS46" s="36"/>
      <c r="AT46" s="30"/>
      <c r="AU46" s="29"/>
      <c r="AV46" s="29"/>
      <c r="AW46" s="29"/>
      <c r="AX46" s="37"/>
      <c r="AY46" s="39" t="str">
        <f aca="false">IF(AU46&lt;&gt;"Yes","",IF(AV46="","SELECT RE-ENTRY STAGE","MOVE TO ACTIVE at "&amp;AV46))</f>
        <v/>
      </c>
      <c r="AZ46" s="40" t="str">
        <f aca="false">IF(AU46="Yes",COUNTIF($AU$6:AU46,"Yes"),"")</f>
        <v/>
      </c>
      <c r="BA46" s="29"/>
      <c r="BB46" s="38" t="str">
        <f aca="false">IF($C46="","",IF(OR(F46="Completed",F46="Cancelled"),"",IF(AND(OR(F46="On Hold",ISNUMBER(VALUE(LEFT(H46,2)))),BA46=""),"Reason not given","")))</f>
        <v/>
      </c>
      <c r="BC46" s="30"/>
    </row>
    <row r="47" customFormat="false" ht="19.5" hidden="false" customHeight="true" outlineLevel="0" collapsed="false">
      <c r="A47" s="28" t="str">
        <f aca="false">IF($C47="","",COUNTA($C$6:$C47))</f>
        <v/>
      </c>
      <c r="B47" s="29"/>
      <c r="C47" s="30"/>
      <c r="D47" s="29"/>
      <c r="E47" s="31" t="str">
        <f aca="false">IF($C47="","",IF(NOT(OR(M47="Completed",M47="NA",M47="Cancelled")),"S1 Schematic",IF(NOT(OR(R47="Completed",R47="NA",R47="Cancelled")),"S2 PCB Layout",IF(NOT(OR(W47="Completed",W47="NA",W47="Cancelled")),"S3 SI &amp; PI",IF(NOT(OR(AB47="Completed",AB47="NA",AB47="Cancelled")),"S4 Bare-PCB Fab",IF(NOT(OR(AG47="Completed",AG47="NA",AG47="Cancelled")),"S5 Assembly",IF(NOT(OR(AL47="Completed",AL47="NA",AL47="Cancelled")),"S6 Bring-up",IF(NOT(OR(AQ47="Completed",AQ47="NA",AQ47="Cancelled")),"S7 BOM Procurement","All Stages Closed"))))))))</f>
        <v/>
      </c>
      <c r="F47" s="32" t="str">
        <f aca="false">IF($C47="","",IF(COUNTIF(M47,"Cancelled")+COUNTIF(R47,"Cancelled")+COUNTIF(W47,"Cancelled")+COUNTIF(AB47,"Cancelled")+COUNTIF(AG47,"Cancelled")+COUNTIF(AL47,"Cancelled")+COUNTIF(AQ47,"Cancelled")&gt;0,"Cancelled",IF(E47="All Stages Closed","Completed",IF(E47="S1 Schematic",M47,IF(E47="S2 PCB Layout",R47,IF(E47="S3 SI &amp; PI",W47,IF(E47="S4 Bare-PCB Fab",AB47,IF(E47="S5 Assembly",AG47,IF(E47="S6 Bring-up",AL47,AQ47)))))))))</f>
        <v/>
      </c>
      <c r="G47" s="33" t="str">
        <f aca="false">IF($C47="","",IF(E47="All Stages Closed","",IF(E47="S1 Schematic",IF(N47="","Not added",N47),IF(E47="S2 PCB Layout",IF(S47="","Not added",S47),IF(E47="S3 SI &amp; PI",IF(X47="","Not added",X47),IF(E47="S4 Bare-PCB Fab",IF(AC47="","Not added",AC47),IF(E47="S5 Assembly",IF(AH47="","Not added",AH47),IF(E47="S6 Bring-up",IF(AM47="","Not added",AM47),IF(AR47="","Not added",AR47)))))))))</f>
        <v/>
      </c>
      <c r="H47" s="32" t="str">
        <f aca="true">IF($C47="","",IF(OR(F47="Completed",F47="Cancelled"),"",IF(NOT(ISNUMBER(G47)),"No date set",IF(TODAY()&gt;G47,TODAY()-G47&amp;" days late",G47-TODAY()&amp;" days left"))))</f>
        <v/>
      </c>
      <c r="I47" s="31" t="str">
        <f aca="false">IF($C47="","",COUNTIF(M47,"Completed")+COUNTIF(R47,"Completed")+COUNTIF(W47,"Completed")+COUNTIF(AB47,"Completed")+COUNTIF(AG47,"Completed")+COUNTIF(AL47,"Completed")+COUNTIF(AQ47,"Completed"))</f>
        <v/>
      </c>
      <c r="J47" s="31" t="str">
        <f aca="false">IF($C47="","",7-(COUNTIF(M47,"NA")+COUNTIF(R47,"NA")+COUNTIF(W47,"NA")+COUNTIF(AB47,"NA")+COUNTIF(AG47,"NA")+COUNTIF(AL47,"NA")+COUNTIF(AQ47,"NA")))</f>
        <v/>
      </c>
      <c r="K47" s="34" t="str">
        <f aca="false">IFERROR(I47/J47,"")</f>
        <v/>
      </c>
      <c r="L47" s="29"/>
      <c r="M47" s="35"/>
      <c r="N47" s="36"/>
      <c r="O47" s="36"/>
      <c r="P47" s="30"/>
      <c r="Q47" s="29"/>
      <c r="R47" s="35"/>
      <c r="S47" s="36"/>
      <c r="T47" s="36"/>
      <c r="U47" s="30"/>
      <c r="V47" s="29"/>
      <c r="W47" s="35"/>
      <c r="X47" s="36"/>
      <c r="Y47" s="36"/>
      <c r="Z47" s="30"/>
      <c r="AA47" s="29"/>
      <c r="AB47" s="35"/>
      <c r="AC47" s="36"/>
      <c r="AD47" s="36"/>
      <c r="AE47" s="30"/>
      <c r="AF47" s="29"/>
      <c r="AG47" s="35"/>
      <c r="AH47" s="36"/>
      <c r="AI47" s="36"/>
      <c r="AJ47" s="30"/>
      <c r="AK47" s="29"/>
      <c r="AL47" s="35"/>
      <c r="AM47" s="36"/>
      <c r="AN47" s="36"/>
      <c r="AO47" s="30"/>
      <c r="AP47" s="29"/>
      <c r="AQ47" s="35"/>
      <c r="AR47" s="36"/>
      <c r="AS47" s="36"/>
      <c r="AT47" s="30"/>
      <c r="AU47" s="29"/>
      <c r="AV47" s="29"/>
      <c r="AW47" s="29"/>
      <c r="AX47" s="37"/>
      <c r="AY47" s="39" t="str">
        <f aca="false">IF(AU47&lt;&gt;"Yes","",IF(AV47="","SELECT RE-ENTRY STAGE","MOVE TO ACTIVE at "&amp;AV47))</f>
        <v/>
      </c>
      <c r="AZ47" s="40" t="str">
        <f aca="false">IF(AU47="Yes",COUNTIF($AU$6:AU47,"Yes"),"")</f>
        <v/>
      </c>
      <c r="BA47" s="29"/>
      <c r="BB47" s="38" t="str">
        <f aca="false">IF($C47="","",IF(OR(F47="Completed",F47="Cancelled"),"",IF(AND(OR(F47="On Hold",ISNUMBER(VALUE(LEFT(H47,2)))),BA47=""),"Reason not given","")))</f>
        <v/>
      </c>
      <c r="BC47" s="30"/>
    </row>
    <row r="48" customFormat="false" ht="19.5" hidden="false" customHeight="true" outlineLevel="0" collapsed="false">
      <c r="A48" s="28" t="str">
        <f aca="false">IF($C48="","",COUNTA($C$6:$C48))</f>
        <v/>
      </c>
      <c r="B48" s="29"/>
      <c r="C48" s="30"/>
      <c r="D48" s="29"/>
      <c r="E48" s="31" t="str">
        <f aca="false">IF($C48="","",IF(NOT(OR(M48="Completed",M48="NA",M48="Cancelled")),"S1 Schematic",IF(NOT(OR(R48="Completed",R48="NA",R48="Cancelled")),"S2 PCB Layout",IF(NOT(OR(W48="Completed",W48="NA",W48="Cancelled")),"S3 SI &amp; PI",IF(NOT(OR(AB48="Completed",AB48="NA",AB48="Cancelled")),"S4 Bare-PCB Fab",IF(NOT(OR(AG48="Completed",AG48="NA",AG48="Cancelled")),"S5 Assembly",IF(NOT(OR(AL48="Completed",AL48="NA",AL48="Cancelled")),"S6 Bring-up",IF(NOT(OR(AQ48="Completed",AQ48="NA",AQ48="Cancelled")),"S7 BOM Procurement","All Stages Closed"))))))))</f>
        <v/>
      </c>
      <c r="F48" s="32" t="str">
        <f aca="false">IF($C48="","",IF(COUNTIF(M48,"Cancelled")+COUNTIF(R48,"Cancelled")+COUNTIF(W48,"Cancelled")+COUNTIF(AB48,"Cancelled")+COUNTIF(AG48,"Cancelled")+COUNTIF(AL48,"Cancelled")+COUNTIF(AQ48,"Cancelled")&gt;0,"Cancelled",IF(E48="All Stages Closed","Completed",IF(E48="S1 Schematic",M48,IF(E48="S2 PCB Layout",R48,IF(E48="S3 SI &amp; PI",W48,IF(E48="S4 Bare-PCB Fab",AB48,IF(E48="S5 Assembly",AG48,IF(E48="S6 Bring-up",AL48,AQ48)))))))))</f>
        <v/>
      </c>
      <c r="G48" s="33" t="str">
        <f aca="false">IF($C48="","",IF(E48="All Stages Closed","",IF(E48="S1 Schematic",IF(N48="","Not added",N48),IF(E48="S2 PCB Layout",IF(S48="","Not added",S48),IF(E48="S3 SI &amp; PI",IF(X48="","Not added",X48),IF(E48="S4 Bare-PCB Fab",IF(AC48="","Not added",AC48),IF(E48="S5 Assembly",IF(AH48="","Not added",AH48),IF(E48="S6 Bring-up",IF(AM48="","Not added",AM48),IF(AR48="","Not added",AR48)))))))))</f>
        <v/>
      </c>
      <c r="H48" s="32" t="str">
        <f aca="true">IF($C48="","",IF(OR(F48="Completed",F48="Cancelled"),"",IF(NOT(ISNUMBER(G48)),"No date set",IF(TODAY()&gt;G48,TODAY()-G48&amp;" days late",G48-TODAY()&amp;" days left"))))</f>
        <v/>
      </c>
      <c r="I48" s="31" t="str">
        <f aca="false">IF($C48="","",COUNTIF(M48,"Completed")+COUNTIF(R48,"Completed")+COUNTIF(W48,"Completed")+COUNTIF(AB48,"Completed")+COUNTIF(AG48,"Completed")+COUNTIF(AL48,"Completed")+COUNTIF(AQ48,"Completed"))</f>
        <v/>
      </c>
      <c r="J48" s="31" t="str">
        <f aca="false">IF($C48="","",7-(COUNTIF(M48,"NA")+COUNTIF(R48,"NA")+COUNTIF(W48,"NA")+COUNTIF(AB48,"NA")+COUNTIF(AG48,"NA")+COUNTIF(AL48,"NA")+COUNTIF(AQ48,"NA")))</f>
        <v/>
      </c>
      <c r="K48" s="34" t="str">
        <f aca="false">IFERROR(I48/J48,"")</f>
        <v/>
      </c>
      <c r="L48" s="29"/>
      <c r="M48" s="35"/>
      <c r="N48" s="36"/>
      <c r="O48" s="36"/>
      <c r="P48" s="30"/>
      <c r="Q48" s="29"/>
      <c r="R48" s="35"/>
      <c r="S48" s="36"/>
      <c r="T48" s="36"/>
      <c r="U48" s="30"/>
      <c r="V48" s="29"/>
      <c r="W48" s="35"/>
      <c r="X48" s="36"/>
      <c r="Y48" s="36"/>
      <c r="Z48" s="30"/>
      <c r="AA48" s="29"/>
      <c r="AB48" s="35"/>
      <c r="AC48" s="36"/>
      <c r="AD48" s="36"/>
      <c r="AE48" s="30"/>
      <c r="AF48" s="29"/>
      <c r="AG48" s="35"/>
      <c r="AH48" s="36"/>
      <c r="AI48" s="36"/>
      <c r="AJ48" s="30"/>
      <c r="AK48" s="29"/>
      <c r="AL48" s="35"/>
      <c r="AM48" s="36"/>
      <c r="AN48" s="36"/>
      <c r="AO48" s="30"/>
      <c r="AP48" s="29"/>
      <c r="AQ48" s="35"/>
      <c r="AR48" s="36"/>
      <c r="AS48" s="36"/>
      <c r="AT48" s="30"/>
      <c r="AU48" s="29"/>
      <c r="AV48" s="29"/>
      <c r="AW48" s="29"/>
      <c r="AX48" s="37"/>
      <c r="AY48" s="39" t="str">
        <f aca="false">IF(AU48&lt;&gt;"Yes","",IF(AV48="","SELECT RE-ENTRY STAGE","MOVE TO ACTIVE at "&amp;AV48))</f>
        <v/>
      </c>
      <c r="AZ48" s="40" t="str">
        <f aca="false">IF(AU48="Yes",COUNTIF($AU$6:AU48,"Yes"),"")</f>
        <v/>
      </c>
      <c r="BA48" s="29"/>
      <c r="BB48" s="38" t="str">
        <f aca="false">IF($C48="","",IF(OR(F48="Completed",F48="Cancelled"),"",IF(AND(OR(F48="On Hold",ISNUMBER(VALUE(LEFT(H48,2)))),BA48=""),"Reason not given","")))</f>
        <v/>
      </c>
      <c r="BC48" s="30"/>
    </row>
    <row r="49" customFormat="false" ht="19.5" hidden="false" customHeight="true" outlineLevel="0" collapsed="false">
      <c r="A49" s="28" t="str">
        <f aca="false">IF($C49="","",COUNTA($C$6:$C49))</f>
        <v/>
      </c>
      <c r="B49" s="29"/>
      <c r="C49" s="30"/>
      <c r="D49" s="29"/>
      <c r="E49" s="31" t="str">
        <f aca="false">IF($C49="","",IF(NOT(OR(M49="Completed",M49="NA",M49="Cancelled")),"S1 Schematic",IF(NOT(OR(R49="Completed",R49="NA",R49="Cancelled")),"S2 PCB Layout",IF(NOT(OR(W49="Completed",W49="NA",W49="Cancelled")),"S3 SI &amp; PI",IF(NOT(OR(AB49="Completed",AB49="NA",AB49="Cancelled")),"S4 Bare-PCB Fab",IF(NOT(OR(AG49="Completed",AG49="NA",AG49="Cancelled")),"S5 Assembly",IF(NOT(OR(AL49="Completed",AL49="NA",AL49="Cancelled")),"S6 Bring-up",IF(NOT(OR(AQ49="Completed",AQ49="NA",AQ49="Cancelled")),"S7 BOM Procurement","All Stages Closed"))))))))</f>
        <v/>
      </c>
      <c r="F49" s="32" t="str">
        <f aca="false">IF($C49="","",IF(COUNTIF(M49,"Cancelled")+COUNTIF(R49,"Cancelled")+COUNTIF(W49,"Cancelled")+COUNTIF(AB49,"Cancelled")+COUNTIF(AG49,"Cancelled")+COUNTIF(AL49,"Cancelled")+COUNTIF(AQ49,"Cancelled")&gt;0,"Cancelled",IF(E49="All Stages Closed","Completed",IF(E49="S1 Schematic",M49,IF(E49="S2 PCB Layout",R49,IF(E49="S3 SI &amp; PI",W49,IF(E49="S4 Bare-PCB Fab",AB49,IF(E49="S5 Assembly",AG49,IF(E49="S6 Bring-up",AL49,AQ49)))))))))</f>
        <v/>
      </c>
      <c r="G49" s="33" t="str">
        <f aca="false">IF($C49="","",IF(E49="All Stages Closed","",IF(E49="S1 Schematic",IF(N49="","Not added",N49),IF(E49="S2 PCB Layout",IF(S49="","Not added",S49),IF(E49="S3 SI &amp; PI",IF(X49="","Not added",X49),IF(E49="S4 Bare-PCB Fab",IF(AC49="","Not added",AC49),IF(E49="S5 Assembly",IF(AH49="","Not added",AH49),IF(E49="S6 Bring-up",IF(AM49="","Not added",AM49),IF(AR49="","Not added",AR49)))))))))</f>
        <v/>
      </c>
      <c r="H49" s="32" t="str">
        <f aca="true">IF($C49="","",IF(OR(F49="Completed",F49="Cancelled"),"",IF(NOT(ISNUMBER(G49)),"No date set",IF(TODAY()&gt;G49,TODAY()-G49&amp;" days late",G49-TODAY()&amp;" days left"))))</f>
        <v/>
      </c>
      <c r="I49" s="31" t="str">
        <f aca="false">IF($C49="","",COUNTIF(M49,"Completed")+COUNTIF(R49,"Completed")+COUNTIF(W49,"Completed")+COUNTIF(AB49,"Completed")+COUNTIF(AG49,"Completed")+COUNTIF(AL49,"Completed")+COUNTIF(AQ49,"Completed"))</f>
        <v/>
      </c>
      <c r="J49" s="31" t="str">
        <f aca="false">IF($C49="","",7-(COUNTIF(M49,"NA")+COUNTIF(R49,"NA")+COUNTIF(W49,"NA")+COUNTIF(AB49,"NA")+COUNTIF(AG49,"NA")+COUNTIF(AL49,"NA")+COUNTIF(AQ49,"NA")))</f>
        <v/>
      </c>
      <c r="K49" s="34" t="str">
        <f aca="false">IFERROR(I49/J49,"")</f>
        <v/>
      </c>
      <c r="L49" s="29"/>
      <c r="M49" s="35"/>
      <c r="N49" s="36"/>
      <c r="O49" s="36"/>
      <c r="P49" s="30"/>
      <c r="Q49" s="29"/>
      <c r="R49" s="35"/>
      <c r="S49" s="36"/>
      <c r="T49" s="36"/>
      <c r="U49" s="30"/>
      <c r="V49" s="29"/>
      <c r="W49" s="35"/>
      <c r="X49" s="36"/>
      <c r="Y49" s="36"/>
      <c r="Z49" s="30"/>
      <c r="AA49" s="29"/>
      <c r="AB49" s="35"/>
      <c r="AC49" s="36"/>
      <c r="AD49" s="36"/>
      <c r="AE49" s="30"/>
      <c r="AF49" s="29"/>
      <c r="AG49" s="35"/>
      <c r="AH49" s="36"/>
      <c r="AI49" s="36"/>
      <c r="AJ49" s="30"/>
      <c r="AK49" s="29"/>
      <c r="AL49" s="35"/>
      <c r="AM49" s="36"/>
      <c r="AN49" s="36"/>
      <c r="AO49" s="30"/>
      <c r="AP49" s="29"/>
      <c r="AQ49" s="35"/>
      <c r="AR49" s="36"/>
      <c r="AS49" s="36"/>
      <c r="AT49" s="30"/>
      <c r="AU49" s="29"/>
      <c r="AV49" s="29"/>
      <c r="AW49" s="29"/>
      <c r="AX49" s="37"/>
      <c r="AY49" s="39" t="str">
        <f aca="false">IF(AU49&lt;&gt;"Yes","",IF(AV49="","SELECT RE-ENTRY STAGE","MOVE TO ACTIVE at "&amp;AV49))</f>
        <v/>
      </c>
      <c r="AZ49" s="40" t="str">
        <f aca="false">IF(AU49="Yes",COUNTIF($AU$6:AU49,"Yes"),"")</f>
        <v/>
      </c>
      <c r="BA49" s="29"/>
      <c r="BB49" s="38" t="str">
        <f aca="false">IF($C49="","",IF(OR(F49="Completed",F49="Cancelled"),"",IF(AND(OR(F49="On Hold",ISNUMBER(VALUE(LEFT(H49,2)))),BA49=""),"Reason not given","")))</f>
        <v/>
      </c>
      <c r="BC49" s="30"/>
    </row>
    <row r="50" customFormat="false" ht="19.5" hidden="false" customHeight="true" outlineLevel="0" collapsed="false">
      <c r="A50" s="28" t="str">
        <f aca="false">IF($C50="","",COUNTA($C$6:$C50))</f>
        <v/>
      </c>
      <c r="B50" s="29"/>
      <c r="C50" s="30"/>
      <c r="D50" s="29"/>
      <c r="E50" s="31" t="str">
        <f aca="false">IF($C50="","",IF(NOT(OR(M50="Completed",M50="NA",M50="Cancelled")),"S1 Schematic",IF(NOT(OR(R50="Completed",R50="NA",R50="Cancelled")),"S2 PCB Layout",IF(NOT(OR(W50="Completed",W50="NA",W50="Cancelled")),"S3 SI &amp; PI",IF(NOT(OR(AB50="Completed",AB50="NA",AB50="Cancelled")),"S4 Bare-PCB Fab",IF(NOT(OR(AG50="Completed",AG50="NA",AG50="Cancelled")),"S5 Assembly",IF(NOT(OR(AL50="Completed",AL50="NA",AL50="Cancelled")),"S6 Bring-up",IF(NOT(OR(AQ50="Completed",AQ50="NA",AQ50="Cancelled")),"S7 BOM Procurement","All Stages Closed"))))))))</f>
        <v/>
      </c>
      <c r="F50" s="32" t="str">
        <f aca="false">IF($C50="","",IF(COUNTIF(M50,"Cancelled")+COUNTIF(R50,"Cancelled")+COUNTIF(W50,"Cancelled")+COUNTIF(AB50,"Cancelled")+COUNTIF(AG50,"Cancelled")+COUNTIF(AL50,"Cancelled")+COUNTIF(AQ50,"Cancelled")&gt;0,"Cancelled",IF(E50="All Stages Closed","Completed",IF(E50="S1 Schematic",M50,IF(E50="S2 PCB Layout",R50,IF(E50="S3 SI &amp; PI",W50,IF(E50="S4 Bare-PCB Fab",AB50,IF(E50="S5 Assembly",AG50,IF(E50="S6 Bring-up",AL50,AQ50)))))))))</f>
        <v/>
      </c>
      <c r="G50" s="33" t="str">
        <f aca="false">IF($C50="","",IF(E50="All Stages Closed","",IF(E50="S1 Schematic",IF(N50="","Not added",N50),IF(E50="S2 PCB Layout",IF(S50="","Not added",S50),IF(E50="S3 SI &amp; PI",IF(X50="","Not added",X50),IF(E50="S4 Bare-PCB Fab",IF(AC50="","Not added",AC50),IF(E50="S5 Assembly",IF(AH50="","Not added",AH50),IF(E50="S6 Bring-up",IF(AM50="","Not added",AM50),IF(AR50="","Not added",AR50)))))))))</f>
        <v/>
      </c>
      <c r="H50" s="32" t="str">
        <f aca="true">IF($C50="","",IF(OR(F50="Completed",F50="Cancelled"),"",IF(NOT(ISNUMBER(G50)),"No date set",IF(TODAY()&gt;G50,TODAY()-G50&amp;" days late",G50-TODAY()&amp;" days left"))))</f>
        <v/>
      </c>
      <c r="I50" s="31" t="str">
        <f aca="false">IF($C50="","",COUNTIF(M50,"Completed")+COUNTIF(R50,"Completed")+COUNTIF(W50,"Completed")+COUNTIF(AB50,"Completed")+COUNTIF(AG50,"Completed")+COUNTIF(AL50,"Completed")+COUNTIF(AQ50,"Completed"))</f>
        <v/>
      </c>
      <c r="J50" s="31" t="str">
        <f aca="false">IF($C50="","",7-(COUNTIF(M50,"NA")+COUNTIF(R50,"NA")+COUNTIF(W50,"NA")+COUNTIF(AB50,"NA")+COUNTIF(AG50,"NA")+COUNTIF(AL50,"NA")+COUNTIF(AQ50,"NA")))</f>
        <v/>
      </c>
      <c r="K50" s="34" t="str">
        <f aca="false">IFERROR(I50/J50,"")</f>
        <v/>
      </c>
      <c r="L50" s="29"/>
      <c r="M50" s="35"/>
      <c r="N50" s="36"/>
      <c r="O50" s="36"/>
      <c r="P50" s="30"/>
      <c r="Q50" s="29"/>
      <c r="R50" s="35"/>
      <c r="S50" s="36"/>
      <c r="T50" s="36"/>
      <c r="U50" s="30"/>
      <c r="V50" s="29"/>
      <c r="W50" s="35"/>
      <c r="X50" s="36"/>
      <c r="Y50" s="36"/>
      <c r="Z50" s="30"/>
      <c r="AA50" s="29"/>
      <c r="AB50" s="35"/>
      <c r="AC50" s="36"/>
      <c r="AD50" s="36"/>
      <c r="AE50" s="30"/>
      <c r="AF50" s="29"/>
      <c r="AG50" s="35"/>
      <c r="AH50" s="36"/>
      <c r="AI50" s="36"/>
      <c r="AJ50" s="30"/>
      <c r="AK50" s="29"/>
      <c r="AL50" s="35"/>
      <c r="AM50" s="36"/>
      <c r="AN50" s="36"/>
      <c r="AO50" s="30"/>
      <c r="AP50" s="29"/>
      <c r="AQ50" s="35"/>
      <c r="AR50" s="36"/>
      <c r="AS50" s="36"/>
      <c r="AT50" s="30"/>
      <c r="AU50" s="29"/>
      <c r="AV50" s="29"/>
      <c r="AW50" s="29"/>
      <c r="AX50" s="37"/>
      <c r="AY50" s="39" t="str">
        <f aca="false">IF(AU50&lt;&gt;"Yes","",IF(AV50="","SELECT RE-ENTRY STAGE","MOVE TO ACTIVE at "&amp;AV50))</f>
        <v/>
      </c>
      <c r="AZ50" s="40" t="str">
        <f aca="false">IF(AU50="Yes",COUNTIF($AU$6:AU50,"Yes"),"")</f>
        <v/>
      </c>
      <c r="BA50" s="29"/>
      <c r="BB50" s="38" t="str">
        <f aca="false">IF($C50="","",IF(OR(F50="Completed",F50="Cancelled"),"",IF(AND(OR(F50="On Hold",ISNUMBER(VALUE(LEFT(H50,2)))),BA50=""),"Reason not given","")))</f>
        <v/>
      </c>
      <c r="BC50" s="30"/>
    </row>
    <row r="51" customFormat="false" ht="19.5" hidden="false" customHeight="true" outlineLevel="0" collapsed="false">
      <c r="A51" s="28" t="str">
        <f aca="false">IF($C51="","",COUNTA($C$6:$C51))</f>
        <v/>
      </c>
      <c r="B51" s="29"/>
      <c r="C51" s="30"/>
      <c r="D51" s="29"/>
      <c r="E51" s="31" t="str">
        <f aca="false">IF($C51="","",IF(NOT(OR(M51="Completed",M51="NA",M51="Cancelled")),"S1 Schematic",IF(NOT(OR(R51="Completed",R51="NA",R51="Cancelled")),"S2 PCB Layout",IF(NOT(OR(W51="Completed",W51="NA",W51="Cancelled")),"S3 SI &amp; PI",IF(NOT(OR(AB51="Completed",AB51="NA",AB51="Cancelled")),"S4 Bare-PCB Fab",IF(NOT(OR(AG51="Completed",AG51="NA",AG51="Cancelled")),"S5 Assembly",IF(NOT(OR(AL51="Completed",AL51="NA",AL51="Cancelled")),"S6 Bring-up",IF(NOT(OR(AQ51="Completed",AQ51="NA",AQ51="Cancelled")),"S7 BOM Procurement","All Stages Closed"))))))))</f>
        <v/>
      </c>
      <c r="F51" s="32" t="str">
        <f aca="false">IF($C51="","",IF(COUNTIF(M51,"Cancelled")+COUNTIF(R51,"Cancelled")+COUNTIF(W51,"Cancelled")+COUNTIF(AB51,"Cancelled")+COUNTIF(AG51,"Cancelled")+COUNTIF(AL51,"Cancelled")+COUNTIF(AQ51,"Cancelled")&gt;0,"Cancelled",IF(E51="All Stages Closed","Completed",IF(E51="S1 Schematic",M51,IF(E51="S2 PCB Layout",R51,IF(E51="S3 SI &amp; PI",W51,IF(E51="S4 Bare-PCB Fab",AB51,IF(E51="S5 Assembly",AG51,IF(E51="S6 Bring-up",AL51,AQ51)))))))))</f>
        <v/>
      </c>
      <c r="G51" s="33" t="str">
        <f aca="false">IF($C51="","",IF(E51="All Stages Closed","",IF(E51="S1 Schematic",IF(N51="","Not added",N51),IF(E51="S2 PCB Layout",IF(S51="","Not added",S51),IF(E51="S3 SI &amp; PI",IF(X51="","Not added",X51),IF(E51="S4 Bare-PCB Fab",IF(AC51="","Not added",AC51),IF(E51="S5 Assembly",IF(AH51="","Not added",AH51),IF(E51="S6 Bring-up",IF(AM51="","Not added",AM51),IF(AR51="","Not added",AR51)))))))))</f>
        <v/>
      </c>
      <c r="H51" s="32" t="str">
        <f aca="true">IF($C51="","",IF(OR(F51="Completed",F51="Cancelled"),"",IF(NOT(ISNUMBER(G51)),"No date set",IF(TODAY()&gt;G51,TODAY()-G51&amp;" days late",G51-TODAY()&amp;" days left"))))</f>
        <v/>
      </c>
      <c r="I51" s="31" t="str">
        <f aca="false">IF($C51="","",COUNTIF(M51,"Completed")+COUNTIF(R51,"Completed")+COUNTIF(W51,"Completed")+COUNTIF(AB51,"Completed")+COUNTIF(AG51,"Completed")+COUNTIF(AL51,"Completed")+COUNTIF(AQ51,"Completed"))</f>
        <v/>
      </c>
      <c r="J51" s="31" t="str">
        <f aca="false">IF($C51="","",7-(COUNTIF(M51,"NA")+COUNTIF(R51,"NA")+COUNTIF(W51,"NA")+COUNTIF(AB51,"NA")+COUNTIF(AG51,"NA")+COUNTIF(AL51,"NA")+COUNTIF(AQ51,"NA")))</f>
        <v/>
      </c>
      <c r="K51" s="34" t="str">
        <f aca="false">IFERROR(I51/J51,"")</f>
        <v/>
      </c>
      <c r="L51" s="29"/>
      <c r="M51" s="35"/>
      <c r="N51" s="36"/>
      <c r="O51" s="36"/>
      <c r="P51" s="30"/>
      <c r="Q51" s="29"/>
      <c r="R51" s="35"/>
      <c r="S51" s="36"/>
      <c r="T51" s="36"/>
      <c r="U51" s="30"/>
      <c r="V51" s="29"/>
      <c r="W51" s="35"/>
      <c r="X51" s="36"/>
      <c r="Y51" s="36"/>
      <c r="Z51" s="30"/>
      <c r="AA51" s="29"/>
      <c r="AB51" s="35"/>
      <c r="AC51" s="36"/>
      <c r="AD51" s="36"/>
      <c r="AE51" s="30"/>
      <c r="AF51" s="29"/>
      <c r="AG51" s="35"/>
      <c r="AH51" s="36"/>
      <c r="AI51" s="36"/>
      <c r="AJ51" s="30"/>
      <c r="AK51" s="29"/>
      <c r="AL51" s="35"/>
      <c r="AM51" s="36"/>
      <c r="AN51" s="36"/>
      <c r="AO51" s="30"/>
      <c r="AP51" s="29"/>
      <c r="AQ51" s="35"/>
      <c r="AR51" s="36"/>
      <c r="AS51" s="36"/>
      <c r="AT51" s="30"/>
      <c r="AU51" s="29"/>
      <c r="AV51" s="29"/>
      <c r="AW51" s="29"/>
      <c r="AX51" s="37"/>
      <c r="AY51" s="39" t="str">
        <f aca="false">IF(AU51&lt;&gt;"Yes","",IF(AV51="","SELECT RE-ENTRY STAGE","MOVE TO ACTIVE at "&amp;AV51))</f>
        <v/>
      </c>
      <c r="AZ51" s="40" t="str">
        <f aca="false">IF(AU51="Yes",COUNTIF($AU$6:AU51,"Yes"),"")</f>
        <v/>
      </c>
      <c r="BA51" s="29"/>
      <c r="BB51" s="38" t="str">
        <f aca="false">IF($C51="","",IF(OR(F51="Completed",F51="Cancelled"),"",IF(AND(OR(F51="On Hold",ISNUMBER(VALUE(LEFT(H51,2)))),BA51=""),"Reason not given","")))</f>
        <v/>
      </c>
      <c r="BC51" s="30"/>
    </row>
    <row r="52" customFormat="false" ht="19.5" hidden="false" customHeight="true" outlineLevel="0" collapsed="false">
      <c r="A52" s="28" t="str">
        <f aca="false">IF($C52="","",COUNTA($C$6:$C52))</f>
        <v/>
      </c>
      <c r="B52" s="29"/>
      <c r="C52" s="30"/>
      <c r="D52" s="29"/>
      <c r="E52" s="31" t="str">
        <f aca="false">IF($C52="","",IF(NOT(OR(M52="Completed",M52="NA",M52="Cancelled")),"S1 Schematic",IF(NOT(OR(R52="Completed",R52="NA",R52="Cancelled")),"S2 PCB Layout",IF(NOT(OR(W52="Completed",W52="NA",W52="Cancelled")),"S3 SI &amp; PI",IF(NOT(OR(AB52="Completed",AB52="NA",AB52="Cancelled")),"S4 Bare-PCB Fab",IF(NOT(OR(AG52="Completed",AG52="NA",AG52="Cancelled")),"S5 Assembly",IF(NOT(OR(AL52="Completed",AL52="NA",AL52="Cancelled")),"S6 Bring-up",IF(NOT(OR(AQ52="Completed",AQ52="NA",AQ52="Cancelled")),"S7 BOM Procurement","All Stages Closed"))))))))</f>
        <v/>
      </c>
      <c r="F52" s="32" t="str">
        <f aca="false">IF($C52="","",IF(COUNTIF(M52,"Cancelled")+COUNTIF(R52,"Cancelled")+COUNTIF(W52,"Cancelled")+COUNTIF(AB52,"Cancelled")+COUNTIF(AG52,"Cancelled")+COUNTIF(AL52,"Cancelled")+COUNTIF(AQ52,"Cancelled")&gt;0,"Cancelled",IF(E52="All Stages Closed","Completed",IF(E52="S1 Schematic",M52,IF(E52="S2 PCB Layout",R52,IF(E52="S3 SI &amp; PI",W52,IF(E52="S4 Bare-PCB Fab",AB52,IF(E52="S5 Assembly",AG52,IF(E52="S6 Bring-up",AL52,AQ52)))))))))</f>
        <v/>
      </c>
      <c r="G52" s="33" t="str">
        <f aca="false">IF($C52="","",IF(E52="All Stages Closed","",IF(E52="S1 Schematic",IF(N52="","Not added",N52),IF(E52="S2 PCB Layout",IF(S52="","Not added",S52),IF(E52="S3 SI &amp; PI",IF(X52="","Not added",X52),IF(E52="S4 Bare-PCB Fab",IF(AC52="","Not added",AC52),IF(E52="S5 Assembly",IF(AH52="","Not added",AH52),IF(E52="S6 Bring-up",IF(AM52="","Not added",AM52),IF(AR52="","Not added",AR52)))))))))</f>
        <v/>
      </c>
      <c r="H52" s="32" t="str">
        <f aca="true">IF($C52="","",IF(OR(F52="Completed",F52="Cancelled"),"",IF(NOT(ISNUMBER(G52)),"No date set",IF(TODAY()&gt;G52,TODAY()-G52&amp;" days late",G52-TODAY()&amp;" days left"))))</f>
        <v/>
      </c>
      <c r="I52" s="31" t="str">
        <f aca="false">IF($C52="","",COUNTIF(M52,"Completed")+COUNTIF(R52,"Completed")+COUNTIF(W52,"Completed")+COUNTIF(AB52,"Completed")+COUNTIF(AG52,"Completed")+COUNTIF(AL52,"Completed")+COUNTIF(AQ52,"Completed"))</f>
        <v/>
      </c>
      <c r="J52" s="31" t="str">
        <f aca="false">IF($C52="","",7-(COUNTIF(M52,"NA")+COUNTIF(R52,"NA")+COUNTIF(W52,"NA")+COUNTIF(AB52,"NA")+COUNTIF(AG52,"NA")+COUNTIF(AL52,"NA")+COUNTIF(AQ52,"NA")))</f>
        <v/>
      </c>
      <c r="K52" s="34" t="str">
        <f aca="false">IFERROR(I52/J52,"")</f>
        <v/>
      </c>
      <c r="L52" s="29"/>
      <c r="M52" s="35"/>
      <c r="N52" s="36"/>
      <c r="O52" s="36"/>
      <c r="P52" s="30"/>
      <c r="Q52" s="29"/>
      <c r="R52" s="35"/>
      <c r="S52" s="36"/>
      <c r="T52" s="36"/>
      <c r="U52" s="30"/>
      <c r="V52" s="29"/>
      <c r="W52" s="35"/>
      <c r="X52" s="36"/>
      <c r="Y52" s="36"/>
      <c r="Z52" s="30"/>
      <c r="AA52" s="29"/>
      <c r="AB52" s="35"/>
      <c r="AC52" s="36"/>
      <c r="AD52" s="36"/>
      <c r="AE52" s="30"/>
      <c r="AF52" s="29"/>
      <c r="AG52" s="35"/>
      <c r="AH52" s="36"/>
      <c r="AI52" s="36"/>
      <c r="AJ52" s="30"/>
      <c r="AK52" s="29"/>
      <c r="AL52" s="35"/>
      <c r="AM52" s="36"/>
      <c r="AN52" s="36"/>
      <c r="AO52" s="30"/>
      <c r="AP52" s="29"/>
      <c r="AQ52" s="35"/>
      <c r="AR52" s="36"/>
      <c r="AS52" s="36"/>
      <c r="AT52" s="30"/>
      <c r="AU52" s="29"/>
      <c r="AV52" s="29"/>
      <c r="AW52" s="29"/>
      <c r="AX52" s="37"/>
      <c r="AY52" s="39" t="str">
        <f aca="false">IF(AU52&lt;&gt;"Yes","",IF(AV52="","SELECT RE-ENTRY STAGE","MOVE TO ACTIVE at "&amp;AV52))</f>
        <v/>
      </c>
      <c r="AZ52" s="40" t="str">
        <f aca="false">IF(AU52="Yes",COUNTIF($AU$6:AU52,"Yes"),"")</f>
        <v/>
      </c>
      <c r="BA52" s="29"/>
      <c r="BB52" s="38" t="str">
        <f aca="false">IF($C52="","",IF(OR(F52="Completed",F52="Cancelled"),"",IF(AND(OR(F52="On Hold",ISNUMBER(VALUE(LEFT(H52,2)))),BA52=""),"Reason not given","")))</f>
        <v/>
      </c>
      <c r="BC52" s="30"/>
    </row>
    <row r="53" customFormat="false" ht="19.5" hidden="false" customHeight="true" outlineLevel="0" collapsed="false">
      <c r="A53" s="28" t="str">
        <f aca="false">IF($C53="","",COUNTA($C$6:$C53))</f>
        <v/>
      </c>
      <c r="B53" s="29"/>
      <c r="C53" s="30"/>
      <c r="D53" s="29"/>
      <c r="E53" s="31" t="str">
        <f aca="false">IF($C53="","",IF(NOT(OR(M53="Completed",M53="NA",M53="Cancelled")),"S1 Schematic",IF(NOT(OR(R53="Completed",R53="NA",R53="Cancelled")),"S2 PCB Layout",IF(NOT(OR(W53="Completed",W53="NA",W53="Cancelled")),"S3 SI &amp; PI",IF(NOT(OR(AB53="Completed",AB53="NA",AB53="Cancelled")),"S4 Bare-PCB Fab",IF(NOT(OR(AG53="Completed",AG53="NA",AG53="Cancelled")),"S5 Assembly",IF(NOT(OR(AL53="Completed",AL53="NA",AL53="Cancelled")),"S6 Bring-up",IF(NOT(OR(AQ53="Completed",AQ53="NA",AQ53="Cancelled")),"S7 BOM Procurement","All Stages Closed"))))))))</f>
        <v/>
      </c>
      <c r="F53" s="32" t="str">
        <f aca="false">IF($C53="","",IF(COUNTIF(M53,"Cancelled")+COUNTIF(R53,"Cancelled")+COUNTIF(W53,"Cancelled")+COUNTIF(AB53,"Cancelled")+COUNTIF(AG53,"Cancelled")+COUNTIF(AL53,"Cancelled")+COUNTIF(AQ53,"Cancelled")&gt;0,"Cancelled",IF(E53="All Stages Closed","Completed",IF(E53="S1 Schematic",M53,IF(E53="S2 PCB Layout",R53,IF(E53="S3 SI &amp; PI",W53,IF(E53="S4 Bare-PCB Fab",AB53,IF(E53="S5 Assembly",AG53,IF(E53="S6 Bring-up",AL53,AQ53)))))))))</f>
        <v/>
      </c>
      <c r="G53" s="33" t="str">
        <f aca="false">IF($C53="","",IF(E53="All Stages Closed","",IF(E53="S1 Schematic",IF(N53="","Not added",N53),IF(E53="S2 PCB Layout",IF(S53="","Not added",S53),IF(E53="S3 SI &amp; PI",IF(X53="","Not added",X53),IF(E53="S4 Bare-PCB Fab",IF(AC53="","Not added",AC53),IF(E53="S5 Assembly",IF(AH53="","Not added",AH53),IF(E53="S6 Bring-up",IF(AM53="","Not added",AM53),IF(AR53="","Not added",AR53)))))))))</f>
        <v/>
      </c>
      <c r="H53" s="32" t="str">
        <f aca="true">IF($C53="","",IF(OR(F53="Completed",F53="Cancelled"),"",IF(NOT(ISNUMBER(G53)),"No date set",IF(TODAY()&gt;G53,TODAY()-G53&amp;" days late",G53-TODAY()&amp;" days left"))))</f>
        <v/>
      </c>
      <c r="I53" s="31" t="str">
        <f aca="false">IF($C53="","",COUNTIF(M53,"Completed")+COUNTIF(R53,"Completed")+COUNTIF(W53,"Completed")+COUNTIF(AB53,"Completed")+COUNTIF(AG53,"Completed")+COUNTIF(AL53,"Completed")+COUNTIF(AQ53,"Completed"))</f>
        <v/>
      </c>
      <c r="J53" s="31" t="str">
        <f aca="false">IF($C53="","",7-(COUNTIF(M53,"NA")+COUNTIF(R53,"NA")+COUNTIF(W53,"NA")+COUNTIF(AB53,"NA")+COUNTIF(AG53,"NA")+COUNTIF(AL53,"NA")+COUNTIF(AQ53,"NA")))</f>
        <v/>
      </c>
      <c r="K53" s="34" t="str">
        <f aca="false">IFERROR(I53/J53,"")</f>
        <v/>
      </c>
      <c r="L53" s="29"/>
      <c r="M53" s="35"/>
      <c r="N53" s="36"/>
      <c r="O53" s="36"/>
      <c r="P53" s="30"/>
      <c r="Q53" s="29"/>
      <c r="R53" s="35"/>
      <c r="S53" s="36"/>
      <c r="T53" s="36"/>
      <c r="U53" s="30"/>
      <c r="V53" s="29"/>
      <c r="W53" s="35"/>
      <c r="X53" s="36"/>
      <c r="Y53" s="36"/>
      <c r="Z53" s="30"/>
      <c r="AA53" s="29"/>
      <c r="AB53" s="35"/>
      <c r="AC53" s="36"/>
      <c r="AD53" s="36"/>
      <c r="AE53" s="30"/>
      <c r="AF53" s="29"/>
      <c r="AG53" s="35"/>
      <c r="AH53" s="36"/>
      <c r="AI53" s="36"/>
      <c r="AJ53" s="30"/>
      <c r="AK53" s="29"/>
      <c r="AL53" s="35"/>
      <c r="AM53" s="36"/>
      <c r="AN53" s="36"/>
      <c r="AO53" s="30"/>
      <c r="AP53" s="29"/>
      <c r="AQ53" s="35"/>
      <c r="AR53" s="36"/>
      <c r="AS53" s="36"/>
      <c r="AT53" s="30"/>
      <c r="AU53" s="29"/>
      <c r="AV53" s="29"/>
      <c r="AW53" s="29"/>
      <c r="AX53" s="37"/>
      <c r="AY53" s="39" t="str">
        <f aca="false">IF(AU53&lt;&gt;"Yes","",IF(AV53="","SELECT RE-ENTRY STAGE","MOVE TO ACTIVE at "&amp;AV53))</f>
        <v/>
      </c>
      <c r="AZ53" s="40" t="str">
        <f aca="false">IF(AU53="Yes",COUNTIF($AU$6:AU53,"Yes"),"")</f>
        <v/>
      </c>
      <c r="BA53" s="29"/>
      <c r="BB53" s="38" t="str">
        <f aca="false">IF($C53="","",IF(OR(F53="Completed",F53="Cancelled"),"",IF(AND(OR(F53="On Hold",ISNUMBER(VALUE(LEFT(H53,2)))),BA53=""),"Reason not given","")))</f>
        <v/>
      </c>
      <c r="BC53" s="30"/>
    </row>
    <row r="54" customFormat="false" ht="19.5" hidden="false" customHeight="true" outlineLevel="0" collapsed="false">
      <c r="A54" s="28" t="str">
        <f aca="false">IF($C54="","",COUNTA($C$6:$C54))</f>
        <v/>
      </c>
      <c r="B54" s="29"/>
      <c r="C54" s="30"/>
      <c r="D54" s="29"/>
      <c r="E54" s="31" t="str">
        <f aca="false">IF($C54="","",IF(NOT(OR(M54="Completed",M54="NA",M54="Cancelled")),"S1 Schematic",IF(NOT(OR(R54="Completed",R54="NA",R54="Cancelled")),"S2 PCB Layout",IF(NOT(OR(W54="Completed",W54="NA",W54="Cancelled")),"S3 SI &amp; PI",IF(NOT(OR(AB54="Completed",AB54="NA",AB54="Cancelled")),"S4 Bare-PCB Fab",IF(NOT(OR(AG54="Completed",AG54="NA",AG54="Cancelled")),"S5 Assembly",IF(NOT(OR(AL54="Completed",AL54="NA",AL54="Cancelled")),"S6 Bring-up",IF(NOT(OR(AQ54="Completed",AQ54="NA",AQ54="Cancelled")),"S7 BOM Procurement","All Stages Closed"))))))))</f>
        <v/>
      </c>
      <c r="F54" s="32" t="str">
        <f aca="false">IF($C54="","",IF(COUNTIF(M54,"Cancelled")+COUNTIF(R54,"Cancelled")+COUNTIF(W54,"Cancelled")+COUNTIF(AB54,"Cancelled")+COUNTIF(AG54,"Cancelled")+COUNTIF(AL54,"Cancelled")+COUNTIF(AQ54,"Cancelled")&gt;0,"Cancelled",IF(E54="All Stages Closed","Completed",IF(E54="S1 Schematic",M54,IF(E54="S2 PCB Layout",R54,IF(E54="S3 SI &amp; PI",W54,IF(E54="S4 Bare-PCB Fab",AB54,IF(E54="S5 Assembly",AG54,IF(E54="S6 Bring-up",AL54,AQ54)))))))))</f>
        <v/>
      </c>
      <c r="G54" s="33" t="str">
        <f aca="false">IF($C54="","",IF(E54="All Stages Closed","",IF(E54="S1 Schematic",IF(N54="","Not added",N54),IF(E54="S2 PCB Layout",IF(S54="","Not added",S54),IF(E54="S3 SI &amp; PI",IF(X54="","Not added",X54),IF(E54="S4 Bare-PCB Fab",IF(AC54="","Not added",AC54),IF(E54="S5 Assembly",IF(AH54="","Not added",AH54),IF(E54="S6 Bring-up",IF(AM54="","Not added",AM54),IF(AR54="","Not added",AR54)))))))))</f>
        <v/>
      </c>
      <c r="H54" s="32" t="str">
        <f aca="true">IF($C54="","",IF(OR(F54="Completed",F54="Cancelled"),"",IF(NOT(ISNUMBER(G54)),"No date set",IF(TODAY()&gt;G54,TODAY()-G54&amp;" days late",G54-TODAY()&amp;" days left"))))</f>
        <v/>
      </c>
      <c r="I54" s="31" t="str">
        <f aca="false">IF($C54="","",COUNTIF(M54,"Completed")+COUNTIF(R54,"Completed")+COUNTIF(W54,"Completed")+COUNTIF(AB54,"Completed")+COUNTIF(AG54,"Completed")+COUNTIF(AL54,"Completed")+COUNTIF(AQ54,"Completed"))</f>
        <v/>
      </c>
      <c r="J54" s="31" t="str">
        <f aca="false">IF($C54="","",7-(COUNTIF(M54,"NA")+COUNTIF(R54,"NA")+COUNTIF(W54,"NA")+COUNTIF(AB54,"NA")+COUNTIF(AG54,"NA")+COUNTIF(AL54,"NA")+COUNTIF(AQ54,"NA")))</f>
        <v/>
      </c>
      <c r="K54" s="34" t="str">
        <f aca="false">IFERROR(I54/J54,"")</f>
        <v/>
      </c>
      <c r="L54" s="29"/>
      <c r="M54" s="35"/>
      <c r="N54" s="36"/>
      <c r="O54" s="36"/>
      <c r="P54" s="30"/>
      <c r="Q54" s="29"/>
      <c r="R54" s="35"/>
      <c r="S54" s="36"/>
      <c r="T54" s="36"/>
      <c r="U54" s="30"/>
      <c r="V54" s="29"/>
      <c r="W54" s="35"/>
      <c r="X54" s="36"/>
      <c r="Y54" s="36"/>
      <c r="Z54" s="30"/>
      <c r="AA54" s="29"/>
      <c r="AB54" s="35"/>
      <c r="AC54" s="36"/>
      <c r="AD54" s="36"/>
      <c r="AE54" s="30"/>
      <c r="AF54" s="29"/>
      <c r="AG54" s="35"/>
      <c r="AH54" s="36"/>
      <c r="AI54" s="36"/>
      <c r="AJ54" s="30"/>
      <c r="AK54" s="29"/>
      <c r="AL54" s="35"/>
      <c r="AM54" s="36"/>
      <c r="AN54" s="36"/>
      <c r="AO54" s="30"/>
      <c r="AP54" s="29"/>
      <c r="AQ54" s="35"/>
      <c r="AR54" s="36"/>
      <c r="AS54" s="36"/>
      <c r="AT54" s="30"/>
      <c r="AU54" s="29"/>
      <c r="AV54" s="29"/>
      <c r="AW54" s="29"/>
      <c r="AX54" s="37"/>
      <c r="AY54" s="39" t="str">
        <f aca="false">IF(AU54&lt;&gt;"Yes","",IF(AV54="","SELECT RE-ENTRY STAGE","MOVE TO ACTIVE at "&amp;AV54))</f>
        <v/>
      </c>
      <c r="AZ54" s="40" t="str">
        <f aca="false">IF(AU54="Yes",COUNTIF($AU$6:AU54,"Yes"),"")</f>
        <v/>
      </c>
      <c r="BA54" s="29"/>
      <c r="BB54" s="38" t="str">
        <f aca="false">IF($C54="","",IF(OR(F54="Completed",F54="Cancelled"),"",IF(AND(OR(F54="On Hold",ISNUMBER(VALUE(LEFT(H54,2)))),BA54=""),"Reason not given","")))</f>
        <v/>
      </c>
      <c r="BC54" s="30"/>
    </row>
    <row r="55" customFormat="false" ht="19.5" hidden="false" customHeight="true" outlineLevel="0" collapsed="false">
      <c r="A55" s="28" t="str">
        <f aca="false">IF($C55="","",COUNTA($C$6:$C55))</f>
        <v/>
      </c>
      <c r="B55" s="29"/>
      <c r="C55" s="30"/>
      <c r="D55" s="29"/>
      <c r="E55" s="31" t="str">
        <f aca="false">IF($C55="","",IF(NOT(OR(M55="Completed",M55="NA",M55="Cancelled")),"S1 Schematic",IF(NOT(OR(R55="Completed",R55="NA",R55="Cancelled")),"S2 PCB Layout",IF(NOT(OR(W55="Completed",W55="NA",W55="Cancelled")),"S3 SI &amp; PI",IF(NOT(OR(AB55="Completed",AB55="NA",AB55="Cancelled")),"S4 Bare-PCB Fab",IF(NOT(OR(AG55="Completed",AG55="NA",AG55="Cancelled")),"S5 Assembly",IF(NOT(OR(AL55="Completed",AL55="NA",AL55="Cancelled")),"S6 Bring-up",IF(NOT(OR(AQ55="Completed",AQ55="NA",AQ55="Cancelled")),"S7 BOM Procurement","All Stages Closed"))))))))</f>
        <v/>
      </c>
      <c r="F55" s="32" t="str">
        <f aca="false">IF($C55="","",IF(COUNTIF(M55,"Cancelled")+COUNTIF(R55,"Cancelled")+COUNTIF(W55,"Cancelled")+COUNTIF(AB55,"Cancelled")+COUNTIF(AG55,"Cancelled")+COUNTIF(AL55,"Cancelled")+COUNTIF(AQ55,"Cancelled")&gt;0,"Cancelled",IF(E55="All Stages Closed","Completed",IF(E55="S1 Schematic",M55,IF(E55="S2 PCB Layout",R55,IF(E55="S3 SI &amp; PI",W55,IF(E55="S4 Bare-PCB Fab",AB55,IF(E55="S5 Assembly",AG55,IF(E55="S6 Bring-up",AL55,AQ55)))))))))</f>
        <v/>
      </c>
      <c r="G55" s="33" t="str">
        <f aca="false">IF($C55="","",IF(E55="All Stages Closed","",IF(E55="S1 Schematic",IF(N55="","Not added",N55),IF(E55="S2 PCB Layout",IF(S55="","Not added",S55),IF(E55="S3 SI &amp; PI",IF(X55="","Not added",X55),IF(E55="S4 Bare-PCB Fab",IF(AC55="","Not added",AC55),IF(E55="S5 Assembly",IF(AH55="","Not added",AH55),IF(E55="S6 Bring-up",IF(AM55="","Not added",AM55),IF(AR55="","Not added",AR55)))))))))</f>
        <v/>
      </c>
      <c r="H55" s="32" t="str">
        <f aca="true">IF($C55="","",IF(OR(F55="Completed",F55="Cancelled"),"",IF(NOT(ISNUMBER(G55)),"No date set",IF(TODAY()&gt;G55,TODAY()-G55&amp;" days late",G55-TODAY()&amp;" days left"))))</f>
        <v/>
      </c>
      <c r="I55" s="31" t="str">
        <f aca="false">IF($C55="","",COUNTIF(M55,"Completed")+COUNTIF(R55,"Completed")+COUNTIF(W55,"Completed")+COUNTIF(AB55,"Completed")+COUNTIF(AG55,"Completed")+COUNTIF(AL55,"Completed")+COUNTIF(AQ55,"Completed"))</f>
        <v/>
      </c>
      <c r="J55" s="31" t="str">
        <f aca="false">IF($C55="","",7-(COUNTIF(M55,"NA")+COUNTIF(R55,"NA")+COUNTIF(W55,"NA")+COUNTIF(AB55,"NA")+COUNTIF(AG55,"NA")+COUNTIF(AL55,"NA")+COUNTIF(AQ55,"NA")))</f>
        <v/>
      </c>
      <c r="K55" s="34" t="str">
        <f aca="false">IFERROR(I55/J55,"")</f>
        <v/>
      </c>
      <c r="L55" s="29"/>
      <c r="M55" s="35"/>
      <c r="N55" s="36"/>
      <c r="O55" s="36"/>
      <c r="P55" s="30"/>
      <c r="Q55" s="29"/>
      <c r="R55" s="35"/>
      <c r="S55" s="36"/>
      <c r="T55" s="36"/>
      <c r="U55" s="30"/>
      <c r="V55" s="29"/>
      <c r="W55" s="35"/>
      <c r="X55" s="36"/>
      <c r="Y55" s="36"/>
      <c r="Z55" s="30"/>
      <c r="AA55" s="29"/>
      <c r="AB55" s="35"/>
      <c r="AC55" s="36"/>
      <c r="AD55" s="36"/>
      <c r="AE55" s="30"/>
      <c r="AF55" s="29"/>
      <c r="AG55" s="35"/>
      <c r="AH55" s="36"/>
      <c r="AI55" s="36"/>
      <c r="AJ55" s="30"/>
      <c r="AK55" s="29"/>
      <c r="AL55" s="35"/>
      <c r="AM55" s="36"/>
      <c r="AN55" s="36"/>
      <c r="AO55" s="30"/>
      <c r="AP55" s="29"/>
      <c r="AQ55" s="35"/>
      <c r="AR55" s="36"/>
      <c r="AS55" s="36"/>
      <c r="AT55" s="30"/>
      <c r="AU55" s="29"/>
      <c r="AV55" s="29"/>
      <c r="AW55" s="29"/>
      <c r="AX55" s="37"/>
      <c r="AY55" s="39" t="str">
        <f aca="false">IF(AU55&lt;&gt;"Yes","",IF(AV55="","SELECT RE-ENTRY STAGE","MOVE TO ACTIVE at "&amp;AV55))</f>
        <v/>
      </c>
      <c r="AZ55" s="40" t="str">
        <f aca="false">IF(AU55="Yes",COUNTIF($AU$6:AU55,"Yes"),"")</f>
        <v/>
      </c>
      <c r="BA55" s="29"/>
      <c r="BB55" s="38" t="str">
        <f aca="false">IF($C55="","",IF(OR(F55="Completed",F55="Cancelled"),"",IF(AND(OR(F55="On Hold",ISNUMBER(VALUE(LEFT(H55,2)))),BA55=""),"Reason not given","")))</f>
        <v/>
      </c>
      <c r="BC55" s="30"/>
    </row>
    <row r="56" customFormat="false" ht="19.5" hidden="false" customHeight="true" outlineLevel="0" collapsed="false">
      <c r="A56" s="28" t="str">
        <f aca="false">IF($C56="","",COUNTA($C$6:$C56))</f>
        <v/>
      </c>
      <c r="B56" s="29"/>
      <c r="C56" s="30"/>
      <c r="D56" s="29"/>
      <c r="E56" s="31" t="str">
        <f aca="false">IF($C56="","",IF(NOT(OR(M56="Completed",M56="NA",M56="Cancelled")),"S1 Schematic",IF(NOT(OR(R56="Completed",R56="NA",R56="Cancelled")),"S2 PCB Layout",IF(NOT(OR(W56="Completed",W56="NA",W56="Cancelled")),"S3 SI &amp; PI",IF(NOT(OR(AB56="Completed",AB56="NA",AB56="Cancelled")),"S4 Bare-PCB Fab",IF(NOT(OR(AG56="Completed",AG56="NA",AG56="Cancelled")),"S5 Assembly",IF(NOT(OR(AL56="Completed",AL56="NA",AL56="Cancelled")),"S6 Bring-up",IF(NOT(OR(AQ56="Completed",AQ56="NA",AQ56="Cancelled")),"S7 BOM Procurement","All Stages Closed"))))))))</f>
        <v/>
      </c>
      <c r="F56" s="32" t="str">
        <f aca="false">IF($C56="","",IF(COUNTIF(M56,"Cancelled")+COUNTIF(R56,"Cancelled")+COUNTIF(W56,"Cancelled")+COUNTIF(AB56,"Cancelled")+COUNTIF(AG56,"Cancelled")+COUNTIF(AL56,"Cancelled")+COUNTIF(AQ56,"Cancelled")&gt;0,"Cancelled",IF(E56="All Stages Closed","Completed",IF(E56="S1 Schematic",M56,IF(E56="S2 PCB Layout",R56,IF(E56="S3 SI &amp; PI",W56,IF(E56="S4 Bare-PCB Fab",AB56,IF(E56="S5 Assembly",AG56,IF(E56="S6 Bring-up",AL56,AQ56)))))))))</f>
        <v/>
      </c>
      <c r="G56" s="33" t="str">
        <f aca="false">IF($C56="","",IF(E56="All Stages Closed","",IF(E56="S1 Schematic",IF(N56="","Not added",N56),IF(E56="S2 PCB Layout",IF(S56="","Not added",S56),IF(E56="S3 SI &amp; PI",IF(X56="","Not added",X56),IF(E56="S4 Bare-PCB Fab",IF(AC56="","Not added",AC56),IF(E56="S5 Assembly",IF(AH56="","Not added",AH56),IF(E56="S6 Bring-up",IF(AM56="","Not added",AM56),IF(AR56="","Not added",AR56)))))))))</f>
        <v/>
      </c>
      <c r="H56" s="32" t="str">
        <f aca="true">IF($C56="","",IF(OR(F56="Completed",F56="Cancelled"),"",IF(NOT(ISNUMBER(G56)),"No date set",IF(TODAY()&gt;G56,TODAY()-G56&amp;" days late",G56-TODAY()&amp;" days left"))))</f>
        <v/>
      </c>
      <c r="I56" s="31" t="str">
        <f aca="false">IF($C56="","",COUNTIF(M56,"Completed")+COUNTIF(R56,"Completed")+COUNTIF(W56,"Completed")+COUNTIF(AB56,"Completed")+COUNTIF(AG56,"Completed")+COUNTIF(AL56,"Completed")+COUNTIF(AQ56,"Completed"))</f>
        <v/>
      </c>
      <c r="J56" s="31" t="str">
        <f aca="false">IF($C56="","",7-(COUNTIF(M56,"NA")+COUNTIF(R56,"NA")+COUNTIF(W56,"NA")+COUNTIF(AB56,"NA")+COUNTIF(AG56,"NA")+COUNTIF(AL56,"NA")+COUNTIF(AQ56,"NA")))</f>
        <v/>
      </c>
      <c r="K56" s="34" t="str">
        <f aca="false">IFERROR(I56/J56,"")</f>
        <v/>
      </c>
      <c r="L56" s="29"/>
      <c r="M56" s="35"/>
      <c r="N56" s="36"/>
      <c r="O56" s="36"/>
      <c r="P56" s="30"/>
      <c r="Q56" s="29"/>
      <c r="R56" s="35"/>
      <c r="S56" s="36"/>
      <c r="T56" s="36"/>
      <c r="U56" s="30"/>
      <c r="V56" s="29"/>
      <c r="W56" s="35"/>
      <c r="X56" s="36"/>
      <c r="Y56" s="36"/>
      <c r="Z56" s="30"/>
      <c r="AA56" s="29"/>
      <c r="AB56" s="35"/>
      <c r="AC56" s="36"/>
      <c r="AD56" s="36"/>
      <c r="AE56" s="30"/>
      <c r="AF56" s="29"/>
      <c r="AG56" s="35"/>
      <c r="AH56" s="36"/>
      <c r="AI56" s="36"/>
      <c r="AJ56" s="30"/>
      <c r="AK56" s="29"/>
      <c r="AL56" s="35"/>
      <c r="AM56" s="36"/>
      <c r="AN56" s="36"/>
      <c r="AO56" s="30"/>
      <c r="AP56" s="29"/>
      <c r="AQ56" s="35"/>
      <c r="AR56" s="36"/>
      <c r="AS56" s="36"/>
      <c r="AT56" s="30"/>
      <c r="AU56" s="29"/>
      <c r="AV56" s="29"/>
      <c r="AW56" s="29"/>
      <c r="AX56" s="37"/>
      <c r="AY56" s="39" t="str">
        <f aca="false">IF(AU56&lt;&gt;"Yes","",IF(AV56="","SELECT RE-ENTRY STAGE","MOVE TO ACTIVE at "&amp;AV56))</f>
        <v/>
      </c>
      <c r="AZ56" s="40" t="str">
        <f aca="false">IF(AU56="Yes",COUNTIF($AU$6:AU56,"Yes"),"")</f>
        <v/>
      </c>
      <c r="BA56" s="29"/>
      <c r="BB56" s="38" t="str">
        <f aca="false">IF($C56="","",IF(OR(F56="Completed",F56="Cancelled"),"",IF(AND(OR(F56="On Hold",ISNUMBER(VALUE(LEFT(H56,2)))),BA56=""),"Reason not given","")))</f>
        <v/>
      </c>
      <c r="BC56" s="30"/>
    </row>
    <row r="57" customFormat="false" ht="19.5" hidden="false" customHeight="true" outlineLevel="0" collapsed="false">
      <c r="A57" s="28" t="str">
        <f aca="false">IF($C57="","",COUNTA($C$6:$C57))</f>
        <v/>
      </c>
      <c r="B57" s="29"/>
      <c r="C57" s="30"/>
      <c r="D57" s="29"/>
      <c r="E57" s="31" t="str">
        <f aca="false">IF($C57="","",IF(NOT(OR(M57="Completed",M57="NA",M57="Cancelled")),"S1 Schematic",IF(NOT(OR(R57="Completed",R57="NA",R57="Cancelled")),"S2 PCB Layout",IF(NOT(OR(W57="Completed",W57="NA",W57="Cancelled")),"S3 SI &amp; PI",IF(NOT(OR(AB57="Completed",AB57="NA",AB57="Cancelled")),"S4 Bare-PCB Fab",IF(NOT(OR(AG57="Completed",AG57="NA",AG57="Cancelled")),"S5 Assembly",IF(NOT(OR(AL57="Completed",AL57="NA",AL57="Cancelled")),"S6 Bring-up",IF(NOT(OR(AQ57="Completed",AQ57="NA",AQ57="Cancelled")),"S7 BOM Procurement","All Stages Closed"))))))))</f>
        <v/>
      </c>
      <c r="F57" s="32" t="str">
        <f aca="false">IF($C57="","",IF(COUNTIF(M57,"Cancelled")+COUNTIF(R57,"Cancelled")+COUNTIF(W57,"Cancelled")+COUNTIF(AB57,"Cancelled")+COUNTIF(AG57,"Cancelled")+COUNTIF(AL57,"Cancelled")+COUNTIF(AQ57,"Cancelled")&gt;0,"Cancelled",IF(E57="All Stages Closed","Completed",IF(E57="S1 Schematic",M57,IF(E57="S2 PCB Layout",R57,IF(E57="S3 SI &amp; PI",W57,IF(E57="S4 Bare-PCB Fab",AB57,IF(E57="S5 Assembly",AG57,IF(E57="S6 Bring-up",AL57,AQ57)))))))))</f>
        <v/>
      </c>
      <c r="G57" s="33" t="str">
        <f aca="false">IF($C57="","",IF(E57="All Stages Closed","",IF(E57="S1 Schematic",IF(N57="","Not added",N57),IF(E57="S2 PCB Layout",IF(S57="","Not added",S57),IF(E57="S3 SI &amp; PI",IF(X57="","Not added",X57),IF(E57="S4 Bare-PCB Fab",IF(AC57="","Not added",AC57),IF(E57="S5 Assembly",IF(AH57="","Not added",AH57),IF(E57="S6 Bring-up",IF(AM57="","Not added",AM57),IF(AR57="","Not added",AR57)))))))))</f>
        <v/>
      </c>
      <c r="H57" s="32" t="str">
        <f aca="true">IF($C57="","",IF(OR(F57="Completed",F57="Cancelled"),"",IF(NOT(ISNUMBER(G57)),"No date set",IF(TODAY()&gt;G57,TODAY()-G57&amp;" days late",G57-TODAY()&amp;" days left"))))</f>
        <v/>
      </c>
      <c r="I57" s="31" t="str">
        <f aca="false">IF($C57="","",COUNTIF(M57,"Completed")+COUNTIF(R57,"Completed")+COUNTIF(W57,"Completed")+COUNTIF(AB57,"Completed")+COUNTIF(AG57,"Completed")+COUNTIF(AL57,"Completed")+COUNTIF(AQ57,"Completed"))</f>
        <v/>
      </c>
      <c r="J57" s="31" t="str">
        <f aca="false">IF($C57="","",7-(COUNTIF(M57,"NA")+COUNTIF(R57,"NA")+COUNTIF(W57,"NA")+COUNTIF(AB57,"NA")+COUNTIF(AG57,"NA")+COUNTIF(AL57,"NA")+COUNTIF(AQ57,"NA")))</f>
        <v/>
      </c>
      <c r="K57" s="34" t="str">
        <f aca="false">IFERROR(I57/J57,"")</f>
        <v/>
      </c>
      <c r="L57" s="29"/>
      <c r="M57" s="35"/>
      <c r="N57" s="36"/>
      <c r="O57" s="36"/>
      <c r="P57" s="30"/>
      <c r="Q57" s="29"/>
      <c r="R57" s="35"/>
      <c r="S57" s="36"/>
      <c r="T57" s="36"/>
      <c r="U57" s="30"/>
      <c r="V57" s="29"/>
      <c r="W57" s="35"/>
      <c r="X57" s="36"/>
      <c r="Y57" s="36"/>
      <c r="Z57" s="30"/>
      <c r="AA57" s="29"/>
      <c r="AB57" s="35"/>
      <c r="AC57" s="36"/>
      <c r="AD57" s="36"/>
      <c r="AE57" s="30"/>
      <c r="AF57" s="29"/>
      <c r="AG57" s="35"/>
      <c r="AH57" s="36"/>
      <c r="AI57" s="36"/>
      <c r="AJ57" s="30"/>
      <c r="AK57" s="29"/>
      <c r="AL57" s="35"/>
      <c r="AM57" s="36"/>
      <c r="AN57" s="36"/>
      <c r="AO57" s="30"/>
      <c r="AP57" s="29"/>
      <c r="AQ57" s="35"/>
      <c r="AR57" s="36"/>
      <c r="AS57" s="36"/>
      <c r="AT57" s="30"/>
      <c r="AU57" s="29"/>
      <c r="AV57" s="29"/>
      <c r="AW57" s="29"/>
      <c r="AX57" s="37"/>
      <c r="AY57" s="39" t="str">
        <f aca="false">IF(AU57&lt;&gt;"Yes","",IF(AV57="","SELECT RE-ENTRY STAGE","MOVE TO ACTIVE at "&amp;AV57))</f>
        <v/>
      </c>
      <c r="AZ57" s="40" t="str">
        <f aca="false">IF(AU57="Yes",COUNTIF($AU$6:AU57,"Yes"),"")</f>
        <v/>
      </c>
      <c r="BA57" s="29"/>
      <c r="BB57" s="38" t="str">
        <f aca="false">IF($C57="","",IF(OR(F57="Completed",F57="Cancelled"),"",IF(AND(OR(F57="On Hold",ISNUMBER(VALUE(LEFT(H57,2)))),BA57=""),"Reason not given","")))</f>
        <v/>
      </c>
      <c r="BC57" s="30"/>
    </row>
    <row r="58" customFormat="false" ht="19.5" hidden="false" customHeight="true" outlineLevel="0" collapsed="false">
      <c r="A58" s="28" t="str">
        <f aca="false">IF($C58="","",COUNTA($C$6:$C58))</f>
        <v/>
      </c>
      <c r="B58" s="29"/>
      <c r="C58" s="30"/>
      <c r="D58" s="29"/>
      <c r="E58" s="31" t="str">
        <f aca="false">IF($C58="","",IF(NOT(OR(M58="Completed",M58="NA",M58="Cancelled")),"S1 Schematic",IF(NOT(OR(R58="Completed",R58="NA",R58="Cancelled")),"S2 PCB Layout",IF(NOT(OR(W58="Completed",W58="NA",W58="Cancelled")),"S3 SI &amp; PI",IF(NOT(OR(AB58="Completed",AB58="NA",AB58="Cancelled")),"S4 Bare-PCB Fab",IF(NOT(OR(AG58="Completed",AG58="NA",AG58="Cancelled")),"S5 Assembly",IF(NOT(OR(AL58="Completed",AL58="NA",AL58="Cancelled")),"S6 Bring-up",IF(NOT(OR(AQ58="Completed",AQ58="NA",AQ58="Cancelled")),"S7 BOM Procurement","All Stages Closed"))))))))</f>
        <v/>
      </c>
      <c r="F58" s="32" t="str">
        <f aca="false">IF($C58="","",IF(COUNTIF(M58,"Cancelled")+COUNTIF(R58,"Cancelled")+COUNTIF(W58,"Cancelled")+COUNTIF(AB58,"Cancelled")+COUNTIF(AG58,"Cancelled")+COUNTIF(AL58,"Cancelled")+COUNTIF(AQ58,"Cancelled")&gt;0,"Cancelled",IF(E58="All Stages Closed","Completed",IF(E58="S1 Schematic",M58,IF(E58="S2 PCB Layout",R58,IF(E58="S3 SI &amp; PI",W58,IF(E58="S4 Bare-PCB Fab",AB58,IF(E58="S5 Assembly",AG58,IF(E58="S6 Bring-up",AL58,AQ58)))))))))</f>
        <v/>
      </c>
      <c r="G58" s="33" t="str">
        <f aca="false">IF($C58="","",IF(E58="All Stages Closed","",IF(E58="S1 Schematic",IF(N58="","Not added",N58),IF(E58="S2 PCB Layout",IF(S58="","Not added",S58),IF(E58="S3 SI &amp; PI",IF(X58="","Not added",X58),IF(E58="S4 Bare-PCB Fab",IF(AC58="","Not added",AC58),IF(E58="S5 Assembly",IF(AH58="","Not added",AH58),IF(E58="S6 Bring-up",IF(AM58="","Not added",AM58),IF(AR58="","Not added",AR58)))))))))</f>
        <v/>
      </c>
      <c r="H58" s="32" t="str">
        <f aca="true">IF($C58="","",IF(OR(F58="Completed",F58="Cancelled"),"",IF(NOT(ISNUMBER(G58)),"No date set",IF(TODAY()&gt;G58,TODAY()-G58&amp;" days late",G58-TODAY()&amp;" days left"))))</f>
        <v/>
      </c>
      <c r="I58" s="31" t="str">
        <f aca="false">IF($C58="","",COUNTIF(M58,"Completed")+COUNTIF(R58,"Completed")+COUNTIF(W58,"Completed")+COUNTIF(AB58,"Completed")+COUNTIF(AG58,"Completed")+COUNTIF(AL58,"Completed")+COUNTIF(AQ58,"Completed"))</f>
        <v/>
      </c>
      <c r="J58" s="31" t="str">
        <f aca="false">IF($C58="","",7-(COUNTIF(M58,"NA")+COUNTIF(R58,"NA")+COUNTIF(W58,"NA")+COUNTIF(AB58,"NA")+COUNTIF(AG58,"NA")+COUNTIF(AL58,"NA")+COUNTIF(AQ58,"NA")))</f>
        <v/>
      </c>
      <c r="K58" s="34" t="str">
        <f aca="false">IFERROR(I58/J58,"")</f>
        <v/>
      </c>
      <c r="L58" s="29"/>
      <c r="M58" s="35"/>
      <c r="N58" s="36"/>
      <c r="O58" s="36"/>
      <c r="P58" s="30"/>
      <c r="Q58" s="29"/>
      <c r="R58" s="35"/>
      <c r="S58" s="36"/>
      <c r="T58" s="36"/>
      <c r="U58" s="30"/>
      <c r="V58" s="29"/>
      <c r="W58" s="35"/>
      <c r="X58" s="36"/>
      <c r="Y58" s="36"/>
      <c r="Z58" s="30"/>
      <c r="AA58" s="29"/>
      <c r="AB58" s="35"/>
      <c r="AC58" s="36"/>
      <c r="AD58" s="36"/>
      <c r="AE58" s="30"/>
      <c r="AF58" s="29"/>
      <c r="AG58" s="35"/>
      <c r="AH58" s="36"/>
      <c r="AI58" s="36"/>
      <c r="AJ58" s="30"/>
      <c r="AK58" s="29"/>
      <c r="AL58" s="35"/>
      <c r="AM58" s="36"/>
      <c r="AN58" s="36"/>
      <c r="AO58" s="30"/>
      <c r="AP58" s="29"/>
      <c r="AQ58" s="35"/>
      <c r="AR58" s="36"/>
      <c r="AS58" s="36"/>
      <c r="AT58" s="30"/>
      <c r="AU58" s="29"/>
      <c r="AV58" s="29"/>
      <c r="AW58" s="29"/>
      <c r="AX58" s="37"/>
      <c r="AY58" s="39" t="str">
        <f aca="false">IF(AU58&lt;&gt;"Yes","",IF(AV58="","SELECT RE-ENTRY STAGE","MOVE TO ACTIVE at "&amp;AV58))</f>
        <v/>
      </c>
      <c r="AZ58" s="40" t="str">
        <f aca="false">IF(AU58="Yes",COUNTIF($AU$6:AU58,"Yes"),"")</f>
        <v/>
      </c>
      <c r="BA58" s="29"/>
      <c r="BB58" s="38" t="str">
        <f aca="false">IF($C58="","",IF(OR(F58="Completed",F58="Cancelled"),"",IF(AND(OR(F58="On Hold",ISNUMBER(VALUE(LEFT(H58,2)))),BA58=""),"Reason not given","")))</f>
        <v/>
      </c>
      <c r="BC58" s="30"/>
    </row>
    <row r="59" customFormat="false" ht="19.5" hidden="false" customHeight="true" outlineLevel="0" collapsed="false">
      <c r="A59" s="28" t="str">
        <f aca="false">IF($C59="","",COUNTA($C$6:$C59))</f>
        <v/>
      </c>
      <c r="B59" s="29"/>
      <c r="C59" s="30"/>
      <c r="D59" s="29"/>
      <c r="E59" s="31" t="str">
        <f aca="false">IF($C59="","",IF(NOT(OR(M59="Completed",M59="NA",M59="Cancelled")),"S1 Schematic",IF(NOT(OR(R59="Completed",R59="NA",R59="Cancelled")),"S2 PCB Layout",IF(NOT(OR(W59="Completed",W59="NA",W59="Cancelled")),"S3 SI &amp; PI",IF(NOT(OR(AB59="Completed",AB59="NA",AB59="Cancelled")),"S4 Bare-PCB Fab",IF(NOT(OR(AG59="Completed",AG59="NA",AG59="Cancelled")),"S5 Assembly",IF(NOT(OR(AL59="Completed",AL59="NA",AL59="Cancelled")),"S6 Bring-up",IF(NOT(OR(AQ59="Completed",AQ59="NA",AQ59="Cancelled")),"S7 BOM Procurement","All Stages Closed"))))))))</f>
        <v/>
      </c>
      <c r="F59" s="32" t="str">
        <f aca="false">IF($C59="","",IF(COUNTIF(M59,"Cancelled")+COUNTIF(R59,"Cancelled")+COUNTIF(W59,"Cancelled")+COUNTIF(AB59,"Cancelled")+COUNTIF(AG59,"Cancelled")+COUNTIF(AL59,"Cancelled")+COUNTIF(AQ59,"Cancelled")&gt;0,"Cancelled",IF(E59="All Stages Closed","Completed",IF(E59="S1 Schematic",M59,IF(E59="S2 PCB Layout",R59,IF(E59="S3 SI &amp; PI",W59,IF(E59="S4 Bare-PCB Fab",AB59,IF(E59="S5 Assembly",AG59,IF(E59="S6 Bring-up",AL59,AQ59)))))))))</f>
        <v/>
      </c>
      <c r="G59" s="33" t="str">
        <f aca="false">IF($C59="","",IF(E59="All Stages Closed","",IF(E59="S1 Schematic",IF(N59="","Not added",N59),IF(E59="S2 PCB Layout",IF(S59="","Not added",S59),IF(E59="S3 SI &amp; PI",IF(X59="","Not added",X59),IF(E59="S4 Bare-PCB Fab",IF(AC59="","Not added",AC59),IF(E59="S5 Assembly",IF(AH59="","Not added",AH59),IF(E59="S6 Bring-up",IF(AM59="","Not added",AM59),IF(AR59="","Not added",AR59)))))))))</f>
        <v/>
      </c>
      <c r="H59" s="32" t="str">
        <f aca="true">IF($C59="","",IF(OR(F59="Completed",F59="Cancelled"),"",IF(NOT(ISNUMBER(G59)),"No date set",IF(TODAY()&gt;G59,TODAY()-G59&amp;" days late",G59-TODAY()&amp;" days left"))))</f>
        <v/>
      </c>
      <c r="I59" s="31" t="str">
        <f aca="false">IF($C59="","",COUNTIF(M59,"Completed")+COUNTIF(R59,"Completed")+COUNTIF(W59,"Completed")+COUNTIF(AB59,"Completed")+COUNTIF(AG59,"Completed")+COUNTIF(AL59,"Completed")+COUNTIF(AQ59,"Completed"))</f>
        <v/>
      </c>
      <c r="J59" s="31" t="str">
        <f aca="false">IF($C59="","",7-(COUNTIF(M59,"NA")+COUNTIF(R59,"NA")+COUNTIF(W59,"NA")+COUNTIF(AB59,"NA")+COUNTIF(AG59,"NA")+COUNTIF(AL59,"NA")+COUNTIF(AQ59,"NA")))</f>
        <v/>
      </c>
      <c r="K59" s="34" t="str">
        <f aca="false">IFERROR(I59/J59,"")</f>
        <v/>
      </c>
      <c r="L59" s="29"/>
      <c r="M59" s="35"/>
      <c r="N59" s="36"/>
      <c r="O59" s="36"/>
      <c r="P59" s="30"/>
      <c r="Q59" s="29"/>
      <c r="R59" s="35"/>
      <c r="S59" s="36"/>
      <c r="T59" s="36"/>
      <c r="U59" s="30"/>
      <c r="V59" s="29"/>
      <c r="W59" s="35"/>
      <c r="X59" s="36"/>
      <c r="Y59" s="36"/>
      <c r="Z59" s="30"/>
      <c r="AA59" s="29"/>
      <c r="AB59" s="35"/>
      <c r="AC59" s="36"/>
      <c r="AD59" s="36"/>
      <c r="AE59" s="30"/>
      <c r="AF59" s="29"/>
      <c r="AG59" s="35"/>
      <c r="AH59" s="36"/>
      <c r="AI59" s="36"/>
      <c r="AJ59" s="30"/>
      <c r="AK59" s="29"/>
      <c r="AL59" s="35"/>
      <c r="AM59" s="36"/>
      <c r="AN59" s="36"/>
      <c r="AO59" s="30"/>
      <c r="AP59" s="29"/>
      <c r="AQ59" s="35"/>
      <c r="AR59" s="36"/>
      <c r="AS59" s="36"/>
      <c r="AT59" s="30"/>
      <c r="AU59" s="29"/>
      <c r="AV59" s="29"/>
      <c r="AW59" s="29"/>
      <c r="AX59" s="37"/>
      <c r="AY59" s="39" t="str">
        <f aca="false">IF(AU59&lt;&gt;"Yes","",IF(AV59="","SELECT RE-ENTRY STAGE","MOVE TO ACTIVE at "&amp;AV59))</f>
        <v/>
      </c>
      <c r="AZ59" s="40" t="str">
        <f aca="false">IF(AU59="Yes",COUNTIF($AU$6:AU59,"Yes"),"")</f>
        <v/>
      </c>
      <c r="BA59" s="29"/>
      <c r="BB59" s="38" t="str">
        <f aca="false">IF($C59="","",IF(OR(F59="Completed",F59="Cancelled"),"",IF(AND(OR(F59="On Hold",ISNUMBER(VALUE(LEFT(H59,2)))),BA59=""),"Reason not given","")))</f>
        <v/>
      </c>
      <c r="BC59" s="30"/>
    </row>
    <row r="60" customFormat="false" ht="19.5" hidden="false" customHeight="true" outlineLevel="0" collapsed="false">
      <c r="A60" s="28" t="str">
        <f aca="false">IF($C60="","",COUNTA($C$6:$C60))</f>
        <v/>
      </c>
      <c r="B60" s="29"/>
      <c r="C60" s="30"/>
      <c r="D60" s="29"/>
      <c r="E60" s="31" t="str">
        <f aca="false">IF($C60="","",IF(NOT(OR(M60="Completed",M60="NA",M60="Cancelled")),"S1 Schematic",IF(NOT(OR(R60="Completed",R60="NA",R60="Cancelled")),"S2 PCB Layout",IF(NOT(OR(W60="Completed",W60="NA",W60="Cancelled")),"S3 SI &amp; PI",IF(NOT(OR(AB60="Completed",AB60="NA",AB60="Cancelled")),"S4 Bare-PCB Fab",IF(NOT(OR(AG60="Completed",AG60="NA",AG60="Cancelled")),"S5 Assembly",IF(NOT(OR(AL60="Completed",AL60="NA",AL60="Cancelled")),"S6 Bring-up",IF(NOT(OR(AQ60="Completed",AQ60="NA",AQ60="Cancelled")),"S7 BOM Procurement","All Stages Closed"))))))))</f>
        <v/>
      </c>
      <c r="F60" s="32" t="str">
        <f aca="false">IF($C60="","",IF(COUNTIF(M60,"Cancelled")+COUNTIF(R60,"Cancelled")+COUNTIF(W60,"Cancelled")+COUNTIF(AB60,"Cancelled")+COUNTIF(AG60,"Cancelled")+COUNTIF(AL60,"Cancelled")+COUNTIF(AQ60,"Cancelled")&gt;0,"Cancelled",IF(E60="All Stages Closed","Completed",IF(E60="S1 Schematic",M60,IF(E60="S2 PCB Layout",R60,IF(E60="S3 SI &amp; PI",W60,IF(E60="S4 Bare-PCB Fab",AB60,IF(E60="S5 Assembly",AG60,IF(E60="S6 Bring-up",AL60,AQ60)))))))))</f>
        <v/>
      </c>
      <c r="G60" s="33" t="str">
        <f aca="false">IF($C60="","",IF(E60="All Stages Closed","",IF(E60="S1 Schematic",IF(N60="","Not added",N60),IF(E60="S2 PCB Layout",IF(S60="","Not added",S60),IF(E60="S3 SI &amp; PI",IF(X60="","Not added",X60),IF(E60="S4 Bare-PCB Fab",IF(AC60="","Not added",AC60),IF(E60="S5 Assembly",IF(AH60="","Not added",AH60),IF(E60="S6 Bring-up",IF(AM60="","Not added",AM60),IF(AR60="","Not added",AR60)))))))))</f>
        <v/>
      </c>
      <c r="H60" s="32" t="str">
        <f aca="true">IF($C60="","",IF(OR(F60="Completed",F60="Cancelled"),"",IF(NOT(ISNUMBER(G60)),"No date set",IF(TODAY()&gt;G60,TODAY()-G60&amp;" days late",G60-TODAY()&amp;" days left"))))</f>
        <v/>
      </c>
      <c r="I60" s="31" t="str">
        <f aca="false">IF($C60="","",COUNTIF(M60,"Completed")+COUNTIF(R60,"Completed")+COUNTIF(W60,"Completed")+COUNTIF(AB60,"Completed")+COUNTIF(AG60,"Completed")+COUNTIF(AL60,"Completed")+COUNTIF(AQ60,"Completed"))</f>
        <v/>
      </c>
      <c r="J60" s="31" t="str">
        <f aca="false">IF($C60="","",7-(COUNTIF(M60,"NA")+COUNTIF(R60,"NA")+COUNTIF(W60,"NA")+COUNTIF(AB60,"NA")+COUNTIF(AG60,"NA")+COUNTIF(AL60,"NA")+COUNTIF(AQ60,"NA")))</f>
        <v/>
      </c>
      <c r="K60" s="34" t="str">
        <f aca="false">IFERROR(I60/J60,"")</f>
        <v/>
      </c>
      <c r="L60" s="29"/>
      <c r="M60" s="35"/>
      <c r="N60" s="36"/>
      <c r="O60" s="36"/>
      <c r="P60" s="30"/>
      <c r="Q60" s="29"/>
      <c r="R60" s="35"/>
      <c r="S60" s="36"/>
      <c r="T60" s="36"/>
      <c r="U60" s="30"/>
      <c r="V60" s="29"/>
      <c r="W60" s="35"/>
      <c r="X60" s="36"/>
      <c r="Y60" s="36"/>
      <c r="Z60" s="30"/>
      <c r="AA60" s="29"/>
      <c r="AB60" s="35"/>
      <c r="AC60" s="36"/>
      <c r="AD60" s="36"/>
      <c r="AE60" s="30"/>
      <c r="AF60" s="29"/>
      <c r="AG60" s="35"/>
      <c r="AH60" s="36"/>
      <c r="AI60" s="36"/>
      <c r="AJ60" s="30"/>
      <c r="AK60" s="29"/>
      <c r="AL60" s="35"/>
      <c r="AM60" s="36"/>
      <c r="AN60" s="36"/>
      <c r="AO60" s="30"/>
      <c r="AP60" s="29"/>
      <c r="AQ60" s="35"/>
      <c r="AR60" s="36"/>
      <c r="AS60" s="36"/>
      <c r="AT60" s="30"/>
      <c r="AU60" s="29"/>
      <c r="AV60" s="29"/>
      <c r="AW60" s="29"/>
      <c r="AX60" s="37"/>
      <c r="AY60" s="39" t="str">
        <f aca="false">IF(AU60&lt;&gt;"Yes","",IF(AV60="","SELECT RE-ENTRY STAGE","MOVE TO ACTIVE at "&amp;AV60))</f>
        <v/>
      </c>
      <c r="AZ60" s="40" t="str">
        <f aca="false">IF(AU60="Yes",COUNTIF($AU$6:AU60,"Yes"),"")</f>
        <v/>
      </c>
      <c r="BA60" s="29"/>
      <c r="BB60" s="38" t="str">
        <f aca="false">IF($C60="","",IF(OR(F60="Completed",F60="Cancelled"),"",IF(AND(OR(F60="On Hold",ISNUMBER(VALUE(LEFT(H60,2)))),BA60=""),"Reason not given","")))</f>
        <v/>
      </c>
      <c r="BC60" s="30"/>
    </row>
    <row r="61" customFormat="false" ht="19.5" hidden="false" customHeight="true" outlineLevel="0" collapsed="false">
      <c r="A61" s="28" t="str">
        <f aca="false">IF($C61="","",COUNTA($C$6:$C61))</f>
        <v/>
      </c>
      <c r="B61" s="29"/>
      <c r="C61" s="30"/>
      <c r="D61" s="29"/>
      <c r="E61" s="31" t="str">
        <f aca="false">IF($C61="","",IF(NOT(OR(M61="Completed",M61="NA",M61="Cancelled")),"S1 Schematic",IF(NOT(OR(R61="Completed",R61="NA",R61="Cancelled")),"S2 PCB Layout",IF(NOT(OR(W61="Completed",W61="NA",W61="Cancelled")),"S3 SI &amp; PI",IF(NOT(OR(AB61="Completed",AB61="NA",AB61="Cancelled")),"S4 Bare-PCB Fab",IF(NOT(OR(AG61="Completed",AG61="NA",AG61="Cancelled")),"S5 Assembly",IF(NOT(OR(AL61="Completed",AL61="NA",AL61="Cancelled")),"S6 Bring-up",IF(NOT(OR(AQ61="Completed",AQ61="NA",AQ61="Cancelled")),"S7 BOM Procurement","All Stages Closed"))))))))</f>
        <v/>
      </c>
      <c r="F61" s="32" t="str">
        <f aca="false">IF($C61="","",IF(COUNTIF(M61,"Cancelled")+COUNTIF(R61,"Cancelled")+COUNTIF(W61,"Cancelled")+COUNTIF(AB61,"Cancelled")+COUNTIF(AG61,"Cancelled")+COUNTIF(AL61,"Cancelled")+COUNTIF(AQ61,"Cancelled")&gt;0,"Cancelled",IF(E61="All Stages Closed","Completed",IF(E61="S1 Schematic",M61,IF(E61="S2 PCB Layout",R61,IF(E61="S3 SI &amp; PI",W61,IF(E61="S4 Bare-PCB Fab",AB61,IF(E61="S5 Assembly",AG61,IF(E61="S6 Bring-up",AL61,AQ61)))))))))</f>
        <v/>
      </c>
      <c r="G61" s="33" t="str">
        <f aca="false">IF($C61="","",IF(E61="All Stages Closed","",IF(E61="S1 Schematic",IF(N61="","Not added",N61),IF(E61="S2 PCB Layout",IF(S61="","Not added",S61),IF(E61="S3 SI &amp; PI",IF(X61="","Not added",X61),IF(E61="S4 Bare-PCB Fab",IF(AC61="","Not added",AC61),IF(E61="S5 Assembly",IF(AH61="","Not added",AH61),IF(E61="S6 Bring-up",IF(AM61="","Not added",AM61),IF(AR61="","Not added",AR61)))))))))</f>
        <v/>
      </c>
      <c r="H61" s="32" t="str">
        <f aca="true">IF($C61="","",IF(OR(F61="Completed",F61="Cancelled"),"",IF(NOT(ISNUMBER(G61)),"No date set",IF(TODAY()&gt;G61,TODAY()-G61&amp;" days late",G61-TODAY()&amp;" days left"))))</f>
        <v/>
      </c>
      <c r="I61" s="31" t="str">
        <f aca="false">IF($C61="","",COUNTIF(M61,"Completed")+COUNTIF(R61,"Completed")+COUNTIF(W61,"Completed")+COUNTIF(AB61,"Completed")+COUNTIF(AG61,"Completed")+COUNTIF(AL61,"Completed")+COUNTIF(AQ61,"Completed"))</f>
        <v/>
      </c>
      <c r="J61" s="31" t="str">
        <f aca="false">IF($C61="","",7-(COUNTIF(M61,"NA")+COUNTIF(R61,"NA")+COUNTIF(W61,"NA")+COUNTIF(AB61,"NA")+COUNTIF(AG61,"NA")+COUNTIF(AL61,"NA")+COUNTIF(AQ61,"NA")))</f>
        <v/>
      </c>
      <c r="K61" s="34" t="str">
        <f aca="false">IFERROR(I61/J61,"")</f>
        <v/>
      </c>
      <c r="L61" s="29"/>
      <c r="M61" s="35"/>
      <c r="N61" s="36"/>
      <c r="O61" s="36"/>
      <c r="P61" s="30"/>
      <c r="Q61" s="29"/>
      <c r="R61" s="35"/>
      <c r="S61" s="36"/>
      <c r="T61" s="36"/>
      <c r="U61" s="30"/>
      <c r="V61" s="29"/>
      <c r="W61" s="35"/>
      <c r="X61" s="36"/>
      <c r="Y61" s="36"/>
      <c r="Z61" s="30"/>
      <c r="AA61" s="29"/>
      <c r="AB61" s="35"/>
      <c r="AC61" s="36"/>
      <c r="AD61" s="36"/>
      <c r="AE61" s="30"/>
      <c r="AF61" s="29"/>
      <c r="AG61" s="35"/>
      <c r="AH61" s="36"/>
      <c r="AI61" s="36"/>
      <c r="AJ61" s="30"/>
      <c r="AK61" s="29"/>
      <c r="AL61" s="35"/>
      <c r="AM61" s="36"/>
      <c r="AN61" s="36"/>
      <c r="AO61" s="30"/>
      <c r="AP61" s="29"/>
      <c r="AQ61" s="35"/>
      <c r="AR61" s="36"/>
      <c r="AS61" s="36"/>
      <c r="AT61" s="30"/>
      <c r="AU61" s="29"/>
      <c r="AV61" s="29"/>
      <c r="AW61" s="29"/>
      <c r="AX61" s="37"/>
      <c r="AY61" s="39" t="str">
        <f aca="false">IF(AU61&lt;&gt;"Yes","",IF(AV61="","SELECT RE-ENTRY STAGE","MOVE TO ACTIVE at "&amp;AV61))</f>
        <v/>
      </c>
      <c r="AZ61" s="40" t="str">
        <f aca="false">IF(AU61="Yes",COUNTIF($AU$6:AU61,"Yes"),"")</f>
        <v/>
      </c>
      <c r="BA61" s="29"/>
      <c r="BB61" s="38" t="str">
        <f aca="false">IF($C61="","",IF(OR(F61="Completed",F61="Cancelled"),"",IF(AND(OR(F61="On Hold",ISNUMBER(VALUE(LEFT(H61,2)))),BA61=""),"Reason not given","")))</f>
        <v/>
      </c>
      <c r="BC61" s="30"/>
    </row>
    <row r="62" customFormat="false" ht="19.5" hidden="false" customHeight="true" outlineLevel="0" collapsed="false">
      <c r="A62" s="28" t="str">
        <f aca="false">IF($C62="","",COUNTA($C$6:$C62))</f>
        <v/>
      </c>
      <c r="B62" s="29"/>
      <c r="C62" s="30"/>
      <c r="D62" s="29"/>
      <c r="E62" s="31" t="str">
        <f aca="false">IF($C62="","",IF(NOT(OR(M62="Completed",M62="NA",M62="Cancelled")),"S1 Schematic",IF(NOT(OR(R62="Completed",R62="NA",R62="Cancelled")),"S2 PCB Layout",IF(NOT(OR(W62="Completed",W62="NA",W62="Cancelled")),"S3 SI &amp; PI",IF(NOT(OR(AB62="Completed",AB62="NA",AB62="Cancelled")),"S4 Bare-PCB Fab",IF(NOT(OR(AG62="Completed",AG62="NA",AG62="Cancelled")),"S5 Assembly",IF(NOT(OR(AL62="Completed",AL62="NA",AL62="Cancelled")),"S6 Bring-up",IF(NOT(OR(AQ62="Completed",AQ62="NA",AQ62="Cancelled")),"S7 BOM Procurement","All Stages Closed"))))))))</f>
        <v/>
      </c>
      <c r="F62" s="32" t="str">
        <f aca="false">IF($C62="","",IF(COUNTIF(M62,"Cancelled")+COUNTIF(R62,"Cancelled")+COUNTIF(W62,"Cancelled")+COUNTIF(AB62,"Cancelled")+COUNTIF(AG62,"Cancelled")+COUNTIF(AL62,"Cancelled")+COUNTIF(AQ62,"Cancelled")&gt;0,"Cancelled",IF(E62="All Stages Closed","Completed",IF(E62="S1 Schematic",M62,IF(E62="S2 PCB Layout",R62,IF(E62="S3 SI &amp; PI",W62,IF(E62="S4 Bare-PCB Fab",AB62,IF(E62="S5 Assembly",AG62,IF(E62="S6 Bring-up",AL62,AQ62)))))))))</f>
        <v/>
      </c>
      <c r="G62" s="33" t="str">
        <f aca="false">IF($C62="","",IF(E62="All Stages Closed","",IF(E62="S1 Schematic",IF(N62="","Not added",N62),IF(E62="S2 PCB Layout",IF(S62="","Not added",S62),IF(E62="S3 SI &amp; PI",IF(X62="","Not added",X62),IF(E62="S4 Bare-PCB Fab",IF(AC62="","Not added",AC62),IF(E62="S5 Assembly",IF(AH62="","Not added",AH62),IF(E62="S6 Bring-up",IF(AM62="","Not added",AM62),IF(AR62="","Not added",AR62)))))))))</f>
        <v/>
      </c>
      <c r="H62" s="32" t="str">
        <f aca="true">IF($C62="","",IF(OR(F62="Completed",F62="Cancelled"),"",IF(NOT(ISNUMBER(G62)),"No date set",IF(TODAY()&gt;G62,TODAY()-G62&amp;" days late",G62-TODAY()&amp;" days left"))))</f>
        <v/>
      </c>
      <c r="I62" s="31" t="str">
        <f aca="false">IF($C62="","",COUNTIF(M62,"Completed")+COUNTIF(R62,"Completed")+COUNTIF(W62,"Completed")+COUNTIF(AB62,"Completed")+COUNTIF(AG62,"Completed")+COUNTIF(AL62,"Completed")+COUNTIF(AQ62,"Completed"))</f>
        <v/>
      </c>
      <c r="J62" s="31" t="str">
        <f aca="false">IF($C62="","",7-(COUNTIF(M62,"NA")+COUNTIF(R62,"NA")+COUNTIF(W62,"NA")+COUNTIF(AB62,"NA")+COUNTIF(AG62,"NA")+COUNTIF(AL62,"NA")+COUNTIF(AQ62,"NA")))</f>
        <v/>
      </c>
      <c r="K62" s="34" t="str">
        <f aca="false">IFERROR(I62/J62,"")</f>
        <v/>
      </c>
      <c r="L62" s="29"/>
      <c r="M62" s="35"/>
      <c r="N62" s="36"/>
      <c r="O62" s="36"/>
      <c r="P62" s="30"/>
      <c r="Q62" s="29"/>
      <c r="R62" s="35"/>
      <c r="S62" s="36"/>
      <c r="T62" s="36"/>
      <c r="U62" s="30"/>
      <c r="V62" s="29"/>
      <c r="W62" s="35"/>
      <c r="X62" s="36"/>
      <c r="Y62" s="36"/>
      <c r="Z62" s="30"/>
      <c r="AA62" s="29"/>
      <c r="AB62" s="35"/>
      <c r="AC62" s="36"/>
      <c r="AD62" s="36"/>
      <c r="AE62" s="30"/>
      <c r="AF62" s="29"/>
      <c r="AG62" s="35"/>
      <c r="AH62" s="36"/>
      <c r="AI62" s="36"/>
      <c r="AJ62" s="30"/>
      <c r="AK62" s="29"/>
      <c r="AL62" s="35"/>
      <c r="AM62" s="36"/>
      <c r="AN62" s="36"/>
      <c r="AO62" s="30"/>
      <c r="AP62" s="29"/>
      <c r="AQ62" s="35"/>
      <c r="AR62" s="36"/>
      <c r="AS62" s="36"/>
      <c r="AT62" s="30"/>
      <c r="AU62" s="29"/>
      <c r="AV62" s="29"/>
      <c r="AW62" s="29"/>
      <c r="AX62" s="37"/>
      <c r="AY62" s="39" t="str">
        <f aca="false">IF(AU62&lt;&gt;"Yes","",IF(AV62="","SELECT RE-ENTRY STAGE","MOVE TO ACTIVE at "&amp;AV62))</f>
        <v/>
      </c>
      <c r="AZ62" s="40" t="str">
        <f aca="false">IF(AU62="Yes",COUNTIF($AU$6:AU62,"Yes"),"")</f>
        <v/>
      </c>
      <c r="BA62" s="29"/>
      <c r="BB62" s="38" t="str">
        <f aca="false">IF($C62="","",IF(OR(F62="Completed",F62="Cancelled"),"",IF(AND(OR(F62="On Hold",ISNUMBER(VALUE(LEFT(H62,2)))),BA62=""),"Reason not given","")))</f>
        <v/>
      </c>
      <c r="BC62" s="30"/>
    </row>
    <row r="63" customFormat="false" ht="19.5" hidden="false" customHeight="true" outlineLevel="0" collapsed="false">
      <c r="A63" s="28" t="str">
        <f aca="false">IF($C63="","",COUNTA($C$6:$C63))</f>
        <v/>
      </c>
      <c r="B63" s="29"/>
      <c r="C63" s="30"/>
      <c r="D63" s="29"/>
      <c r="E63" s="31" t="str">
        <f aca="false">IF($C63="","",IF(NOT(OR(M63="Completed",M63="NA",M63="Cancelled")),"S1 Schematic",IF(NOT(OR(R63="Completed",R63="NA",R63="Cancelled")),"S2 PCB Layout",IF(NOT(OR(W63="Completed",W63="NA",W63="Cancelled")),"S3 SI &amp; PI",IF(NOT(OR(AB63="Completed",AB63="NA",AB63="Cancelled")),"S4 Bare-PCB Fab",IF(NOT(OR(AG63="Completed",AG63="NA",AG63="Cancelled")),"S5 Assembly",IF(NOT(OR(AL63="Completed",AL63="NA",AL63="Cancelled")),"S6 Bring-up",IF(NOT(OR(AQ63="Completed",AQ63="NA",AQ63="Cancelled")),"S7 BOM Procurement","All Stages Closed"))))))))</f>
        <v/>
      </c>
      <c r="F63" s="32" t="str">
        <f aca="false">IF($C63="","",IF(COUNTIF(M63,"Cancelled")+COUNTIF(R63,"Cancelled")+COUNTIF(W63,"Cancelled")+COUNTIF(AB63,"Cancelled")+COUNTIF(AG63,"Cancelled")+COUNTIF(AL63,"Cancelled")+COUNTIF(AQ63,"Cancelled")&gt;0,"Cancelled",IF(E63="All Stages Closed","Completed",IF(E63="S1 Schematic",M63,IF(E63="S2 PCB Layout",R63,IF(E63="S3 SI &amp; PI",W63,IF(E63="S4 Bare-PCB Fab",AB63,IF(E63="S5 Assembly",AG63,IF(E63="S6 Bring-up",AL63,AQ63)))))))))</f>
        <v/>
      </c>
      <c r="G63" s="33" t="str">
        <f aca="false">IF($C63="","",IF(E63="All Stages Closed","",IF(E63="S1 Schematic",IF(N63="","Not added",N63),IF(E63="S2 PCB Layout",IF(S63="","Not added",S63),IF(E63="S3 SI &amp; PI",IF(X63="","Not added",X63),IF(E63="S4 Bare-PCB Fab",IF(AC63="","Not added",AC63),IF(E63="S5 Assembly",IF(AH63="","Not added",AH63),IF(E63="S6 Bring-up",IF(AM63="","Not added",AM63),IF(AR63="","Not added",AR63)))))))))</f>
        <v/>
      </c>
      <c r="H63" s="32" t="str">
        <f aca="true">IF($C63="","",IF(OR(F63="Completed",F63="Cancelled"),"",IF(NOT(ISNUMBER(G63)),"No date set",IF(TODAY()&gt;G63,TODAY()-G63&amp;" days late",G63-TODAY()&amp;" days left"))))</f>
        <v/>
      </c>
      <c r="I63" s="31" t="str">
        <f aca="false">IF($C63="","",COUNTIF(M63,"Completed")+COUNTIF(R63,"Completed")+COUNTIF(W63,"Completed")+COUNTIF(AB63,"Completed")+COUNTIF(AG63,"Completed")+COUNTIF(AL63,"Completed")+COUNTIF(AQ63,"Completed"))</f>
        <v/>
      </c>
      <c r="J63" s="31" t="str">
        <f aca="false">IF($C63="","",7-(COUNTIF(M63,"NA")+COUNTIF(R63,"NA")+COUNTIF(W63,"NA")+COUNTIF(AB63,"NA")+COUNTIF(AG63,"NA")+COUNTIF(AL63,"NA")+COUNTIF(AQ63,"NA")))</f>
        <v/>
      </c>
      <c r="K63" s="34" t="str">
        <f aca="false">IFERROR(I63/J63,"")</f>
        <v/>
      </c>
      <c r="L63" s="29"/>
      <c r="M63" s="35"/>
      <c r="N63" s="36"/>
      <c r="O63" s="36"/>
      <c r="P63" s="30"/>
      <c r="Q63" s="29"/>
      <c r="R63" s="35"/>
      <c r="S63" s="36"/>
      <c r="T63" s="36"/>
      <c r="U63" s="30"/>
      <c r="V63" s="29"/>
      <c r="W63" s="35"/>
      <c r="X63" s="36"/>
      <c r="Y63" s="36"/>
      <c r="Z63" s="30"/>
      <c r="AA63" s="29"/>
      <c r="AB63" s="35"/>
      <c r="AC63" s="36"/>
      <c r="AD63" s="36"/>
      <c r="AE63" s="30"/>
      <c r="AF63" s="29"/>
      <c r="AG63" s="35"/>
      <c r="AH63" s="36"/>
      <c r="AI63" s="36"/>
      <c r="AJ63" s="30"/>
      <c r="AK63" s="29"/>
      <c r="AL63" s="35"/>
      <c r="AM63" s="36"/>
      <c r="AN63" s="36"/>
      <c r="AO63" s="30"/>
      <c r="AP63" s="29"/>
      <c r="AQ63" s="35"/>
      <c r="AR63" s="36"/>
      <c r="AS63" s="36"/>
      <c r="AT63" s="30"/>
      <c r="AU63" s="29"/>
      <c r="AV63" s="29"/>
      <c r="AW63" s="29"/>
      <c r="AX63" s="37"/>
      <c r="AY63" s="39" t="str">
        <f aca="false">IF(AU63&lt;&gt;"Yes","",IF(AV63="","SELECT RE-ENTRY STAGE","MOVE TO ACTIVE at "&amp;AV63))</f>
        <v/>
      </c>
      <c r="AZ63" s="40" t="str">
        <f aca="false">IF(AU63="Yes",COUNTIF($AU$6:AU63,"Yes"),"")</f>
        <v/>
      </c>
      <c r="BA63" s="29"/>
      <c r="BB63" s="38" t="str">
        <f aca="false">IF($C63="","",IF(OR(F63="Completed",F63="Cancelled"),"",IF(AND(OR(F63="On Hold",ISNUMBER(VALUE(LEFT(H63,2)))),BA63=""),"Reason not given","")))</f>
        <v/>
      </c>
      <c r="BC63" s="30"/>
    </row>
    <row r="64" customFormat="false" ht="19.5" hidden="false" customHeight="true" outlineLevel="0" collapsed="false">
      <c r="A64" s="28" t="str">
        <f aca="false">IF($C64="","",COUNTA($C$6:$C64))</f>
        <v/>
      </c>
      <c r="B64" s="29"/>
      <c r="C64" s="30"/>
      <c r="D64" s="29"/>
      <c r="E64" s="31" t="str">
        <f aca="false">IF($C64="","",IF(NOT(OR(M64="Completed",M64="NA",M64="Cancelled")),"S1 Schematic",IF(NOT(OR(R64="Completed",R64="NA",R64="Cancelled")),"S2 PCB Layout",IF(NOT(OR(W64="Completed",W64="NA",W64="Cancelled")),"S3 SI &amp; PI",IF(NOT(OR(AB64="Completed",AB64="NA",AB64="Cancelled")),"S4 Bare-PCB Fab",IF(NOT(OR(AG64="Completed",AG64="NA",AG64="Cancelled")),"S5 Assembly",IF(NOT(OR(AL64="Completed",AL64="NA",AL64="Cancelled")),"S6 Bring-up",IF(NOT(OR(AQ64="Completed",AQ64="NA",AQ64="Cancelled")),"S7 BOM Procurement","All Stages Closed"))))))))</f>
        <v/>
      </c>
      <c r="F64" s="32" t="str">
        <f aca="false">IF($C64="","",IF(COUNTIF(M64,"Cancelled")+COUNTIF(R64,"Cancelled")+COUNTIF(W64,"Cancelled")+COUNTIF(AB64,"Cancelled")+COUNTIF(AG64,"Cancelled")+COUNTIF(AL64,"Cancelled")+COUNTIF(AQ64,"Cancelled")&gt;0,"Cancelled",IF(E64="All Stages Closed","Completed",IF(E64="S1 Schematic",M64,IF(E64="S2 PCB Layout",R64,IF(E64="S3 SI &amp; PI",W64,IF(E64="S4 Bare-PCB Fab",AB64,IF(E64="S5 Assembly",AG64,IF(E64="S6 Bring-up",AL64,AQ64)))))))))</f>
        <v/>
      </c>
      <c r="G64" s="33" t="str">
        <f aca="false">IF($C64="","",IF(E64="All Stages Closed","",IF(E64="S1 Schematic",IF(N64="","Not added",N64),IF(E64="S2 PCB Layout",IF(S64="","Not added",S64),IF(E64="S3 SI &amp; PI",IF(X64="","Not added",X64),IF(E64="S4 Bare-PCB Fab",IF(AC64="","Not added",AC64),IF(E64="S5 Assembly",IF(AH64="","Not added",AH64),IF(E64="S6 Bring-up",IF(AM64="","Not added",AM64),IF(AR64="","Not added",AR64)))))))))</f>
        <v/>
      </c>
      <c r="H64" s="32" t="str">
        <f aca="true">IF($C64="","",IF(OR(F64="Completed",F64="Cancelled"),"",IF(NOT(ISNUMBER(G64)),"No date set",IF(TODAY()&gt;G64,TODAY()-G64&amp;" days late",G64-TODAY()&amp;" days left"))))</f>
        <v/>
      </c>
      <c r="I64" s="31" t="str">
        <f aca="false">IF($C64="","",COUNTIF(M64,"Completed")+COUNTIF(R64,"Completed")+COUNTIF(W64,"Completed")+COUNTIF(AB64,"Completed")+COUNTIF(AG64,"Completed")+COUNTIF(AL64,"Completed")+COUNTIF(AQ64,"Completed"))</f>
        <v/>
      </c>
      <c r="J64" s="31" t="str">
        <f aca="false">IF($C64="","",7-(COUNTIF(M64,"NA")+COUNTIF(R64,"NA")+COUNTIF(W64,"NA")+COUNTIF(AB64,"NA")+COUNTIF(AG64,"NA")+COUNTIF(AL64,"NA")+COUNTIF(AQ64,"NA")))</f>
        <v/>
      </c>
      <c r="K64" s="34" t="str">
        <f aca="false">IFERROR(I64/J64,"")</f>
        <v/>
      </c>
      <c r="L64" s="29"/>
      <c r="M64" s="35"/>
      <c r="N64" s="36"/>
      <c r="O64" s="36"/>
      <c r="P64" s="30"/>
      <c r="Q64" s="29"/>
      <c r="R64" s="35"/>
      <c r="S64" s="36"/>
      <c r="T64" s="36"/>
      <c r="U64" s="30"/>
      <c r="V64" s="29"/>
      <c r="W64" s="35"/>
      <c r="X64" s="36"/>
      <c r="Y64" s="36"/>
      <c r="Z64" s="30"/>
      <c r="AA64" s="29"/>
      <c r="AB64" s="35"/>
      <c r="AC64" s="36"/>
      <c r="AD64" s="36"/>
      <c r="AE64" s="30"/>
      <c r="AF64" s="29"/>
      <c r="AG64" s="35"/>
      <c r="AH64" s="36"/>
      <c r="AI64" s="36"/>
      <c r="AJ64" s="30"/>
      <c r="AK64" s="29"/>
      <c r="AL64" s="35"/>
      <c r="AM64" s="36"/>
      <c r="AN64" s="36"/>
      <c r="AO64" s="30"/>
      <c r="AP64" s="29"/>
      <c r="AQ64" s="35"/>
      <c r="AR64" s="36"/>
      <c r="AS64" s="36"/>
      <c r="AT64" s="30"/>
      <c r="AU64" s="29"/>
      <c r="AV64" s="29"/>
      <c r="AW64" s="29"/>
      <c r="AX64" s="37"/>
      <c r="AY64" s="39" t="str">
        <f aca="false">IF(AU64&lt;&gt;"Yes","",IF(AV64="","SELECT RE-ENTRY STAGE","MOVE TO ACTIVE at "&amp;AV64))</f>
        <v/>
      </c>
      <c r="AZ64" s="40" t="str">
        <f aca="false">IF(AU64="Yes",COUNTIF($AU$6:AU64,"Yes"),"")</f>
        <v/>
      </c>
      <c r="BA64" s="29"/>
      <c r="BB64" s="38" t="str">
        <f aca="false">IF($C64="","",IF(OR(F64="Completed",F64="Cancelled"),"",IF(AND(OR(F64="On Hold",ISNUMBER(VALUE(LEFT(H64,2)))),BA64=""),"Reason not given","")))</f>
        <v/>
      </c>
      <c r="BC64" s="30"/>
    </row>
    <row r="65" customFormat="false" ht="19.5" hidden="false" customHeight="true" outlineLevel="0" collapsed="false">
      <c r="A65" s="28" t="str">
        <f aca="false">IF($C65="","",COUNTA($C$6:$C65))</f>
        <v/>
      </c>
      <c r="B65" s="29"/>
      <c r="C65" s="30"/>
      <c r="D65" s="29"/>
      <c r="E65" s="31" t="str">
        <f aca="false">IF($C65="","",IF(NOT(OR(M65="Completed",M65="NA",M65="Cancelled")),"S1 Schematic",IF(NOT(OR(R65="Completed",R65="NA",R65="Cancelled")),"S2 PCB Layout",IF(NOT(OR(W65="Completed",W65="NA",W65="Cancelled")),"S3 SI &amp; PI",IF(NOT(OR(AB65="Completed",AB65="NA",AB65="Cancelled")),"S4 Bare-PCB Fab",IF(NOT(OR(AG65="Completed",AG65="NA",AG65="Cancelled")),"S5 Assembly",IF(NOT(OR(AL65="Completed",AL65="NA",AL65="Cancelled")),"S6 Bring-up",IF(NOT(OR(AQ65="Completed",AQ65="NA",AQ65="Cancelled")),"S7 BOM Procurement","All Stages Closed"))))))))</f>
        <v/>
      </c>
      <c r="F65" s="32" t="str">
        <f aca="false">IF($C65="","",IF(COUNTIF(M65,"Cancelled")+COUNTIF(R65,"Cancelled")+COUNTIF(W65,"Cancelled")+COUNTIF(AB65,"Cancelled")+COUNTIF(AG65,"Cancelled")+COUNTIF(AL65,"Cancelled")+COUNTIF(AQ65,"Cancelled")&gt;0,"Cancelled",IF(E65="All Stages Closed","Completed",IF(E65="S1 Schematic",M65,IF(E65="S2 PCB Layout",R65,IF(E65="S3 SI &amp; PI",W65,IF(E65="S4 Bare-PCB Fab",AB65,IF(E65="S5 Assembly",AG65,IF(E65="S6 Bring-up",AL65,AQ65)))))))))</f>
        <v/>
      </c>
      <c r="G65" s="33" t="str">
        <f aca="false">IF($C65="","",IF(E65="All Stages Closed","",IF(E65="S1 Schematic",IF(N65="","Not added",N65),IF(E65="S2 PCB Layout",IF(S65="","Not added",S65),IF(E65="S3 SI &amp; PI",IF(X65="","Not added",X65),IF(E65="S4 Bare-PCB Fab",IF(AC65="","Not added",AC65),IF(E65="S5 Assembly",IF(AH65="","Not added",AH65),IF(E65="S6 Bring-up",IF(AM65="","Not added",AM65),IF(AR65="","Not added",AR65)))))))))</f>
        <v/>
      </c>
      <c r="H65" s="32" t="str">
        <f aca="true">IF($C65="","",IF(OR(F65="Completed",F65="Cancelled"),"",IF(NOT(ISNUMBER(G65)),"No date set",IF(TODAY()&gt;G65,TODAY()-G65&amp;" days late",G65-TODAY()&amp;" days left"))))</f>
        <v/>
      </c>
      <c r="I65" s="31" t="str">
        <f aca="false">IF($C65="","",COUNTIF(M65,"Completed")+COUNTIF(R65,"Completed")+COUNTIF(W65,"Completed")+COUNTIF(AB65,"Completed")+COUNTIF(AG65,"Completed")+COUNTIF(AL65,"Completed")+COUNTIF(AQ65,"Completed"))</f>
        <v/>
      </c>
      <c r="J65" s="31" t="str">
        <f aca="false">IF($C65="","",7-(COUNTIF(M65,"NA")+COUNTIF(R65,"NA")+COUNTIF(W65,"NA")+COUNTIF(AB65,"NA")+COUNTIF(AG65,"NA")+COUNTIF(AL65,"NA")+COUNTIF(AQ65,"NA")))</f>
        <v/>
      </c>
      <c r="K65" s="34" t="str">
        <f aca="false">IFERROR(I65/J65,"")</f>
        <v/>
      </c>
      <c r="L65" s="29"/>
      <c r="M65" s="35"/>
      <c r="N65" s="36"/>
      <c r="O65" s="36"/>
      <c r="P65" s="30"/>
      <c r="Q65" s="29"/>
      <c r="R65" s="35"/>
      <c r="S65" s="36"/>
      <c r="T65" s="36"/>
      <c r="U65" s="30"/>
      <c r="V65" s="29"/>
      <c r="W65" s="35"/>
      <c r="X65" s="36"/>
      <c r="Y65" s="36"/>
      <c r="Z65" s="30"/>
      <c r="AA65" s="29"/>
      <c r="AB65" s="35"/>
      <c r="AC65" s="36"/>
      <c r="AD65" s="36"/>
      <c r="AE65" s="30"/>
      <c r="AF65" s="29"/>
      <c r="AG65" s="35"/>
      <c r="AH65" s="36"/>
      <c r="AI65" s="36"/>
      <c r="AJ65" s="30"/>
      <c r="AK65" s="29"/>
      <c r="AL65" s="35"/>
      <c r="AM65" s="36"/>
      <c r="AN65" s="36"/>
      <c r="AO65" s="30"/>
      <c r="AP65" s="29"/>
      <c r="AQ65" s="35"/>
      <c r="AR65" s="36"/>
      <c r="AS65" s="36"/>
      <c r="AT65" s="30"/>
      <c r="AU65" s="29"/>
      <c r="AV65" s="29"/>
      <c r="AW65" s="29"/>
      <c r="AX65" s="37"/>
      <c r="AY65" s="39" t="str">
        <f aca="false">IF(AU65&lt;&gt;"Yes","",IF(AV65="","SELECT RE-ENTRY STAGE","MOVE TO ACTIVE at "&amp;AV65))</f>
        <v/>
      </c>
      <c r="AZ65" s="40" t="str">
        <f aca="false">IF(AU65="Yes",COUNTIF($AU$6:AU65,"Yes"),"")</f>
        <v/>
      </c>
      <c r="BA65" s="29"/>
      <c r="BB65" s="38" t="str">
        <f aca="false">IF($C65="","",IF(OR(F65="Completed",F65="Cancelled"),"",IF(AND(OR(F65="On Hold",ISNUMBER(VALUE(LEFT(H65,2)))),BA65=""),"Reason not given","")))</f>
        <v/>
      </c>
      <c r="BC65" s="30"/>
    </row>
    <row r="66" customFormat="false" ht="19.5" hidden="false" customHeight="true" outlineLevel="0" collapsed="false">
      <c r="A66" s="28" t="str">
        <f aca="false">IF($C66="","",COUNTA($C$6:$C66))</f>
        <v/>
      </c>
      <c r="B66" s="29"/>
      <c r="C66" s="30"/>
      <c r="D66" s="29"/>
      <c r="E66" s="31" t="str">
        <f aca="false">IF($C66="","",IF(NOT(OR(M66="Completed",M66="NA",M66="Cancelled")),"S1 Schematic",IF(NOT(OR(R66="Completed",R66="NA",R66="Cancelled")),"S2 PCB Layout",IF(NOT(OR(W66="Completed",W66="NA",W66="Cancelled")),"S3 SI &amp; PI",IF(NOT(OR(AB66="Completed",AB66="NA",AB66="Cancelled")),"S4 Bare-PCB Fab",IF(NOT(OR(AG66="Completed",AG66="NA",AG66="Cancelled")),"S5 Assembly",IF(NOT(OR(AL66="Completed",AL66="NA",AL66="Cancelled")),"S6 Bring-up",IF(NOT(OR(AQ66="Completed",AQ66="NA",AQ66="Cancelled")),"S7 BOM Procurement","All Stages Closed"))))))))</f>
        <v/>
      </c>
      <c r="F66" s="32" t="str">
        <f aca="false">IF($C66="","",IF(COUNTIF(M66,"Cancelled")+COUNTIF(R66,"Cancelled")+COUNTIF(W66,"Cancelled")+COUNTIF(AB66,"Cancelled")+COUNTIF(AG66,"Cancelled")+COUNTIF(AL66,"Cancelled")+COUNTIF(AQ66,"Cancelled")&gt;0,"Cancelled",IF(E66="All Stages Closed","Completed",IF(E66="S1 Schematic",M66,IF(E66="S2 PCB Layout",R66,IF(E66="S3 SI &amp; PI",W66,IF(E66="S4 Bare-PCB Fab",AB66,IF(E66="S5 Assembly",AG66,IF(E66="S6 Bring-up",AL66,AQ66)))))))))</f>
        <v/>
      </c>
      <c r="G66" s="33" t="str">
        <f aca="false">IF($C66="","",IF(E66="All Stages Closed","",IF(E66="S1 Schematic",IF(N66="","Not added",N66),IF(E66="S2 PCB Layout",IF(S66="","Not added",S66),IF(E66="S3 SI &amp; PI",IF(X66="","Not added",X66),IF(E66="S4 Bare-PCB Fab",IF(AC66="","Not added",AC66),IF(E66="S5 Assembly",IF(AH66="","Not added",AH66),IF(E66="S6 Bring-up",IF(AM66="","Not added",AM66),IF(AR66="","Not added",AR66)))))))))</f>
        <v/>
      </c>
      <c r="H66" s="32" t="str">
        <f aca="true">IF($C66="","",IF(OR(F66="Completed",F66="Cancelled"),"",IF(NOT(ISNUMBER(G66)),"No date set",IF(TODAY()&gt;G66,TODAY()-G66&amp;" days late",G66-TODAY()&amp;" days left"))))</f>
        <v/>
      </c>
      <c r="I66" s="31" t="str">
        <f aca="false">IF($C66="","",COUNTIF(M66,"Completed")+COUNTIF(R66,"Completed")+COUNTIF(W66,"Completed")+COUNTIF(AB66,"Completed")+COUNTIF(AG66,"Completed")+COUNTIF(AL66,"Completed")+COUNTIF(AQ66,"Completed"))</f>
        <v/>
      </c>
      <c r="J66" s="31" t="str">
        <f aca="false">IF($C66="","",7-(COUNTIF(M66,"NA")+COUNTIF(R66,"NA")+COUNTIF(W66,"NA")+COUNTIF(AB66,"NA")+COUNTIF(AG66,"NA")+COUNTIF(AL66,"NA")+COUNTIF(AQ66,"NA")))</f>
        <v/>
      </c>
      <c r="K66" s="34" t="str">
        <f aca="false">IFERROR(I66/J66,"")</f>
        <v/>
      </c>
      <c r="L66" s="29"/>
      <c r="M66" s="35"/>
      <c r="N66" s="36"/>
      <c r="O66" s="36"/>
      <c r="P66" s="30"/>
      <c r="Q66" s="29"/>
      <c r="R66" s="35"/>
      <c r="S66" s="36"/>
      <c r="T66" s="36"/>
      <c r="U66" s="30"/>
      <c r="V66" s="29"/>
      <c r="W66" s="35"/>
      <c r="X66" s="36"/>
      <c r="Y66" s="36"/>
      <c r="Z66" s="30"/>
      <c r="AA66" s="29"/>
      <c r="AB66" s="35"/>
      <c r="AC66" s="36"/>
      <c r="AD66" s="36"/>
      <c r="AE66" s="30"/>
      <c r="AF66" s="29"/>
      <c r="AG66" s="35"/>
      <c r="AH66" s="36"/>
      <c r="AI66" s="36"/>
      <c r="AJ66" s="30"/>
      <c r="AK66" s="29"/>
      <c r="AL66" s="35"/>
      <c r="AM66" s="36"/>
      <c r="AN66" s="36"/>
      <c r="AO66" s="30"/>
      <c r="AP66" s="29"/>
      <c r="AQ66" s="35"/>
      <c r="AR66" s="36"/>
      <c r="AS66" s="36"/>
      <c r="AT66" s="30"/>
      <c r="AU66" s="29"/>
      <c r="AV66" s="29"/>
      <c r="AW66" s="29"/>
      <c r="AX66" s="37"/>
      <c r="AY66" s="39" t="str">
        <f aca="false">IF(AU66&lt;&gt;"Yes","",IF(AV66="","SELECT RE-ENTRY STAGE","MOVE TO ACTIVE at "&amp;AV66))</f>
        <v/>
      </c>
      <c r="AZ66" s="40" t="str">
        <f aca="false">IF(AU66="Yes",COUNTIF($AU$6:AU66,"Yes"),"")</f>
        <v/>
      </c>
      <c r="BA66" s="29"/>
      <c r="BB66" s="38" t="str">
        <f aca="false">IF($C66="","",IF(OR(F66="Completed",F66="Cancelled"),"",IF(AND(OR(F66="On Hold",ISNUMBER(VALUE(LEFT(H66,2)))),BA66=""),"Reason not given","")))</f>
        <v/>
      </c>
      <c r="BC66" s="30"/>
    </row>
    <row r="67" customFormat="false" ht="19.5" hidden="false" customHeight="true" outlineLevel="0" collapsed="false">
      <c r="A67" s="28" t="str">
        <f aca="false">IF($C67="","",COUNTA($C$6:$C67))</f>
        <v/>
      </c>
      <c r="B67" s="29"/>
      <c r="C67" s="30"/>
      <c r="D67" s="29"/>
      <c r="E67" s="31" t="str">
        <f aca="false">IF($C67="","",IF(NOT(OR(M67="Completed",M67="NA",M67="Cancelled")),"S1 Schematic",IF(NOT(OR(R67="Completed",R67="NA",R67="Cancelled")),"S2 PCB Layout",IF(NOT(OR(W67="Completed",W67="NA",W67="Cancelled")),"S3 SI &amp; PI",IF(NOT(OR(AB67="Completed",AB67="NA",AB67="Cancelled")),"S4 Bare-PCB Fab",IF(NOT(OR(AG67="Completed",AG67="NA",AG67="Cancelled")),"S5 Assembly",IF(NOT(OR(AL67="Completed",AL67="NA",AL67="Cancelled")),"S6 Bring-up",IF(NOT(OR(AQ67="Completed",AQ67="NA",AQ67="Cancelled")),"S7 BOM Procurement","All Stages Closed"))))))))</f>
        <v/>
      </c>
      <c r="F67" s="32" t="str">
        <f aca="false">IF($C67="","",IF(COUNTIF(M67,"Cancelled")+COUNTIF(R67,"Cancelled")+COUNTIF(W67,"Cancelled")+COUNTIF(AB67,"Cancelled")+COUNTIF(AG67,"Cancelled")+COUNTIF(AL67,"Cancelled")+COUNTIF(AQ67,"Cancelled")&gt;0,"Cancelled",IF(E67="All Stages Closed","Completed",IF(E67="S1 Schematic",M67,IF(E67="S2 PCB Layout",R67,IF(E67="S3 SI &amp; PI",W67,IF(E67="S4 Bare-PCB Fab",AB67,IF(E67="S5 Assembly",AG67,IF(E67="S6 Bring-up",AL67,AQ67)))))))))</f>
        <v/>
      </c>
      <c r="G67" s="33" t="str">
        <f aca="false">IF($C67="","",IF(E67="All Stages Closed","",IF(E67="S1 Schematic",IF(N67="","Not added",N67),IF(E67="S2 PCB Layout",IF(S67="","Not added",S67),IF(E67="S3 SI &amp; PI",IF(X67="","Not added",X67),IF(E67="S4 Bare-PCB Fab",IF(AC67="","Not added",AC67),IF(E67="S5 Assembly",IF(AH67="","Not added",AH67),IF(E67="S6 Bring-up",IF(AM67="","Not added",AM67),IF(AR67="","Not added",AR67)))))))))</f>
        <v/>
      </c>
      <c r="H67" s="32" t="str">
        <f aca="true">IF($C67="","",IF(OR(F67="Completed",F67="Cancelled"),"",IF(NOT(ISNUMBER(G67)),"No date set",IF(TODAY()&gt;G67,TODAY()-G67&amp;" days late",G67-TODAY()&amp;" days left"))))</f>
        <v/>
      </c>
      <c r="I67" s="31" t="str">
        <f aca="false">IF($C67="","",COUNTIF(M67,"Completed")+COUNTIF(R67,"Completed")+COUNTIF(W67,"Completed")+COUNTIF(AB67,"Completed")+COUNTIF(AG67,"Completed")+COUNTIF(AL67,"Completed")+COUNTIF(AQ67,"Completed"))</f>
        <v/>
      </c>
      <c r="J67" s="31" t="str">
        <f aca="false">IF($C67="","",7-(COUNTIF(M67,"NA")+COUNTIF(R67,"NA")+COUNTIF(W67,"NA")+COUNTIF(AB67,"NA")+COUNTIF(AG67,"NA")+COUNTIF(AL67,"NA")+COUNTIF(AQ67,"NA")))</f>
        <v/>
      </c>
      <c r="K67" s="34" t="str">
        <f aca="false">IFERROR(I67/J67,"")</f>
        <v/>
      </c>
      <c r="L67" s="29"/>
      <c r="M67" s="35"/>
      <c r="N67" s="36"/>
      <c r="O67" s="36"/>
      <c r="P67" s="30"/>
      <c r="Q67" s="29"/>
      <c r="R67" s="35"/>
      <c r="S67" s="36"/>
      <c r="T67" s="36"/>
      <c r="U67" s="30"/>
      <c r="V67" s="29"/>
      <c r="W67" s="35"/>
      <c r="X67" s="36"/>
      <c r="Y67" s="36"/>
      <c r="Z67" s="30"/>
      <c r="AA67" s="29"/>
      <c r="AB67" s="35"/>
      <c r="AC67" s="36"/>
      <c r="AD67" s="36"/>
      <c r="AE67" s="30"/>
      <c r="AF67" s="29"/>
      <c r="AG67" s="35"/>
      <c r="AH67" s="36"/>
      <c r="AI67" s="36"/>
      <c r="AJ67" s="30"/>
      <c r="AK67" s="29"/>
      <c r="AL67" s="35"/>
      <c r="AM67" s="36"/>
      <c r="AN67" s="36"/>
      <c r="AO67" s="30"/>
      <c r="AP67" s="29"/>
      <c r="AQ67" s="35"/>
      <c r="AR67" s="36"/>
      <c r="AS67" s="36"/>
      <c r="AT67" s="30"/>
      <c r="AU67" s="29"/>
      <c r="AV67" s="29"/>
      <c r="AW67" s="29"/>
      <c r="AX67" s="37"/>
      <c r="AY67" s="39" t="str">
        <f aca="false">IF(AU67&lt;&gt;"Yes","",IF(AV67="","SELECT RE-ENTRY STAGE","MOVE TO ACTIVE at "&amp;AV67))</f>
        <v/>
      </c>
      <c r="AZ67" s="40" t="str">
        <f aca="false">IF(AU67="Yes",COUNTIF($AU$6:AU67,"Yes"),"")</f>
        <v/>
      </c>
      <c r="BA67" s="29"/>
      <c r="BB67" s="38" t="str">
        <f aca="false">IF($C67="","",IF(OR(F67="Completed",F67="Cancelled"),"",IF(AND(OR(F67="On Hold",ISNUMBER(VALUE(LEFT(H67,2)))),BA67=""),"Reason not given","")))</f>
        <v/>
      </c>
      <c r="BC67" s="30"/>
    </row>
    <row r="68" customFormat="false" ht="19.5" hidden="false" customHeight="true" outlineLevel="0" collapsed="false">
      <c r="A68" s="28" t="str">
        <f aca="false">IF($C68="","",COUNTA($C$6:$C68))</f>
        <v/>
      </c>
      <c r="B68" s="29"/>
      <c r="C68" s="30"/>
      <c r="D68" s="29"/>
      <c r="E68" s="31" t="str">
        <f aca="false">IF($C68="","",IF(NOT(OR(M68="Completed",M68="NA",M68="Cancelled")),"S1 Schematic",IF(NOT(OR(R68="Completed",R68="NA",R68="Cancelled")),"S2 PCB Layout",IF(NOT(OR(W68="Completed",W68="NA",W68="Cancelled")),"S3 SI &amp; PI",IF(NOT(OR(AB68="Completed",AB68="NA",AB68="Cancelled")),"S4 Bare-PCB Fab",IF(NOT(OR(AG68="Completed",AG68="NA",AG68="Cancelled")),"S5 Assembly",IF(NOT(OR(AL68="Completed",AL68="NA",AL68="Cancelled")),"S6 Bring-up",IF(NOT(OR(AQ68="Completed",AQ68="NA",AQ68="Cancelled")),"S7 BOM Procurement","All Stages Closed"))))))))</f>
        <v/>
      </c>
      <c r="F68" s="32" t="str">
        <f aca="false">IF($C68="","",IF(COUNTIF(M68,"Cancelled")+COUNTIF(R68,"Cancelled")+COUNTIF(W68,"Cancelled")+COUNTIF(AB68,"Cancelled")+COUNTIF(AG68,"Cancelled")+COUNTIF(AL68,"Cancelled")+COUNTIF(AQ68,"Cancelled")&gt;0,"Cancelled",IF(E68="All Stages Closed","Completed",IF(E68="S1 Schematic",M68,IF(E68="S2 PCB Layout",R68,IF(E68="S3 SI &amp; PI",W68,IF(E68="S4 Bare-PCB Fab",AB68,IF(E68="S5 Assembly",AG68,IF(E68="S6 Bring-up",AL68,AQ68)))))))))</f>
        <v/>
      </c>
      <c r="G68" s="33" t="str">
        <f aca="false">IF($C68="","",IF(E68="All Stages Closed","",IF(E68="S1 Schematic",IF(N68="","Not added",N68),IF(E68="S2 PCB Layout",IF(S68="","Not added",S68),IF(E68="S3 SI &amp; PI",IF(X68="","Not added",X68),IF(E68="S4 Bare-PCB Fab",IF(AC68="","Not added",AC68),IF(E68="S5 Assembly",IF(AH68="","Not added",AH68),IF(E68="S6 Bring-up",IF(AM68="","Not added",AM68),IF(AR68="","Not added",AR68)))))))))</f>
        <v/>
      </c>
      <c r="H68" s="32" t="str">
        <f aca="true">IF($C68="","",IF(OR(F68="Completed",F68="Cancelled"),"",IF(NOT(ISNUMBER(G68)),"No date set",IF(TODAY()&gt;G68,TODAY()-G68&amp;" days late",G68-TODAY()&amp;" days left"))))</f>
        <v/>
      </c>
      <c r="I68" s="31" t="str">
        <f aca="false">IF($C68="","",COUNTIF(M68,"Completed")+COUNTIF(R68,"Completed")+COUNTIF(W68,"Completed")+COUNTIF(AB68,"Completed")+COUNTIF(AG68,"Completed")+COUNTIF(AL68,"Completed")+COUNTIF(AQ68,"Completed"))</f>
        <v/>
      </c>
      <c r="J68" s="31" t="str">
        <f aca="false">IF($C68="","",7-(COUNTIF(M68,"NA")+COUNTIF(R68,"NA")+COUNTIF(W68,"NA")+COUNTIF(AB68,"NA")+COUNTIF(AG68,"NA")+COUNTIF(AL68,"NA")+COUNTIF(AQ68,"NA")))</f>
        <v/>
      </c>
      <c r="K68" s="34" t="str">
        <f aca="false">IFERROR(I68/J68,"")</f>
        <v/>
      </c>
      <c r="L68" s="29"/>
      <c r="M68" s="35"/>
      <c r="N68" s="36"/>
      <c r="O68" s="36"/>
      <c r="P68" s="30"/>
      <c r="Q68" s="29"/>
      <c r="R68" s="35"/>
      <c r="S68" s="36"/>
      <c r="T68" s="36"/>
      <c r="U68" s="30"/>
      <c r="V68" s="29"/>
      <c r="W68" s="35"/>
      <c r="X68" s="36"/>
      <c r="Y68" s="36"/>
      <c r="Z68" s="30"/>
      <c r="AA68" s="29"/>
      <c r="AB68" s="35"/>
      <c r="AC68" s="36"/>
      <c r="AD68" s="36"/>
      <c r="AE68" s="30"/>
      <c r="AF68" s="29"/>
      <c r="AG68" s="35"/>
      <c r="AH68" s="36"/>
      <c r="AI68" s="36"/>
      <c r="AJ68" s="30"/>
      <c r="AK68" s="29"/>
      <c r="AL68" s="35"/>
      <c r="AM68" s="36"/>
      <c r="AN68" s="36"/>
      <c r="AO68" s="30"/>
      <c r="AP68" s="29"/>
      <c r="AQ68" s="35"/>
      <c r="AR68" s="36"/>
      <c r="AS68" s="36"/>
      <c r="AT68" s="30"/>
      <c r="AU68" s="29"/>
      <c r="AV68" s="29"/>
      <c r="AW68" s="29"/>
      <c r="AX68" s="37"/>
      <c r="AY68" s="39" t="str">
        <f aca="false">IF(AU68&lt;&gt;"Yes","",IF(AV68="","SELECT RE-ENTRY STAGE","MOVE TO ACTIVE at "&amp;AV68))</f>
        <v/>
      </c>
      <c r="AZ68" s="40" t="str">
        <f aca="false">IF(AU68="Yes",COUNTIF($AU$6:AU68,"Yes"),"")</f>
        <v/>
      </c>
      <c r="BA68" s="29"/>
      <c r="BB68" s="38" t="str">
        <f aca="false">IF($C68="","",IF(OR(F68="Completed",F68="Cancelled"),"",IF(AND(OR(F68="On Hold",ISNUMBER(VALUE(LEFT(H68,2)))),BA68=""),"Reason not given","")))</f>
        <v/>
      </c>
      <c r="BC68" s="30"/>
    </row>
    <row r="69" customFormat="false" ht="19.5" hidden="false" customHeight="true" outlineLevel="0" collapsed="false">
      <c r="A69" s="28" t="str">
        <f aca="false">IF($C69="","",COUNTA($C$6:$C69))</f>
        <v/>
      </c>
      <c r="B69" s="29"/>
      <c r="C69" s="30"/>
      <c r="D69" s="29"/>
      <c r="E69" s="31" t="str">
        <f aca="false">IF($C69="","",IF(NOT(OR(M69="Completed",M69="NA",M69="Cancelled")),"S1 Schematic",IF(NOT(OR(R69="Completed",R69="NA",R69="Cancelled")),"S2 PCB Layout",IF(NOT(OR(W69="Completed",W69="NA",W69="Cancelled")),"S3 SI &amp; PI",IF(NOT(OR(AB69="Completed",AB69="NA",AB69="Cancelled")),"S4 Bare-PCB Fab",IF(NOT(OR(AG69="Completed",AG69="NA",AG69="Cancelled")),"S5 Assembly",IF(NOT(OR(AL69="Completed",AL69="NA",AL69="Cancelled")),"S6 Bring-up",IF(NOT(OR(AQ69="Completed",AQ69="NA",AQ69="Cancelled")),"S7 BOM Procurement","All Stages Closed"))))))))</f>
        <v/>
      </c>
      <c r="F69" s="32" t="str">
        <f aca="false">IF($C69="","",IF(COUNTIF(M69,"Cancelled")+COUNTIF(R69,"Cancelled")+COUNTIF(W69,"Cancelled")+COUNTIF(AB69,"Cancelled")+COUNTIF(AG69,"Cancelled")+COUNTIF(AL69,"Cancelled")+COUNTIF(AQ69,"Cancelled")&gt;0,"Cancelled",IF(E69="All Stages Closed","Completed",IF(E69="S1 Schematic",M69,IF(E69="S2 PCB Layout",R69,IF(E69="S3 SI &amp; PI",W69,IF(E69="S4 Bare-PCB Fab",AB69,IF(E69="S5 Assembly",AG69,IF(E69="S6 Bring-up",AL69,AQ69)))))))))</f>
        <v/>
      </c>
      <c r="G69" s="33" t="str">
        <f aca="false">IF($C69="","",IF(E69="All Stages Closed","",IF(E69="S1 Schematic",IF(N69="","Not added",N69),IF(E69="S2 PCB Layout",IF(S69="","Not added",S69),IF(E69="S3 SI &amp; PI",IF(X69="","Not added",X69),IF(E69="S4 Bare-PCB Fab",IF(AC69="","Not added",AC69),IF(E69="S5 Assembly",IF(AH69="","Not added",AH69),IF(E69="S6 Bring-up",IF(AM69="","Not added",AM69),IF(AR69="","Not added",AR69)))))))))</f>
        <v/>
      </c>
      <c r="H69" s="32" t="str">
        <f aca="true">IF($C69="","",IF(OR(F69="Completed",F69="Cancelled"),"",IF(NOT(ISNUMBER(G69)),"No date set",IF(TODAY()&gt;G69,TODAY()-G69&amp;" days late",G69-TODAY()&amp;" days left"))))</f>
        <v/>
      </c>
      <c r="I69" s="31" t="str">
        <f aca="false">IF($C69="","",COUNTIF(M69,"Completed")+COUNTIF(R69,"Completed")+COUNTIF(W69,"Completed")+COUNTIF(AB69,"Completed")+COUNTIF(AG69,"Completed")+COUNTIF(AL69,"Completed")+COUNTIF(AQ69,"Completed"))</f>
        <v/>
      </c>
      <c r="J69" s="31" t="str">
        <f aca="false">IF($C69="","",7-(COUNTIF(M69,"NA")+COUNTIF(R69,"NA")+COUNTIF(W69,"NA")+COUNTIF(AB69,"NA")+COUNTIF(AG69,"NA")+COUNTIF(AL69,"NA")+COUNTIF(AQ69,"NA")))</f>
        <v/>
      </c>
      <c r="K69" s="34" t="str">
        <f aca="false">IFERROR(I69/J69,"")</f>
        <v/>
      </c>
      <c r="L69" s="29"/>
      <c r="M69" s="35"/>
      <c r="N69" s="36"/>
      <c r="O69" s="36"/>
      <c r="P69" s="30"/>
      <c r="Q69" s="29"/>
      <c r="R69" s="35"/>
      <c r="S69" s="36"/>
      <c r="T69" s="36"/>
      <c r="U69" s="30"/>
      <c r="V69" s="29"/>
      <c r="W69" s="35"/>
      <c r="X69" s="36"/>
      <c r="Y69" s="36"/>
      <c r="Z69" s="30"/>
      <c r="AA69" s="29"/>
      <c r="AB69" s="35"/>
      <c r="AC69" s="36"/>
      <c r="AD69" s="36"/>
      <c r="AE69" s="30"/>
      <c r="AF69" s="29"/>
      <c r="AG69" s="35"/>
      <c r="AH69" s="36"/>
      <c r="AI69" s="36"/>
      <c r="AJ69" s="30"/>
      <c r="AK69" s="29"/>
      <c r="AL69" s="35"/>
      <c r="AM69" s="36"/>
      <c r="AN69" s="36"/>
      <c r="AO69" s="30"/>
      <c r="AP69" s="29"/>
      <c r="AQ69" s="35"/>
      <c r="AR69" s="36"/>
      <c r="AS69" s="36"/>
      <c r="AT69" s="30"/>
      <c r="AU69" s="29"/>
      <c r="AV69" s="29"/>
      <c r="AW69" s="29"/>
      <c r="AX69" s="37"/>
      <c r="AY69" s="39" t="str">
        <f aca="false">IF(AU69&lt;&gt;"Yes","",IF(AV69="","SELECT RE-ENTRY STAGE","MOVE TO ACTIVE at "&amp;AV69))</f>
        <v/>
      </c>
      <c r="AZ69" s="40" t="str">
        <f aca="false">IF(AU69="Yes",COUNTIF($AU$6:AU69,"Yes"),"")</f>
        <v/>
      </c>
      <c r="BA69" s="29"/>
      <c r="BB69" s="38" t="str">
        <f aca="false">IF($C69="","",IF(OR(F69="Completed",F69="Cancelled"),"",IF(AND(OR(F69="On Hold",ISNUMBER(VALUE(LEFT(H69,2)))),BA69=""),"Reason not given","")))</f>
        <v/>
      </c>
      <c r="BC69" s="30"/>
    </row>
    <row r="70" customFormat="false" ht="19.5" hidden="false" customHeight="true" outlineLevel="0" collapsed="false">
      <c r="A70" s="28" t="str">
        <f aca="false">IF($C70="","",COUNTA($C$6:$C70))</f>
        <v/>
      </c>
      <c r="B70" s="29"/>
      <c r="C70" s="30"/>
      <c r="D70" s="29"/>
      <c r="E70" s="31" t="str">
        <f aca="false">IF($C70="","",IF(NOT(OR(M70="Completed",M70="NA",M70="Cancelled")),"S1 Schematic",IF(NOT(OR(R70="Completed",R70="NA",R70="Cancelled")),"S2 PCB Layout",IF(NOT(OR(W70="Completed",W70="NA",W70="Cancelled")),"S3 SI &amp; PI",IF(NOT(OR(AB70="Completed",AB70="NA",AB70="Cancelled")),"S4 Bare-PCB Fab",IF(NOT(OR(AG70="Completed",AG70="NA",AG70="Cancelled")),"S5 Assembly",IF(NOT(OR(AL70="Completed",AL70="NA",AL70="Cancelled")),"S6 Bring-up",IF(NOT(OR(AQ70="Completed",AQ70="NA",AQ70="Cancelled")),"S7 BOM Procurement","All Stages Closed"))))))))</f>
        <v/>
      </c>
      <c r="F70" s="32" t="str">
        <f aca="false">IF($C70="","",IF(COUNTIF(M70,"Cancelled")+COUNTIF(R70,"Cancelled")+COUNTIF(W70,"Cancelled")+COUNTIF(AB70,"Cancelled")+COUNTIF(AG70,"Cancelled")+COUNTIF(AL70,"Cancelled")+COUNTIF(AQ70,"Cancelled")&gt;0,"Cancelled",IF(E70="All Stages Closed","Completed",IF(E70="S1 Schematic",M70,IF(E70="S2 PCB Layout",R70,IF(E70="S3 SI &amp; PI",W70,IF(E70="S4 Bare-PCB Fab",AB70,IF(E70="S5 Assembly",AG70,IF(E70="S6 Bring-up",AL70,AQ70)))))))))</f>
        <v/>
      </c>
      <c r="G70" s="33" t="str">
        <f aca="false">IF($C70="","",IF(E70="All Stages Closed","",IF(E70="S1 Schematic",IF(N70="","Not added",N70),IF(E70="S2 PCB Layout",IF(S70="","Not added",S70),IF(E70="S3 SI &amp; PI",IF(X70="","Not added",X70),IF(E70="S4 Bare-PCB Fab",IF(AC70="","Not added",AC70),IF(E70="S5 Assembly",IF(AH70="","Not added",AH70),IF(E70="S6 Bring-up",IF(AM70="","Not added",AM70),IF(AR70="","Not added",AR70)))))))))</f>
        <v/>
      </c>
      <c r="H70" s="32" t="str">
        <f aca="true">IF($C70="","",IF(OR(F70="Completed",F70="Cancelled"),"",IF(NOT(ISNUMBER(G70)),"No date set",IF(TODAY()&gt;G70,TODAY()-G70&amp;" days late",G70-TODAY()&amp;" days left"))))</f>
        <v/>
      </c>
      <c r="I70" s="31" t="str">
        <f aca="false">IF($C70="","",COUNTIF(M70,"Completed")+COUNTIF(R70,"Completed")+COUNTIF(W70,"Completed")+COUNTIF(AB70,"Completed")+COUNTIF(AG70,"Completed")+COUNTIF(AL70,"Completed")+COUNTIF(AQ70,"Completed"))</f>
        <v/>
      </c>
      <c r="J70" s="31" t="str">
        <f aca="false">IF($C70="","",7-(COUNTIF(M70,"NA")+COUNTIF(R70,"NA")+COUNTIF(W70,"NA")+COUNTIF(AB70,"NA")+COUNTIF(AG70,"NA")+COUNTIF(AL70,"NA")+COUNTIF(AQ70,"NA")))</f>
        <v/>
      </c>
      <c r="K70" s="34" t="str">
        <f aca="false">IFERROR(I70/J70,"")</f>
        <v/>
      </c>
      <c r="L70" s="29"/>
      <c r="M70" s="35"/>
      <c r="N70" s="36"/>
      <c r="O70" s="36"/>
      <c r="P70" s="30"/>
      <c r="Q70" s="29"/>
      <c r="R70" s="35"/>
      <c r="S70" s="36"/>
      <c r="T70" s="36"/>
      <c r="U70" s="30"/>
      <c r="V70" s="29"/>
      <c r="W70" s="35"/>
      <c r="X70" s="36"/>
      <c r="Y70" s="36"/>
      <c r="Z70" s="30"/>
      <c r="AA70" s="29"/>
      <c r="AB70" s="35"/>
      <c r="AC70" s="36"/>
      <c r="AD70" s="36"/>
      <c r="AE70" s="30"/>
      <c r="AF70" s="29"/>
      <c r="AG70" s="35"/>
      <c r="AH70" s="36"/>
      <c r="AI70" s="36"/>
      <c r="AJ70" s="30"/>
      <c r="AK70" s="29"/>
      <c r="AL70" s="35"/>
      <c r="AM70" s="36"/>
      <c r="AN70" s="36"/>
      <c r="AO70" s="30"/>
      <c r="AP70" s="29"/>
      <c r="AQ70" s="35"/>
      <c r="AR70" s="36"/>
      <c r="AS70" s="36"/>
      <c r="AT70" s="30"/>
      <c r="AU70" s="29"/>
      <c r="AV70" s="29"/>
      <c r="AW70" s="29"/>
      <c r="AX70" s="37"/>
      <c r="AY70" s="39" t="str">
        <f aca="false">IF(AU70&lt;&gt;"Yes","",IF(AV70="","SELECT RE-ENTRY STAGE","MOVE TO ACTIVE at "&amp;AV70))</f>
        <v/>
      </c>
      <c r="AZ70" s="40" t="str">
        <f aca="false">IF(AU70="Yes",COUNTIF($AU$6:AU70,"Yes"),"")</f>
        <v/>
      </c>
      <c r="BA70" s="29"/>
      <c r="BB70" s="38" t="str">
        <f aca="false">IF($C70="","",IF(OR(F70="Completed",F70="Cancelled"),"",IF(AND(OR(F70="On Hold",ISNUMBER(VALUE(LEFT(H70,2)))),BA70=""),"Reason not given","")))</f>
        <v/>
      </c>
      <c r="BC70" s="30"/>
    </row>
    <row r="71" customFormat="false" ht="19.5" hidden="false" customHeight="true" outlineLevel="0" collapsed="false">
      <c r="A71" s="28" t="str">
        <f aca="false">IF($C71="","",COUNTA($C$6:$C71))</f>
        <v/>
      </c>
      <c r="B71" s="29"/>
      <c r="C71" s="30"/>
      <c r="D71" s="29"/>
      <c r="E71" s="31" t="str">
        <f aca="false">IF($C71="","",IF(NOT(OR(M71="Completed",M71="NA",M71="Cancelled")),"S1 Schematic",IF(NOT(OR(R71="Completed",R71="NA",R71="Cancelled")),"S2 PCB Layout",IF(NOT(OR(W71="Completed",W71="NA",W71="Cancelled")),"S3 SI &amp; PI",IF(NOT(OR(AB71="Completed",AB71="NA",AB71="Cancelled")),"S4 Bare-PCB Fab",IF(NOT(OR(AG71="Completed",AG71="NA",AG71="Cancelled")),"S5 Assembly",IF(NOT(OR(AL71="Completed",AL71="NA",AL71="Cancelled")),"S6 Bring-up",IF(NOT(OR(AQ71="Completed",AQ71="NA",AQ71="Cancelled")),"S7 BOM Procurement","All Stages Closed"))))))))</f>
        <v/>
      </c>
      <c r="F71" s="32" t="str">
        <f aca="false">IF($C71="","",IF(COUNTIF(M71,"Cancelled")+COUNTIF(R71,"Cancelled")+COUNTIF(W71,"Cancelled")+COUNTIF(AB71,"Cancelled")+COUNTIF(AG71,"Cancelled")+COUNTIF(AL71,"Cancelled")+COUNTIF(AQ71,"Cancelled")&gt;0,"Cancelled",IF(E71="All Stages Closed","Completed",IF(E71="S1 Schematic",M71,IF(E71="S2 PCB Layout",R71,IF(E71="S3 SI &amp; PI",W71,IF(E71="S4 Bare-PCB Fab",AB71,IF(E71="S5 Assembly",AG71,IF(E71="S6 Bring-up",AL71,AQ71)))))))))</f>
        <v/>
      </c>
      <c r="G71" s="33" t="str">
        <f aca="false">IF($C71="","",IF(E71="All Stages Closed","",IF(E71="S1 Schematic",IF(N71="","Not added",N71),IF(E71="S2 PCB Layout",IF(S71="","Not added",S71),IF(E71="S3 SI &amp; PI",IF(X71="","Not added",X71),IF(E71="S4 Bare-PCB Fab",IF(AC71="","Not added",AC71),IF(E71="S5 Assembly",IF(AH71="","Not added",AH71),IF(E71="S6 Bring-up",IF(AM71="","Not added",AM71),IF(AR71="","Not added",AR71)))))))))</f>
        <v/>
      </c>
      <c r="H71" s="32" t="str">
        <f aca="true">IF($C71="","",IF(OR(F71="Completed",F71="Cancelled"),"",IF(NOT(ISNUMBER(G71)),"No date set",IF(TODAY()&gt;G71,TODAY()-G71&amp;" days late",G71-TODAY()&amp;" days left"))))</f>
        <v/>
      </c>
      <c r="I71" s="31" t="str">
        <f aca="false">IF($C71="","",COUNTIF(M71,"Completed")+COUNTIF(R71,"Completed")+COUNTIF(W71,"Completed")+COUNTIF(AB71,"Completed")+COUNTIF(AG71,"Completed")+COUNTIF(AL71,"Completed")+COUNTIF(AQ71,"Completed"))</f>
        <v/>
      </c>
      <c r="J71" s="31" t="str">
        <f aca="false">IF($C71="","",7-(COUNTIF(M71,"NA")+COUNTIF(R71,"NA")+COUNTIF(W71,"NA")+COUNTIF(AB71,"NA")+COUNTIF(AG71,"NA")+COUNTIF(AL71,"NA")+COUNTIF(AQ71,"NA")))</f>
        <v/>
      </c>
      <c r="K71" s="34" t="str">
        <f aca="false">IFERROR(I71/J71,"")</f>
        <v/>
      </c>
      <c r="L71" s="29"/>
      <c r="M71" s="35"/>
      <c r="N71" s="36"/>
      <c r="O71" s="36"/>
      <c r="P71" s="30"/>
      <c r="Q71" s="29"/>
      <c r="R71" s="35"/>
      <c r="S71" s="36"/>
      <c r="T71" s="36"/>
      <c r="U71" s="30"/>
      <c r="V71" s="29"/>
      <c r="W71" s="35"/>
      <c r="X71" s="36"/>
      <c r="Y71" s="36"/>
      <c r="Z71" s="30"/>
      <c r="AA71" s="29"/>
      <c r="AB71" s="35"/>
      <c r="AC71" s="36"/>
      <c r="AD71" s="36"/>
      <c r="AE71" s="30"/>
      <c r="AF71" s="29"/>
      <c r="AG71" s="35"/>
      <c r="AH71" s="36"/>
      <c r="AI71" s="36"/>
      <c r="AJ71" s="30"/>
      <c r="AK71" s="29"/>
      <c r="AL71" s="35"/>
      <c r="AM71" s="36"/>
      <c r="AN71" s="36"/>
      <c r="AO71" s="30"/>
      <c r="AP71" s="29"/>
      <c r="AQ71" s="35"/>
      <c r="AR71" s="36"/>
      <c r="AS71" s="36"/>
      <c r="AT71" s="30"/>
      <c r="AU71" s="29"/>
      <c r="AV71" s="29"/>
      <c r="AW71" s="29"/>
      <c r="AX71" s="37"/>
      <c r="AY71" s="39" t="str">
        <f aca="false">IF(AU71&lt;&gt;"Yes","",IF(AV71="","SELECT RE-ENTRY STAGE","MOVE TO ACTIVE at "&amp;AV71))</f>
        <v/>
      </c>
      <c r="AZ71" s="40" t="str">
        <f aca="false">IF(AU71="Yes",COUNTIF($AU$6:AU71,"Yes"),"")</f>
        <v/>
      </c>
      <c r="BA71" s="29"/>
      <c r="BB71" s="38" t="str">
        <f aca="false">IF($C71="","",IF(OR(F71="Completed",F71="Cancelled"),"",IF(AND(OR(F71="On Hold",ISNUMBER(VALUE(LEFT(H71,2)))),BA71=""),"Reason not given","")))</f>
        <v/>
      </c>
      <c r="BC71" s="30"/>
    </row>
    <row r="72" customFormat="false" ht="19.5" hidden="false" customHeight="true" outlineLevel="0" collapsed="false">
      <c r="A72" s="28" t="str">
        <f aca="false">IF($C72="","",COUNTA($C$6:$C72))</f>
        <v/>
      </c>
      <c r="B72" s="29"/>
      <c r="C72" s="30"/>
      <c r="D72" s="29"/>
      <c r="E72" s="31" t="str">
        <f aca="false">IF($C72="","",IF(NOT(OR(M72="Completed",M72="NA",M72="Cancelled")),"S1 Schematic",IF(NOT(OR(R72="Completed",R72="NA",R72="Cancelled")),"S2 PCB Layout",IF(NOT(OR(W72="Completed",W72="NA",W72="Cancelled")),"S3 SI &amp; PI",IF(NOT(OR(AB72="Completed",AB72="NA",AB72="Cancelled")),"S4 Bare-PCB Fab",IF(NOT(OR(AG72="Completed",AG72="NA",AG72="Cancelled")),"S5 Assembly",IF(NOT(OR(AL72="Completed",AL72="NA",AL72="Cancelled")),"S6 Bring-up",IF(NOT(OR(AQ72="Completed",AQ72="NA",AQ72="Cancelled")),"S7 BOM Procurement","All Stages Closed"))))))))</f>
        <v/>
      </c>
      <c r="F72" s="32" t="str">
        <f aca="false">IF($C72="","",IF(COUNTIF(M72,"Cancelled")+COUNTIF(R72,"Cancelled")+COUNTIF(W72,"Cancelled")+COUNTIF(AB72,"Cancelled")+COUNTIF(AG72,"Cancelled")+COUNTIF(AL72,"Cancelled")+COUNTIF(AQ72,"Cancelled")&gt;0,"Cancelled",IF(E72="All Stages Closed","Completed",IF(E72="S1 Schematic",M72,IF(E72="S2 PCB Layout",R72,IF(E72="S3 SI &amp; PI",W72,IF(E72="S4 Bare-PCB Fab",AB72,IF(E72="S5 Assembly",AG72,IF(E72="S6 Bring-up",AL72,AQ72)))))))))</f>
        <v/>
      </c>
      <c r="G72" s="33" t="str">
        <f aca="false">IF($C72="","",IF(E72="All Stages Closed","",IF(E72="S1 Schematic",IF(N72="","Not added",N72),IF(E72="S2 PCB Layout",IF(S72="","Not added",S72),IF(E72="S3 SI &amp; PI",IF(X72="","Not added",X72),IF(E72="S4 Bare-PCB Fab",IF(AC72="","Not added",AC72),IF(E72="S5 Assembly",IF(AH72="","Not added",AH72),IF(E72="S6 Bring-up",IF(AM72="","Not added",AM72),IF(AR72="","Not added",AR72)))))))))</f>
        <v/>
      </c>
      <c r="H72" s="32" t="str">
        <f aca="true">IF($C72="","",IF(OR(F72="Completed",F72="Cancelled"),"",IF(NOT(ISNUMBER(G72)),"No date set",IF(TODAY()&gt;G72,TODAY()-G72&amp;" days late",G72-TODAY()&amp;" days left"))))</f>
        <v/>
      </c>
      <c r="I72" s="31" t="str">
        <f aca="false">IF($C72="","",COUNTIF(M72,"Completed")+COUNTIF(R72,"Completed")+COUNTIF(W72,"Completed")+COUNTIF(AB72,"Completed")+COUNTIF(AG72,"Completed")+COUNTIF(AL72,"Completed")+COUNTIF(AQ72,"Completed"))</f>
        <v/>
      </c>
      <c r="J72" s="31" t="str">
        <f aca="false">IF($C72="","",7-(COUNTIF(M72,"NA")+COUNTIF(R72,"NA")+COUNTIF(W72,"NA")+COUNTIF(AB72,"NA")+COUNTIF(AG72,"NA")+COUNTIF(AL72,"NA")+COUNTIF(AQ72,"NA")))</f>
        <v/>
      </c>
      <c r="K72" s="34" t="str">
        <f aca="false">IFERROR(I72/J72,"")</f>
        <v/>
      </c>
      <c r="L72" s="29"/>
      <c r="M72" s="35"/>
      <c r="N72" s="36"/>
      <c r="O72" s="36"/>
      <c r="P72" s="30"/>
      <c r="Q72" s="29"/>
      <c r="R72" s="35"/>
      <c r="S72" s="36"/>
      <c r="T72" s="36"/>
      <c r="U72" s="30"/>
      <c r="V72" s="29"/>
      <c r="W72" s="35"/>
      <c r="X72" s="36"/>
      <c r="Y72" s="36"/>
      <c r="Z72" s="30"/>
      <c r="AA72" s="29"/>
      <c r="AB72" s="35"/>
      <c r="AC72" s="36"/>
      <c r="AD72" s="36"/>
      <c r="AE72" s="30"/>
      <c r="AF72" s="29"/>
      <c r="AG72" s="35"/>
      <c r="AH72" s="36"/>
      <c r="AI72" s="36"/>
      <c r="AJ72" s="30"/>
      <c r="AK72" s="29"/>
      <c r="AL72" s="35"/>
      <c r="AM72" s="36"/>
      <c r="AN72" s="36"/>
      <c r="AO72" s="30"/>
      <c r="AP72" s="29"/>
      <c r="AQ72" s="35"/>
      <c r="AR72" s="36"/>
      <c r="AS72" s="36"/>
      <c r="AT72" s="30"/>
      <c r="AU72" s="29"/>
      <c r="AV72" s="29"/>
      <c r="AW72" s="29"/>
      <c r="AX72" s="37"/>
      <c r="AY72" s="39" t="str">
        <f aca="false">IF(AU72&lt;&gt;"Yes","",IF(AV72="","SELECT RE-ENTRY STAGE","MOVE TO ACTIVE at "&amp;AV72))</f>
        <v/>
      </c>
      <c r="AZ72" s="40" t="str">
        <f aca="false">IF(AU72="Yes",COUNTIF($AU$6:AU72,"Yes"),"")</f>
        <v/>
      </c>
      <c r="BA72" s="29"/>
      <c r="BB72" s="38" t="str">
        <f aca="false">IF($C72="","",IF(OR(F72="Completed",F72="Cancelled"),"",IF(AND(OR(F72="On Hold",ISNUMBER(VALUE(LEFT(H72,2)))),BA72=""),"Reason not given","")))</f>
        <v/>
      </c>
      <c r="BC72" s="30"/>
    </row>
    <row r="73" customFormat="false" ht="19.5" hidden="false" customHeight="true" outlineLevel="0" collapsed="false">
      <c r="A73" s="28" t="str">
        <f aca="false">IF($C73="","",COUNTA($C$6:$C73))</f>
        <v/>
      </c>
      <c r="B73" s="29"/>
      <c r="C73" s="30"/>
      <c r="D73" s="29"/>
      <c r="E73" s="31" t="str">
        <f aca="false">IF($C73="","",IF(NOT(OR(M73="Completed",M73="NA",M73="Cancelled")),"S1 Schematic",IF(NOT(OR(R73="Completed",R73="NA",R73="Cancelled")),"S2 PCB Layout",IF(NOT(OR(W73="Completed",W73="NA",W73="Cancelled")),"S3 SI &amp; PI",IF(NOT(OR(AB73="Completed",AB73="NA",AB73="Cancelled")),"S4 Bare-PCB Fab",IF(NOT(OR(AG73="Completed",AG73="NA",AG73="Cancelled")),"S5 Assembly",IF(NOT(OR(AL73="Completed",AL73="NA",AL73="Cancelled")),"S6 Bring-up",IF(NOT(OR(AQ73="Completed",AQ73="NA",AQ73="Cancelled")),"S7 BOM Procurement","All Stages Closed"))))))))</f>
        <v/>
      </c>
      <c r="F73" s="32" t="str">
        <f aca="false">IF($C73="","",IF(COUNTIF(M73,"Cancelled")+COUNTIF(R73,"Cancelled")+COUNTIF(W73,"Cancelled")+COUNTIF(AB73,"Cancelled")+COUNTIF(AG73,"Cancelled")+COUNTIF(AL73,"Cancelled")+COUNTIF(AQ73,"Cancelled")&gt;0,"Cancelled",IF(E73="All Stages Closed","Completed",IF(E73="S1 Schematic",M73,IF(E73="S2 PCB Layout",R73,IF(E73="S3 SI &amp; PI",W73,IF(E73="S4 Bare-PCB Fab",AB73,IF(E73="S5 Assembly",AG73,IF(E73="S6 Bring-up",AL73,AQ73)))))))))</f>
        <v/>
      </c>
      <c r="G73" s="33" t="str">
        <f aca="false">IF($C73="","",IF(E73="All Stages Closed","",IF(E73="S1 Schematic",IF(N73="","Not added",N73),IF(E73="S2 PCB Layout",IF(S73="","Not added",S73),IF(E73="S3 SI &amp; PI",IF(X73="","Not added",X73),IF(E73="S4 Bare-PCB Fab",IF(AC73="","Not added",AC73),IF(E73="S5 Assembly",IF(AH73="","Not added",AH73),IF(E73="S6 Bring-up",IF(AM73="","Not added",AM73),IF(AR73="","Not added",AR73)))))))))</f>
        <v/>
      </c>
      <c r="H73" s="32" t="str">
        <f aca="true">IF($C73="","",IF(OR(F73="Completed",F73="Cancelled"),"",IF(NOT(ISNUMBER(G73)),"No date set",IF(TODAY()&gt;G73,TODAY()-G73&amp;" days late",G73-TODAY()&amp;" days left"))))</f>
        <v/>
      </c>
      <c r="I73" s="31" t="str">
        <f aca="false">IF($C73="","",COUNTIF(M73,"Completed")+COUNTIF(R73,"Completed")+COUNTIF(W73,"Completed")+COUNTIF(AB73,"Completed")+COUNTIF(AG73,"Completed")+COUNTIF(AL73,"Completed")+COUNTIF(AQ73,"Completed"))</f>
        <v/>
      </c>
      <c r="J73" s="31" t="str">
        <f aca="false">IF($C73="","",7-(COUNTIF(M73,"NA")+COUNTIF(R73,"NA")+COUNTIF(W73,"NA")+COUNTIF(AB73,"NA")+COUNTIF(AG73,"NA")+COUNTIF(AL73,"NA")+COUNTIF(AQ73,"NA")))</f>
        <v/>
      </c>
      <c r="K73" s="34" t="str">
        <f aca="false">IFERROR(I73/J73,"")</f>
        <v/>
      </c>
      <c r="L73" s="29"/>
      <c r="M73" s="35"/>
      <c r="N73" s="36"/>
      <c r="O73" s="36"/>
      <c r="P73" s="30"/>
      <c r="Q73" s="29"/>
      <c r="R73" s="35"/>
      <c r="S73" s="36"/>
      <c r="T73" s="36"/>
      <c r="U73" s="30"/>
      <c r="V73" s="29"/>
      <c r="W73" s="35"/>
      <c r="X73" s="36"/>
      <c r="Y73" s="36"/>
      <c r="Z73" s="30"/>
      <c r="AA73" s="29"/>
      <c r="AB73" s="35"/>
      <c r="AC73" s="36"/>
      <c r="AD73" s="36"/>
      <c r="AE73" s="30"/>
      <c r="AF73" s="29"/>
      <c r="AG73" s="35"/>
      <c r="AH73" s="36"/>
      <c r="AI73" s="36"/>
      <c r="AJ73" s="30"/>
      <c r="AK73" s="29"/>
      <c r="AL73" s="35"/>
      <c r="AM73" s="36"/>
      <c r="AN73" s="36"/>
      <c r="AO73" s="30"/>
      <c r="AP73" s="29"/>
      <c r="AQ73" s="35"/>
      <c r="AR73" s="36"/>
      <c r="AS73" s="36"/>
      <c r="AT73" s="30"/>
      <c r="AU73" s="29"/>
      <c r="AV73" s="29"/>
      <c r="AW73" s="29"/>
      <c r="AX73" s="37"/>
      <c r="AY73" s="39" t="str">
        <f aca="false">IF(AU73&lt;&gt;"Yes","",IF(AV73="","SELECT RE-ENTRY STAGE","MOVE TO ACTIVE at "&amp;AV73))</f>
        <v/>
      </c>
      <c r="AZ73" s="40" t="str">
        <f aca="false">IF(AU73="Yes",COUNTIF($AU$6:AU73,"Yes"),"")</f>
        <v/>
      </c>
      <c r="BA73" s="29"/>
      <c r="BB73" s="38" t="str">
        <f aca="false">IF($C73="","",IF(OR(F73="Completed",F73="Cancelled"),"",IF(AND(OR(F73="On Hold",ISNUMBER(VALUE(LEFT(H73,2)))),BA73=""),"Reason not given","")))</f>
        <v/>
      </c>
      <c r="BC73" s="30"/>
    </row>
    <row r="74" customFormat="false" ht="19.5" hidden="false" customHeight="true" outlineLevel="0" collapsed="false">
      <c r="A74" s="28" t="str">
        <f aca="false">IF($C74="","",COUNTA($C$6:$C74))</f>
        <v/>
      </c>
      <c r="B74" s="29"/>
      <c r="C74" s="30"/>
      <c r="D74" s="29"/>
      <c r="E74" s="31" t="str">
        <f aca="false">IF($C74="","",IF(NOT(OR(M74="Completed",M74="NA",M74="Cancelled")),"S1 Schematic",IF(NOT(OR(R74="Completed",R74="NA",R74="Cancelled")),"S2 PCB Layout",IF(NOT(OR(W74="Completed",W74="NA",W74="Cancelled")),"S3 SI &amp; PI",IF(NOT(OR(AB74="Completed",AB74="NA",AB74="Cancelled")),"S4 Bare-PCB Fab",IF(NOT(OR(AG74="Completed",AG74="NA",AG74="Cancelled")),"S5 Assembly",IF(NOT(OR(AL74="Completed",AL74="NA",AL74="Cancelled")),"S6 Bring-up",IF(NOT(OR(AQ74="Completed",AQ74="NA",AQ74="Cancelled")),"S7 BOM Procurement","All Stages Closed"))))))))</f>
        <v/>
      </c>
      <c r="F74" s="32" t="str">
        <f aca="false">IF($C74="","",IF(COUNTIF(M74,"Cancelled")+COUNTIF(R74,"Cancelled")+COUNTIF(W74,"Cancelled")+COUNTIF(AB74,"Cancelled")+COUNTIF(AG74,"Cancelled")+COUNTIF(AL74,"Cancelled")+COUNTIF(AQ74,"Cancelled")&gt;0,"Cancelled",IF(E74="All Stages Closed","Completed",IF(E74="S1 Schematic",M74,IF(E74="S2 PCB Layout",R74,IF(E74="S3 SI &amp; PI",W74,IF(E74="S4 Bare-PCB Fab",AB74,IF(E74="S5 Assembly",AG74,IF(E74="S6 Bring-up",AL74,AQ74)))))))))</f>
        <v/>
      </c>
      <c r="G74" s="33" t="str">
        <f aca="false">IF($C74="","",IF(E74="All Stages Closed","",IF(E74="S1 Schematic",IF(N74="","Not added",N74),IF(E74="S2 PCB Layout",IF(S74="","Not added",S74),IF(E74="S3 SI &amp; PI",IF(X74="","Not added",X74),IF(E74="S4 Bare-PCB Fab",IF(AC74="","Not added",AC74),IF(E74="S5 Assembly",IF(AH74="","Not added",AH74),IF(E74="S6 Bring-up",IF(AM74="","Not added",AM74),IF(AR74="","Not added",AR74)))))))))</f>
        <v/>
      </c>
      <c r="H74" s="32" t="str">
        <f aca="true">IF($C74="","",IF(OR(F74="Completed",F74="Cancelled"),"",IF(NOT(ISNUMBER(G74)),"No date set",IF(TODAY()&gt;G74,TODAY()-G74&amp;" days late",G74-TODAY()&amp;" days left"))))</f>
        <v/>
      </c>
      <c r="I74" s="31" t="str">
        <f aca="false">IF($C74="","",COUNTIF(M74,"Completed")+COUNTIF(R74,"Completed")+COUNTIF(W74,"Completed")+COUNTIF(AB74,"Completed")+COUNTIF(AG74,"Completed")+COUNTIF(AL74,"Completed")+COUNTIF(AQ74,"Completed"))</f>
        <v/>
      </c>
      <c r="J74" s="31" t="str">
        <f aca="false">IF($C74="","",7-(COUNTIF(M74,"NA")+COUNTIF(R74,"NA")+COUNTIF(W74,"NA")+COUNTIF(AB74,"NA")+COUNTIF(AG74,"NA")+COUNTIF(AL74,"NA")+COUNTIF(AQ74,"NA")))</f>
        <v/>
      </c>
      <c r="K74" s="34" t="str">
        <f aca="false">IFERROR(I74/J74,"")</f>
        <v/>
      </c>
      <c r="L74" s="29"/>
      <c r="M74" s="35"/>
      <c r="N74" s="36"/>
      <c r="O74" s="36"/>
      <c r="P74" s="30"/>
      <c r="Q74" s="29"/>
      <c r="R74" s="35"/>
      <c r="S74" s="36"/>
      <c r="T74" s="36"/>
      <c r="U74" s="30"/>
      <c r="V74" s="29"/>
      <c r="W74" s="35"/>
      <c r="X74" s="36"/>
      <c r="Y74" s="36"/>
      <c r="Z74" s="30"/>
      <c r="AA74" s="29"/>
      <c r="AB74" s="35"/>
      <c r="AC74" s="36"/>
      <c r="AD74" s="36"/>
      <c r="AE74" s="30"/>
      <c r="AF74" s="29"/>
      <c r="AG74" s="35"/>
      <c r="AH74" s="36"/>
      <c r="AI74" s="36"/>
      <c r="AJ74" s="30"/>
      <c r="AK74" s="29"/>
      <c r="AL74" s="35"/>
      <c r="AM74" s="36"/>
      <c r="AN74" s="36"/>
      <c r="AO74" s="30"/>
      <c r="AP74" s="29"/>
      <c r="AQ74" s="35"/>
      <c r="AR74" s="36"/>
      <c r="AS74" s="36"/>
      <c r="AT74" s="30"/>
      <c r="AU74" s="29"/>
      <c r="AV74" s="29"/>
      <c r="AW74" s="29"/>
      <c r="AX74" s="37"/>
      <c r="AY74" s="39" t="str">
        <f aca="false">IF(AU74&lt;&gt;"Yes","",IF(AV74="","SELECT RE-ENTRY STAGE","MOVE TO ACTIVE at "&amp;AV74))</f>
        <v/>
      </c>
      <c r="AZ74" s="40" t="str">
        <f aca="false">IF(AU74="Yes",COUNTIF($AU$6:AU74,"Yes"),"")</f>
        <v/>
      </c>
      <c r="BA74" s="29"/>
      <c r="BB74" s="38" t="str">
        <f aca="false">IF($C74="","",IF(OR(F74="Completed",F74="Cancelled"),"",IF(AND(OR(F74="On Hold",ISNUMBER(VALUE(LEFT(H74,2)))),BA74=""),"Reason not given","")))</f>
        <v/>
      </c>
      <c r="BC74" s="30"/>
    </row>
    <row r="75" customFormat="false" ht="19.5" hidden="false" customHeight="true" outlineLevel="0" collapsed="false">
      <c r="A75" s="28" t="str">
        <f aca="false">IF($C75="","",COUNTA($C$6:$C75))</f>
        <v/>
      </c>
      <c r="B75" s="29"/>
      <c r="C75" s="30"/>
      <c r="D75" s="29"/>
      <c r="E75" s="31" t="str">
        <f aca="false">IF($C75="","",IF(NOT(OR(M75="Completed",M75="NA",M75="Cancelled")),"S1 Schematic",IF(NOT(OR(R75="Completed",R75="NA",R75="Cancelled")),"S2 PCB Layout",IF(NOT(OR(W75="Completed",W75="NA",W75="Cancelled")),"S3 SI &amp; PI",IF(NOT(OR(AB75="Completed",AB75="NA",AB75="Cancelled")),"S4 Bare-PCB Fab",IF(NOT(OR(AG75="Completed",AG75="NA",AG75="Cancelled")),"S5 Assembly",IF(NOT(OR(AL75="Completed",AL75="NA",AL75="Cancelled")),"S6 Bring-up",IF(NOT(OR(AQ75="Completed",AQ75="NA",AQ75="Cancelled")),"S7 BOM Procurement","All Stages Closed"))))))))</f>
        <v/>
      </c>
      <c r="F75" s="32" t="str">
        <f aca="false">IF($C75="","",IF(COUNTIF(M75,"Cancelled")+COUNTIF(R75,"Cancelled")+COUNTIF(W75,"Cancelled")+COUNTIF(AB75,"Cancelled")+COUNTIF(AG75,"Cancelled")+COUNTIF(AL75,"Cancelled")+COUNTIF(AQ75,"Cancelled")&gt;0,"Cancelled",IF(E75="All Stages Closed","Completed",IF(E75="S1 Schematic",M75,IF(E75="S2 PCB Layout",R75,IF(E75="S3 SI &amp; PI",W75,IF(E75="S4 Bare-PCB Fab",AB75,IF(E75="S5 Assembly",AG75,IF(E75="S6 Bring-up",AL75,AQ75)))))))))</f>
        <v/>
      </c>
      <c r="G75" s="33" t="str">
        <f aca="false">IF($C75="","",IF(E75="All Stages Closed","",IF(E75="S1 Schematic",IF(N75="","Not added",N75),IF(E75="S2 PCB Layout",IF(S75="","Not added",S75),IF(E75="S3 SI &amp; PI",IF(X75="","Not added",X75),IF(E75="S4 Bare-PCB Fab",IF(AC75="","Not added",AC75),IF(E75="S5 Assembly",IF(AH75="","Not added",AH75),IF(E75="S6 Bring-up",IF(AM75="","Not added",AM75),IF(AR75="","Not added",AR75)))))))))</f>
        <v/>
      </c>
      <c r="H75" s="32" t="str">
        <f aca="true">IF($C75="","",IF(OR(F75="Completed",F75="Cancelled"),"",IF(NOT(ISNUMBER(G75)),"No date set",IF(TODAY()&gt;G75,TODAY()-G75&amp;" days late",G75-TODAY()&amp;" days left"))))</f>
        <v/>
      </c>
      <c r="I75" s="31" t="str">
        <f aca="false">IF($C75="","",COUNTIF(M75,"Completed")+COUNTIF(R75,"Completed")+COUNTIF(W75,"Completed")+COUNTIF(AB75,"Completed")+COUNTIF(AG75,"Completed")+COUNTIF(AL75,"Completed")+COUNTIF(AQ75,"Completed"))</f>
        <v/>
      </c>
      <c r="J75" s="31" t="str">
        <f aca="false">IF($C75="","",7-(COUNTIF(M75,"NA")+COUNTIF(R75,"NA")+COUNTIF(W75,"NA")+COUNTIF(AB75,"NA")+COUNTIF(AG75,"NA")+COUNTIF(AL75,"NA")+COUNTIF(AQ75,"NA")))</f>
        <v/>
      </c>
      <c r="K75" s="34" t="str">
        <f aca="false">IFERROR(I75/J75,"")</f>
        <v/>
      </c>
      <c r="L75" s="29"/>
      <c r="M75" s="35"/>
      <c r="N75" s="36"/>
      <c r="O75" s="36"/>
      <c r="P75" s="30"/>
      <c r="Q75" s="29"/>
      <c r="R75" s="35"/>
      <c r="S75" s="36"/>
      <c r="T75" s="36"/>
      <c r="U75" s="30"/>
      <c r="V75" s="29"/>
      <c r="W75" s="35"/>
      <c r="X75" s="36"/>
      <c r="Y75" s="36"/>
      <c r="Z75" s="30"/>
      <c r="AA75" s="29"/>
      <c r="AB75" s="35"/>
      <c r="AC75" s="36"/>
      <c r="AD75" s="36"/>
      <c r="AE75" s="30"/>
      <c r="AF75" s="29"/>
      <c r="AG75" s="35"/>
      <c r="AH75" s="36"/>
      <c r="AI75" s="36"/>
      <c r="AJ75" s="30"/>
      <c r="AK75" s="29"/>
      <c r="AL75" s="35"/>
      <c r="AM75" s="36"/>
      <c r="AN75" s="36"/>
      <c r="AO75" s="30"/>
      <c r="AP75" s="29"/>
      <c r="AQ75" s="35"/>
      <c r="AR75" s="36"/>
      <c r="AS75" s="36"/>
      <c r="AT75" s="30"/>
      <c r="AU75" s="29"/>
      <c r="AV75" s="29"/>
      <c r="AW75" s="29"/>
      <c r="AX75" s="37"/>
      <c r="AY75" s="39" t="str">
        <f aca="false">IF(AU75&lt;&gt;"Yes","",IF(AV75="","SELECT RE-ENTRY STAGE","MOVE TO ACTIVE at "&amp;AV75))</f>
        <v/>
      </c>
      <c r="AZ75" s="40" t="str">
        <f aca="false">IF(AU75="Yes",COUNTIF($AU$6:AU75,"Yes"),"")</f>
        <v/>
      </c>
      <c r="BA75" s="29"/>
      <c r="BB75" s="38" t="str">
        <f aca="false">IF($C75="","",IF(OR(F75="Completed",F75="Cancelled"),"",IF(AND(OR(F75="On Hold",ISNUMBER(VALUE(LEFT(H75,2)))),BA75=""),"Reason not given","")))</f>
        <v/>
      </c>
      <c r="BC75" s="30"/>
    </row>
    <row r="76" customFormat="false" ht="19.5" hidden="false" customHeight="true" outlineLevel="0" collapsed="false">
      <c r="A76" s="28" t="str">
        <f aca="false">IF($C76="","",COUNTA($C$6:$C76))</f>
        <v/>
      </c>
      <c r="B76" s="29"/>
      <c r="C76" s="30"/>
      <c r="D76" s="29"/>
      <c r="E76" s="31" t="str">
        <f aca="false">IF($C76="","",IF(NOT(OR(M76="Completed",M76="NA",M76="Cancelled")),"S1 Schematic",IF(NOT(OR(R76="Completed",R76="NA",R76="Cancelled")),"S2 PCB Layout",IF(NOT(OR(W76="Completed",W76="NA",W76="Cancelled")),"S3 SI &amp; PI",IF(NOT(OR(AB76="Completed",AB76="NA",AB76="Cancelled")),"S4 Bare-PCB Fab",IF(NOT(OR(AG76="Completed",AG76="NA",AG76="Cancelled")),"S5 Assembly",IF(NOT(OR(AL76="Completed",AL76="NA",AL76="Cancelled")),"S6 Bring-up",IF(NOT(OR(AQ76="Completed",AQ76="NA",AQ76="Cancelled")),"S7 BOM Procurement","All Stages Closed"))))))))</f>
        <v/>
      </c>
      <c r="F76" s="32" t="str">
        <f aca="false">IF($C76="","",IF(COUNTIF(M76,"Cancelled")+COUNTIF(R76,"Cancelled")+COUNTIF(W76,"Cancelled")+COUNTIF(AB76,"Cancelled")+COUNTIF(AG76,"Cancelled")+COUNTIF(AL76,"Cancelled")+COUNTIF(AQ76,"Cancelled")&gt;0,"Cancelled",IF(E76="All Stages Closed","Completed",IF(E76="S1 Schematic",M76,IF(E76="S2 PCB Layout",R76,IF(E76="S3 SI &amp; PI",W76,IF(E76="S4 Bare-PCB Fab",AB76,IF(E76="S5 Assembly",AG76,IF(E76="S6 Bring-up",AL76,AQ76)))))))))</f>
        <v/>
      </c>
      <c r="G76" s="33" t="str">
        <f aca="false">IF($C76="","",IF(E76="All Stages Closed","",IF(E76="S1 Schematic",IF(N76="","Not added",N76),IF(E76="S2 PCB Layout",IF(S76="","Not added",S76),IF(E76="S3 SI &amp; PI",IF(X76="","Not added",X76),IF(E76="S4 Bare-PCB Fab",IF(AC76="","Not added",AC76),IF(E76="S5 Assembly",IF(AH76="","Not added",AH76),IF(E76="S6 Bring-up",IF(AM76="","Not added",AM76),IF(AR76="","Not added",AR76)))))))))</f>
        <v/>
      </c>
      <c r="H76" s="32" t="str">
        <f aca="true">IF($C76="","",IF(OR(F76="Completed",F76="Cancelled"),"",IF(NOT(ISNUMBER(G76)),"No date set",IF(TODAY()&gt;G76,TODAY()-G76&amp;" days late",G76-TODAY()&amp;" days left"))))</f>
        <v/>
      </c>
      <c r="I76" s="31" t="str">
        <f aca="false">IF($C76="","",COUNTIF(M76,"Completed")+COUNTIF(R76,"Completed")+COUNTIF(W76,"Completed")+COUNTIF(AB76,"Completed")+COUNTIF(AG76,"Completed")+COUNTIF(AL76,"Completed")+COUNTIF(AQ76,"Completed"))</f>
        <v/>
      </c>
      <c r="J76" s="31" t="str">
        <f aca="false">IF($C76="","",7-(COUNTIF(M76,"NA")+COUNTIF(R76,"NA")+COUNTIF(W76,"NA")+COUNTIF(AB76,"NA")+COUNTIF(AG76,"NA")+COUNTIF(AL76,"NA")+COUNTIF(AQ76,"NA")))</f>
        <v/>
      </c>
      <c r="K76" s="34" t="str">
        <f aca="false">IFERROR(I76/J76,"")</f>
        <v/>
      </c>
      <c r="L76" s="29"/>
      <c r="M76" s="35"/>
      <c r="N76" s="36"/>
      <c r="O76" s="36"/>
      <c r="P76" s="30"/>
      <c r="Q76" s="29"/>
      <c r="R76" s="35"/>
      <c r="S76" s="36"/>
      <c r="T76" s="36"/>
      <c r="U76" s="30"/>
      <c r="V76" s="29"/>
      <c r="W76" s="35"/>
      <c r="X76" s="36"/>
      <c r="Y76" s="36"/>
      <c r="Z76" s="30"/>
      <c r="AA76" s="29"/>
      <c r="AB76" s="35"/>
      <c r="AC76" s="36"/>
      <c r="AD76" s="36"/>
      <c r="AE76" s="30"/>
      <c r="AF76" s="29"/>
      <c r="AG76" s="35"/>
      <c r="AH76" s="36"/>
      <c r="AI76" s="36"/>
      <c r="AJ76" s="30"/>
      <c r="AK76" s="29"/>
      <c r="AL76" s="35"/>
      <c r="AM76" s="36"/>
      <c r="AN76" s="36"/>
      <c r="AO76" s="30"/>
      <c r="AP76" s="29"/>
      <c r="AQ76" s="35"/>
      <c r="AR76" s="36"/>
      <c r="AS76" s="36"/>
      <c r="AT76" s="30"/>
      <c r="AU76" s="29"/>
      <c r="AV76" s="29"/>
      <c r="AW76" s="29"/>
      <c r="AX76" s="37"/>
      <c r="AY76" s="39" t="str">
        <f aca="false">IF(AU76&lt;&gt;"Yes","",IF(AV76="","SELECT RE-ENTRY STAGE","MOVE TO ACTIVE at "&amp;AV76))</f>
        <v/>
      </c>
      <c r="AZ76" s="40" t="str">
        <f aca="false">IF(AU76="Yes",COUNTIF($AU$6:AU76,"Yes"),"")</f>
        <v/>
      </c>
      <c r="BA76" s="29"/>
      <c r="BB76" s="38" t="str">
        <f aca="false">IF($C76="","",IF(OR(F76="Completed",F76="Cancelled"),"",IF(AND(OR(F76="On Hold",ISNUMBER(VALUE(LEFT(H76,2)))),BA76=""),"Reason not given","")))</f>
        <v/>
      </c>
      <c r="BC76" s="30"/>
    </row>
    <row r="77" customFormat="false" ht="19.5" hidden="false" customHeight="true" outlineLevel="0" collapsed="false">
      <c r="A77" s="28" t="str">
        <f aca="false">IF($C77="","",COUNTA($C$6:$C77))</f>
        <v/>
      </c>
      <c r="B77" s="29"/>
      <c r="C77" s="30"/>
      <c r="D77" s="29"/>
      <c r="E77" s="31" t="str">
        <f aca="false">IF($C77="","",IF(NOT(OR(M77="Completed",M77="NA",M77="Cancelled")),"S1 Schematic",IF(NOT(OR(R77="Completed",R77="NA",R77="Cancelled")),"S2 PCB Layout",IF(NOT(OR(W77="Completed",W77="NA",W77="Cancelled")),"S3 SI &amp; PI",IF(NOT(OR(AB77="Completed",AB77="NA",AB77="Cancelled")),"S4 Bare-PCB Fab",IF(NOT(OR(AG77="Completed",AG77="NA",AG77="Cancelled")),"S5 Assembly",IF(NOT(OR(AL77="Completed",AL77="NA",AL77="Cancelled")),"S6 Bring-up",IF(NOT(OR(AQ77="Completed",AQ77="NA",AQ77="Cancelled")),"S7 BOM Procurement","All Stages Closed"))))))))</f>
        <v/>
      </c>
      <c r="F77" s="32" t="str">
        <f aca="false">IF($C77="","",IF(COUNTIF(M77,"Cancelled")+COUNTIF(R77,"Cancelled")+COUNTIF(W77,"Cancelled")+COUNTIF(AB77,"Cancelled")+COUNTIF(AG77,"Cancelled")+COUNTIF(AL77,"Cancelled")+COUNTIF(AQ77,"Cancelled")&gt;0,"Cancelled",IF(E77="All Stages Closed","Completed",IF(E77="S1 Schematic",M77,IF(E77="S2 PCB Layout",R77,IF(E77="S3 SI &amp; PI",W77,IF(E77="S4 Bare-PCB Fab",AB77,IF(E77="S5 Assembly",AG77,IF(E77="S6 Bring-up",AL77,AQ77)))))))))</f>
        <v/>
      </c>
      <c r="G77" s="33" t="str">
        <f aca="false">IF($C77="","",IF(E77="All Stages Closed","",IF(E77="S1 Schematic",IF(N77="","Not added",N77),IF(E77="S2 PCB Layout",IF(S77="","Not added",S77),IF(E77="S3 SI &amp; PI",IF(X77="","Not added",X77),IF(E77="S4 Bare-PCB Fab",IF(AC77="","Not added",AC77),IF(E77="S5 Assembly",IF(AH77="","Not added",AH77),IF(E77="S6 Bring-up",IF(AM77="","Not added",AM77),IF(AR77="","Not added",AR77)))))))))</f>
        <v/>
      </c>
      <c r="H77" s="32" t="str">
        <f aca="true">IF($C77="","",IF(OR(F77="Completed",F77="Cancelled"),"",IF(NOT(ISNUMBER(G77)),"No date set",IF(TODAY()&gt;G77,TODAY()-G77&amp;" days late",G77-TODAY()&amp;" days left"))))</f>
        <v/>
      </c>
      <c r="I77" s="31" t="str">
        <f aca="false">IF($C77="","",COUNTIF(M77,"Completed")+COUNTIF(R77,"Completed")+COUNTIF(W77,"Completed")+COUNTIF(AB77,"Completed")+COUNTIF(AG77,"Completed")+COUNTIF(AL77,"Completed")+COUNTIF(AQ77,"Completed"))</f>
        <v/>
      </c>
      <c r="J77" s="31" t="str">
        <f aca="false">IF($C77="","",7-(COUNTIF(M77,"NA")+COUNTIF(R77,"NA")+COUNTIF(W77,"NA")+COUNTIF(AB77,"NA")+COUNTIF(AG77,"NA")+COUNTIF(AL77,"NA")+COUNTIF(AQ77,"NA")))</f>
        <v/>
      </c>
      <c r="K77" s="34" t="str">
        <f aca="false">IFERROR(I77/J77,"")</f>
        <v/>
      </c>
      <c r="L77" s="29"/>
      <c r="M77" s="35"/>
      <c r="N77" s="36"/>
      <c r="O77" s="36"/>
      <c r="P77" s="30"/>
      <c r="Q77" s="29"/>
      <c r="R77" s="35"/>
      <c r="S77" s="36"/>
      <c r="T77" s="36"/>
      <c r="U77" s="30"/>
      <c r="V77" s="29"/>
      <c r="W77" s="35"/>
      <c r="X77" s="36"/>
      <c r="Y77" s="36"/>
      <c r="Z77" s="30"/>
      <c r="AA77" s="29"/>
      <c r="AB77" s="35"/>
      <c r="AC77" s="36"/>
      <c r="AD77" s="36"/>
      <c r="AE77" s="30"/>
      <c r="AF77" s="29"/>
      <c r="AG77" s="35"/>
      <c r="AH77" s="36"/>
      <c r="AI77" s="36"/>
      <c r="AJ77" s="30"/>
      <c r="AK77" s="29"/>
      <c r="AL77" s="35"/>
      <c r="AM77" s="36"/>
      <c r="AN77" s="36"/>
      <c r="AO77" s="30"/>
      <c r="AP77" s="29"/>
      <c r="AQ77" s="35"/>
      <c r="AR77" s="36"/>
      <c r="AS77" s="36"/>
      <c r="AT77" s="30"/>
      <c r="AU77" s="29"/>
      <c r="AV77" s="29"/>
      <c r="AW77" s="29"/>
      <c r="AX77" s="37"/>
      <c r="AY77" s="39" t="str">
        <f aca="false">IF(AU77&lt;&gt;"Yes","",IF(AV77="","SELECT RE-ENTRY STAGE","MOVE TO ACTIVE at "&amp;AV77))</f>
        <v/>
      </c>
      <c r="AZ77" s="40" t="str">
        <f aca="false">IF(AU77="Yes",COUNTIF($AU$6:AU77,"Yes"),"")</f>
        <v/>
      </c>
      <c r="BA77" s="29"/>
      <c r="BB77" s="38" t="str">
        <f aca="false">IF($C77="","",IF(OR(F77="Completed",F77="Cancelled"),"",IF(AND(OR(F77="On Hold",ISNUMBER(VALUE(LEFT(H77,2)))),BA77=""),"Reason not given","")))</f>
        <v/>
      </c>
      <c r="BC77" s="30"/>
    </row>
    <row r="78" customFormat="false" ht="19.5" hidden="false" customHeight="true" outlineLevel="0" collapsed="false">
      <c r="A78" s="28" t="str">
        <f aca="false">IF($C78="","",COUNTA($C$6:$C78))</f>
        <v/>
      </c>
      <c r="B78" s="29"/>
      <c r="C78" s="30"/>
      <c r="D78" s="29"/>
      <c r="E78" s="31" t="str">
        <f aca="false">IF($C78="","",IF(NOT(OR(M78="Completed",M78="NA",M78="Cancelled")),"S1 Schematic",IF(NOT(OR(R78="Completed",R78="NA",R78="Cancelled")),"S2 PCB Layout",IF(NOT(OR(W78="Completed",W78="NA",W78="Cancelled")),"S3 SI &amp; PI",IF(NOT(OR(AB78="Completed",AB78="NA",AB78="Cancelled")),"S4 Bare-PCB Fab",IF(NOT(OR(AG78="Completed",AG78="NA",AG78="Cancelled")),"S5 Assembly",IF(NOT(OR(AL78="Completed",AL78="NA",AL78="Cancelled")),"S6 Bring-up",IF(NOT(OR(AQ78="Completed",AQ78="NA",AQ78="Cancelled")),"S7 BOM Procurement","All Stages Closed"))))))))</f>
        <v/>
      </c>
      <c r="F78" s="32" t="str">
        <f aca="false">IF($C78="","",IF(COUNTIF(M78,"Cancelled")+COUNTIF(R78,"Cancelled")+COUNTIF(W78,"Cancelled")+COUNTIF(AB78,"Cancelled")+COUNTIF(AG78,"Cancelled")+COUNTIF(AL78,"Cancelled")+COUNTIF(AQ78,"Cancelled")&gt;0,"Cancelled",IF(E78="All Stages Closed","Completed",IF(E78="S1 Schematic",M78,IF(E78="S2 PCB Layout",R78,IF(E78="S3 SI &amp; PI",W78,IF(E78="S4 Bare-PCB Fab",AB78,IF(E78="S5 Assembly",AG78,IF(E78="S6 Bring-up",AL78,AQ78)))))))))</f>
        <v/>
      </c>
      <c r="G78" s="33" t="str">
        <f aca="false">IF($C78="","",IF(E78="All Stages Closed","",IF(E78="S1 Schematic",IF(N78="","Not added",N78),IF(E78="S2 PCB Layout",IF(S78="","Not added",S78),IF(E78="S3 SI &amp; PI",IF(X78="","Not added",X78),IF(E78="S4 Bare-PCB Fab",IF(AC78="","Not added",AC78),IF(E78="S5 Assembly",IF(AH78="","Not added",AH78),IF(E78="S6 Bring-up",IF(AM78="","Not added",AM78),IF(AR78="","Not added",AR78)))))))))</f>
        <v/>
      </c>
      <c r="H78" s="32" t="str">
        <f aca="true">IF($C78="","",IF(OR(F78="Completed",F78="Cancelled"),"",IF(NOT(ISNUMBER(G78)),"No date set",IF(TODAY()&gt;G78,TODAY()-G78&amp;" days late",G78-TODAY()&amp;" days left"))))</f>
        <v/>
      </c>
      <c r="I78" s="31" t="str">
        <f aca="false">IF($C78="","",COUNTIF(M78,"Completed")+COUNTIF(R78,"Completed")+COUNTIF(W78,"Completed")+COUNTIF(AB78,"Completed")+COUNTIF(AG78,"Completed")+COUNTIF(AL78,"Completed")+COUNTIF(AQ78,"Completed"))</f>
        <v/>
      </c>
      <c r="J78" s="31" t="str">
        <f aca="false">IF($C78="","",7-(COUNTIF(M78,"NA")+COUNTIF(R78,"NA")+COUNTIF(W78,"NA")+COUNTIF(AB78,"NA")+COUNTIF(AG78,"NA")+COUNTIF(AL78,"NA")+COUNTIF(AQ78,"NA")))</f>
        <v/>
      </c>
      <c r="K78" s="34" t="str">
        <f aca="false">IFERROR(I78/J78,"")</f>
        <v/>
      </c>
      <c r="L78" s="29"/>
      <c r="M78" s="35"/>
      <c r="N78" s="36"/>
      <c r="O78" s="36"/>
      <c r="P78" s="30"/>
      <c r="Q78" s="29"/>
      <c r="R78" s="35"/>
      <c r="S78" s="36"/>
      <c r="T78" s="36"/>
      <c r="U78" s="30"/>
      <c r="V78" s="29"/>
      <c r="W78" s="35"/>
      <c r="X78" s="36"/>
      <c r="Y78" s="36"/>
      <c r="Z78" s="30"/>
      <c r="AA78" s="29"/>
      <c r="AB78" s="35"/>
      <c r="AC78" s="36"/>
      <c r="AD78" s="36"/>
      <c r="AE78" s="30"/>
      <c r="AF78" s="29"/>
      <c r="AG78" s="35"/>
      <c r="AH78" s="36"/>
      <c r="AI78" s="36"/>
      <c r="AJ78" s="30"/>
      <c r="AK78" s="29"/>
      <c r="AL78" s="35"/>
      <c r="AM78" s="36"/>
      <c r="AN78" s="36"/>
      <c r="AO78" s="30"/>
      <c r="AP78" s="29"/>
      <c r="AQ78" s="35"/>
      <c r="AR78" s="36"/>
      <c r="AS78" s="36"/>
      <c r="AT78" s="30"/>
      <c r="AU78" s="29"/>
      <c r="AV78" s="29"/>
      <c r="AW78" s="29"/>
      <c r="AX78" s="37"/>
      <c r="AY78" s="39" t="str">
        <f aca="false">IF(AU78&lt;&gt;"Yes","",IF(AV78="","SELECT RE-ENTRY STAGE","MOVE TO ACTIVE at "&amp;AV78))</f>
        <v/>
      </c>
      <c r="AZ78" s="40" t="str">
        <f aca="false">IF(AU78="Yes",COUNTIF($AU$6:AU78,"Yes"),"")</f>
        <v/>
      </c>
      <c r="BA78" s="29"/>
      <c r="BB78" s="38" t="str">
        <f aca="false">IF($C78="","",IF(OR(F78="Completed",F78="Cancelled"),"",IF(AND(OR(F78="On Hold",ISNUMBER(VALUE(LEFT(H78,2)))),BA78=""),"Reason not given","")))</f>
        <v/>
      </c>
      <c r="BC78" s="30"/>
    </row>
    <row r="79" customFormat="false" ht="19.5" hidden="false" customHeight="true" outlineLevel="0" collapsed="false">
      <c r="A79" s="28" t="str">
        <f aca="false">IF($C79="","",COUNTA($C$6:$C79))</f>
        <v/>
      </c>
      <c r="B79" s="29"/>
      <c r="C79" s="30"/>
      <c r="D79" s="29"/>
      <c r="E79" s="31" t="str">
        <f aca="false">IF($C79="","",IF(NOT(OR(M79="Completed",M79="NA",M79="Cancelled")),"S1 Schematic",IF(NOT(OR(R79="Completed",R79="NA",R79="Cancelled")),"S2 PCB Layout",IF(NOT(OR(W79="Completed",W79="NA",W79="Cancelled")),"S3 SI &amp; PI",IF(NOT(OR(AB79="Completed",AB79="NA",AB79="Cancelled")),"S4 Bare-PCB Fab",IF(NOT(OR(AG79="Completed",AG79="NA",AG79="Cancelled")),"S5 Assembly",IF(NOT(OR(AL79="Completed",AL79="NA",AL79="Cancelled")),"S6 Bring-up",IF(NOT(OR(AQ79="Completed",AQ79="NA",AQ79="Cancelled")),"S7 BOM Procurement","All Stages Closed"))))))))</f>
        <v/>
      </c>
      <c r="F79" s="32" t="str">
        <f aca="false">IF($C79="","",IF(COUNTIF(M79,"Cancelled")+COUNTIF(R79,"Cancelled")+COUNTIF(W79,"Cancelled")+COUNTIF(AB79,"Cancelled")+COUNTIF(AG79,"Cancelled")+COUNTIF(AL79,"Cancelled")+COUNTIF(AQ79,"Cancelled")&gt;0,"Cancelled",IF(E79="All Stages Closed","Completed",IF(E79="S1 Schematic",M79,IF(E79="S2 PCB Layout",R79,IF(E79="S3 SI &amp; PI",W79,IF(E79="S4 Bare-PCB Fab",AB79,IF(E79="S5 Assembly",AG79,IF(E79="S6 Bring-up",AL79,AQ79)))))))))</f>
        <v/>
      </c>
      <c r="G79" s="33" t="str">
        <f aca="false">IF($C79="","",IF(E79="All Stages Closed","",IF(E79="S1 Schematic",IF(N79="","Not added",N79),IF(E79="S2 PCB Layout",IF(S79="","Not added",S79),IF(E79="S3 SI &amp; PI",IF(X79="","Not added",X79),IF(E79="S4 Bare-PCB Fab",IF(AC79="","Not added",AC79),IF(E79="S5 Assembly",IF(AH79="","Not added",AH79),IF(E79="S6 Bring-up",IF(AM79="","Not added",AM79),IF(AR79="","Not added",AR79)))))))))</f>
        <v/>
      </c>
      <c r="H79" s="32" t="str">
        <f aca="true">IF($C79="","",IF(OR(F79="Completed",F79="Cancelled"),"",IF(NOT(ISNUMBER(G79)),"No date set",IF(TODAY()&gt;G79,TODAY()-G79&amp;" days late",G79-TODAY()&amp;" days left"))))</f>
        <v/>
      </c>
      <c r="I79" s="31" t="str">
        <f aca="false">IF($C79="","",COUNTIF(M79,"Completed")+COUNTIF(R79,"Completed")+COUNTIF(W79,"Completed")+COUNTIF(AB79,"Completed")+COUNTIF(AG79,"Completed")+COUNTIF(AL79,"Completed")+COUNTIF(AQ79,"Completed"))</f>
        <v/>
      </c>
      <c r="J79" s="31" t="str">
        <f aca="false">IF($C79="","",7-(COUNTIF(M79,"NA")+COUNTIF(R79,"NA")+COUNTIF(W79,"NA")+COUNTIF(AB79,"NA")+COUNTIF(AG79,"NA")+COUNTIF(AL79,"NA")+COUNTIF(AQ79,"NA")))</f>
        <v/>
      </c>
      <c r="K79" s="34" t="str">
        <f aca="false">IFERROR(I79/J79,"")</f>
        <v/>
      </c>
      <c r="L79" s="29"/>
      <c r="M79" s="35"/>
      <c r="N79" s="36"/>
      <c r="O79" s="36"/>
      <c r="P79" s="30"/>
      <c r="Q79" s="29"/>
      <c r="R79" s="35"/>
      <c r="S79" s="36"/>
      <c r="T79" s="36"/>
      <c r="U79" s="30"/>
      <c r="V79" s="29"/>
      <c r="W79" s="35"/>
      <c r="X79" s="36"/>
      <c r="Y79" s="36"/>
      <c r="Z79" s="30"/>
      <c r="AA79" s="29"/>
      <c r="AB79" s="35"/>
      <c r="AC79" s="36"/>
      <c r="AD79" s="36"/>
      <c r="AE79" s="30"/>
      <c r="AF79" s="29"/>
      <c r="AG79" s="35"/>
      <c r="AH79" s="36"/>
      <c r="AI79" s="36"/>
      <c r="AJ79" s="30"/>
      <c r="AK79" s="29"/>
      <c r="AL79" s="35"/>
      <c r="AM79" s="36"/>
      <c r="AN79" s="36"/>
      <c r="AO79" s="30"/>
      <c r="AP79" s="29"/>
      <c r="AQ79" s="35"/>
      <c r="AR79" s="36"/>
      <c r="AS79" s="36"/>
      <c r="AT79" s="30"/>
      <c r="AU79" s="29"/>
      <c r="AV79" s="29"/>
      <c r="AW79" s="29"/>
      <c r="AX79" s="37"/>
      <c r="AY79" s="39" t="str">
        <f aca="false">IF(AU79&lt;&gt;"Yes","",IF(AV79="","SELECT RE-ENTRY STAGE","MOVE TO ACTIVE at "&amp;AV79))</f>
        <v/>
      </c>
      <c r="AZ79" s="40" t="str">
        <f aca="false">IF(AU79="Yes",COUNTIF($AU$6:AU79,"Yes"),"")</f>
        <v/>
      </c>
      <c r="BA79" s="29"/>
      <c r="BB79" s="38" t="str">
        <f aca="false">IF($C79="","",IF(OR(F79="Completed",F79="Cancelled"),"",IF(AND(OR(F79="On Hold",ISNUMBER(VALUE(LEFT(H79,2)))),BA79=""),"Reason not given","")))</f>
        <v/>
      </c>
      <c r="BC79" s="30"/>
    </row>
    <row r="80" customFormat="false" ht="19.5" hidden="false" customHeight="true" outlineLevel="0" collapsed="false">
      <c r="A80" s="28" t="str">
        <f aca="false">IF($C80="","",COUNTA($C$6:$C80))</f>
        <v/>
      </c>
      <c r="B80" s="29"/>
      <c r="C80" s="30"/>
      <c r="D80" s="29"/>
      <c r="E80" s="31" t="str">
        <f aca="false">IF($C80="","",IF(NOT(OR(M80="Completed",M80="NA",M80="Cancelled")),"S1 Schematic",IF(NOT(OR(R80="Completed",R80="NA",R80="Cancelled")),"S2 PCB Layout",IF(NOT(OR(W80="Completed",W80="NA",W80="Cancelled")),"S3 SI &amp; PI",IF(NOT(OR(AB80="Completed",AB80="NA",AB80="Cancelled")),"S4 Bare-PCB Fab",IF(NOT(OR(AG80="Completed",AG80="NA",AG80="Cancelled")),"S5 Assembly",IF(NOT(OR(AL80="Completed",AL80="NA",AL80="Cancelled")),"S6 Bring-up",IF(NOT(OR(AQ80="Completed",AQ80="NA",AQ80="Cancelled")),"S7 BOM Procurement","All Stages Closed"))))))))</f>
        <v/>
      </c>
      <c r="F80" s="32" t="str">
        <f aca="false">IF($C80="","",IF(COUNTIF(M80,"Cancelled")+COUNTIF(R80,"Cancelled")+COUNTIF(W80,"Cancelled")+COUNTIF(AB80,"Cancelled")+COUNTIF(AG80,"Cancelled")+COUNTIF(AL80,"Cancelled")+COUNTIF(AQ80,"Cancelled")&gt;0,"Cancelled",IF(E80="All Stages Closed","Completed",IF(E80="S1 Schematic",M80,IF(E80="S2 PCB Layout",R80,IF(E80="S3 SI &amp; PI",W80,IF(E80="S4 Bare-PCB Fab",AB80,IF(E80="S5 Assembly",AG80,IF(E80="S6 Bring-up",AL80,AQ80)))))))))</f>
        <v/>
      </c>
      <c r="G80" s="33" t="str">
        <f aca="false">IF($C80="","",IF(E80="All Stages Closed","",IF(E80="S1 Schematic",IF(N80="","Not added",N80),IF(E80="S2 PCB Layout",IF(S80="","Not added",S80),IF(E80="S3 SI &amp; PI",IF(X80="","Not added",X80),IF(E80="S4 Bare-PCB Fab",IF(AC80="","Not added",AC80),IF(E80="S5 Assembly",IF(AH80="","Not added",AH80),IF(E80="S6 Bring-up",IF(AM80="","Not added",AM80),IF(AR80="","Not added",AR80)))))))))</f>
        <v/>
      </c>
      <c r="H80" s="32" t="str">
        <f aca="true">IF($C80="","",IF(OR(F80="Completed",F80="Cancelled"),"",IF(NOT(ISNUMBER(G80)),"No date set",IF(TODAY()&gt;G80,TODAY()-G80&amp;" days late",G80-TODAY()&amp;" days left"))))</f>
        <v/>
      </c>
      <c r="I80" s="31" t="str">
        <f aca="false">IF($C80="","",COUNTIF(M80,"Completed")+COUNTIF(R80,"Completed")+COUNTIF(W80,"Completed")+COUNTIF(AB80,"Completed")+COUNTIF(AG80,"Completed")+COUNTIF(AL80,"Completed")+COUNTIF(AQ80,"Completed"))</f>
        <v/>
      </c>
      <c r="J80" s="31" t="str">
        <f aca="false">IF($C80="","",7-(COUNTIF(M80,"NA")+COUNTIF(R80,"NA")+COUNTIF(W80,"NA")+COUNTIF(AB80,"NA")+COUNTIF(AG80,"NA")+COUNTIF(AL80,"NA")+COUNTIF(AQ80,"NA")))</f>
        <v/>
      </c>
      <c r="K80" s="34" t="str">
        <f aca="false">IFERROR(I80/J80,"")</f>
        <v/>
      </c>
      <c r="L80" s="29"/>
      <c r="M80" s="35"/>
      <c r="N80" s="36"/>
      <c r="O80" s="36"/>
      <c r="P80" s="30"/>
      <c r="Q80" s="29"/>
      <c r="R80" s="35"/>
      <c r="S80" s="36"/>
      <c r="T80" s="36"/>
      <c r="U80" s="30"/>
      <c r="V80" s="29"/>
      <c r="W80" s="35"/>
      <c r="X80" s="36"/>
      <c r="Y80" s="36"/>
      <c r="Z80" s="30"/>
      <c r="AA80" s="29"/>
      <c r="AB80" s="35"/>
      <c r="AC80" s="36"/>
      <c r="AD80" s="36"/>
      <c r="AE80" s="30"/>
      <c r="AF80" s="29"/>
      <c r="AG80" s="35"/>
      <c r="AH80" s="36"/>
      <c r="AI80" s="36"/>
      <c r="AJ80" s="30"/>
      <c r="AK80" s="29"/>
      <c r="AL80" s="35"/>
      <c r="AM80" s="36"/>
      <c r="AN80" s="36"/>
      <c r="AO80" s="30"/>
      <c r="AP80" s="29"/>
      <c r="AQ80" s="35"/>
      <c r="AR80" s="36"/>
      <c r="AS80" s="36"/>
      <c r="AT80" s="30"/>
      <c r="AU80" s="29"/>
      <c r="AV80" s="29"/>
      <c r="AW80" s="29"/>
      <c r="AX80" s="37"/>
      <c r="AY80" s="39" t="str">
        <f aca="false">IF(AU80&lt;&gt;"Yes","",IF(AV80="","SELECT RE-ENTRY STAGE","MOVE TO ACTIVE at "&amp;AV80))</f>
        <v/>
      </c>
      <c r="AZ80" s="40" t="str">
        <f aca="false">IF(AU80="Yes",COUNTIF($AU$6:AU80,"Yes"),"")</f>
        <v/>
      </c>
      <c r="BA80" s="29"/>
      <c r="BB80" s="38" t="str">
        <f aca="false">IF($C80="","",IF(OR(F80="Completed",F80="Cancelled"),"",IF(AND(OR(F80="On Hold",ISNUMBER(VALUE(LEFT(H80,2)))),BA80=""),"Reason not given","")))</f>
        <v/>
      </c>
      <c r="BC80" s="30"/>
    </row>
    <row r="81" customFormat="false" ht="19.5" hidden="false" customHeight="true" outlineLevel="0" collapsed="false">
      <c r="A81" s="28" t="str">
        <f aca="false">IF($C81="","",COUNTA($C$6:$C81))</f>
        <v/>
      </c>
      <c r="B81" s="29"/>
      <c r="C81" s="30"/>
      <c r="D81" s="29"/>
      <c r="E81" s="31" t="str">
        <f aca="false">IF($C81="","",IF(NOT(OR(M81="Completed",M81="NA",M81="Cancelled")),"S1 Schematic",IF(NOT(OR(R81="Completed",R81="NA",R81="Cancelled")),"S2 PCB Layout",IF(NOT(OR(W81="Completed",W81="NA",W81="Cancelled")),"S3 SI &amp; PI",IF(NOT(OR(AB81="Completed",AB81="NA",AB81="Cancelled")),"S4 Bare-PCB Fab",IF(NOT(OR(AG81="Completed",AG81="NA",AG81="Cancelled")),"S5 Assembly",IF(NOT(OR(AL81="Completed",AL81="NA",AL81="Cancelled")),"S6 Bring-up",IF(NOT(OR(AQ81="Completed",AQ81="NA",AQ81="Cancelled")),"S7 BOM Procurement","All Stages Closed"))))))))</f>
        <v/>
      </c>
      <c r="F81" s="32" t="str">
        <f aca="false">IF($C81="","",IF(COUNTIF(M81,"Cancelled")+COUNTIF(R81,"Cancelled")+COUNTIF(W81,"Cancelled")+COUNTIF(AB81,"Cancelled")+COUNTIF(AG81,"Cancelled")+COUNTIF(AL81,"Cancelled")+COUNTIF(AQ81,"Cancelled")&gt;0,"Cancelled",IF(E81="All Stages Closed","Completed",IF(E81="S1 Schematic",M81,IF(E81="S2 PCB Layout",R81,IF(E81="S3 SI &amp; PI",W81,IF(E81="S4 Bare-PCB Fab",AB81,IF(E81="S5 Assembly",AG81,IF(E81="S6 Bring-up",AL81,AQ81)))))))))</f>
        <v/>
      </c>
      <c r="G81" s="33" t="str">
        <f aca="false">IF($C81="","",IF(E81="All Stages Closed","",IF(E81="S1 Schematic",IF(N81="","Not added",N81),IF(E81="S2 PCB Layout",IF(S81="","Not added",S81),IF(E81="S3 SI &amp; PI",IF(X81="","Not added",X81),IF(E81="S4 Bare-PCB Fab",IF(AC81="","Not added",AC81),IF(E81="S5 Assembly",IF(AH81="","Not added",AH81),IF(E81="S6 Bring-up",IF(AM81="","Not added",AM81),IF(AR81="","Not added",AR81)))))))))</f>
        <v/>
      </c>
      <c r="H81" s="32" t="str">
        <f aca="true">IF($C81="","",IF(OR(F81="Completed",F81="Cancelled"),"",IF(NOT(ISNUMBER(G81)),"No date set",IF(TODAY()&gt;G81,TODAY()-G81&amp;" days late",G81-TODAY()&amp;" days left"))))</f>
        <v/>
      </c>
      <c r="I81" s="31" t="str">
        <f aca="false">IF($C81="","",COUNTIF(M81,"Completed")+COUNTIF(R81,"Completed")+COUNTIF(W81,"Completed")+COUNTIF(AB81,"Completed")+COUNTIF(AG81,"Completed")+COUNTIF(AL81,"Completed")+COUNTIF(AQ81,"Completed"))</f>
        <v/>
      </c>
      <c r="J81" s="31" t="str">
        <f aca="false">IF($C81="","",7-(COUNTIF(M81,"NA")+COUNTIF(R81,"NA")+COUNTIF(W81,"NA")+COUNTIF(AB81,"NA")+COUNTIF(AG81,"NA")+COUNTIF(AL81,"NA")+COUNTIF(AQ81,"NA")))</f>
        <v/>
      </c>
      <c r="K81" s="34" t="str">
        <f aca="false">IFERROR(I81/J81,"")</f>
        <v/>
      </c>
      <c r="L81" s="29"/>
      <c r="M81" s="35"/>
      <c r="N81" s="36"/>
      <c r="O81" s="36"/>
      <c r="P81" s="30"/>
      <c r="Q81" s="29"/>
      <c r="R81" s="35"/>
      <c r="S81" s="36"/>
      <c r="T81" s="36"/>
      <c r="U81" s="30"/>
      <c r="V81" s="29"/>
      <c r="W81" s="35"/>
      <c r="X81" s="36"/>
      <c r="Y81" s="36"/>
      <c r="Z81" s="30"/>
      <c r="AA81" s="29"/>
      <c r="AB81" s="35"/>
      <c r="AC81" s="36"/>
      <c r="AD81" s="36"/>
      <c r="AE81" s="30"/>
      <c r="AF81" s="29"/>
      <c r="AG81" s="35"/>
      <c r="AH81" s="36"/>
      <c r="AI81" s="36"/>
      <c r="AJ81" s="30"/>
      <c r="AK81" s="29"/>
      <c r="AL81" s="35"/>
      <c r="AM81" s="36"/>
      <c r="AN81" s="36"/>
      <c r="AO81" s="30"/>
      <c r="AP81" s="29"/>
      <c r="AQ81" s="35"/>
      <c r="AR81" s="36"/>
      <c r="AS81" s="36"/>
      <c r="AT81" s="30"/>
      <c r="AU81" s="29"/>
      <c r="AV81" s="29"/>
      <c r="AW81" s="29"/>
      <c r="AX81" s="37"/>
      <c r="AY81" s="39" t="str">
        <f aca="false">IF(AU81&lt;&gt;"Yes","",IF(AV81="","SELECT RE-ENTRY STAGE","MOVE TO ACTIVE at "&amp;AV81))</f>
        <v/>
      </c>
      <c r="AZ81" s="40" t="str">
        <f aca="false">IF(AU81="Yes",COUNTIF($AU$6:AU81,"Yes"),"")</f>
        <v/>
      </c>
      <c r="BA81" s="29"/>
      <c r="BB81" s="38" t="str">
        <f aca="false">IF($C81="","",IF(OR(F81="Completed",F81="Cancelled"),"",IF(AND(OR(F81="On Hold",ISNUMBER(VALUE(LEFT(H81,2)))),BA81=""),"Reason not given","")))</f>
        <v/>
      </c>
      <c r="BC81" s="30"/>
    </row>
    <row r="82" customFormat="false" ht="19.5" hidden="false" customHeight="true" outlineLevel="0" collapsed="false">
      <c r="A82" s="28" t="str">
        <f aca="false">IF($C82="","",COUNTA($C$6:$C82))</f>
        <v/>
      </c>
      <c r="B82" s="29"/>
      <c r="C82" s="30"/>
      <c r="D82" s="29"/>
      <c r="E82" s="31" t="str">
        <f aca="false">IF($C82="","",IF(NOT(OR(M82="Completed",M82="NA",M82="Cancelled")),"S1 Schematic",IF(NOT(OR(R82="Completed",R82="NA",R82="Cancelled")),"S2 PCB Layout",IF(NOT(OR(W82="Completed",W82="NA",W82="Cancelled")),"S3 SI &amp; PI",IF(NOT(OR(AB82="Completed",AB82="NA",AB82="Cancelled")),"S4 Bare-PCB Fab",IF(NOT(OR(AG82="Completed",AG82="NA",AG82="Cancelled")),"S5 Assembly",IF(NOT(OR(AL82="Completed",AL82="NA",AL82="Cancelled")),"S6 Bring-up",IF(NOT(OR(AQ82="Completed",AQ82="NA",AQ82="Cancelled")),"S7 BOM Procurement","All Stages Closed"))))))))</f>
        <v/>
      </c>
      <c r="F82" s="32" t="str">
        <f aca="false">IF($C82="","",IF(COUNTIF(M82,"Cancelled")+COUNTIF(R82,"Cancelled")+COUNTIF(W82,"Cancelled")+COUNTIF(AB82,"Cancelled")+COUNTIF(AG82,"Cancelled")+COUNTIF(AL82,"Cancelled")+COUNTIF(AQ82,"Cancelled")&gt;0,"Cancelled",IF(E82="All Stages Closed","Completed",IF(E82="S1 Schematic",M82,IF(E82="S2 PCB Layout",R82,IF(E82="S3 SI &amp; PI",W82,IF(E82="S4 Bare-PCB Fab",AB82,IF(E82="S5 Assembly",AG82,IF(E82="S6 Bring-up",AL82,AQ82)))))))))</f>
        <v/>
      </c>
      <c r="G82" s="33" t="str">
        <f aca="false">IF($C82="","",IF(E82="All Stages Closed","",IF(E82="S1 Schematic",IF(N82="","Not added",N82),IF(E82="S2 PCB Layout",IF(S82="","Not added",S82),IF(E82="S3 SI &amp; PI",IF(X82="","Not added",X82),IF(E82="S4 Bare-PCB Fab",IF(AC82="","Not added",AC82),IF(E82="S5 Assembly",IF(AH82="","Not added",AH82),IF(E82="S6 Bring-up",IF(AM82="","Not added",AM82),IF(AR82="","Not added",AR82)))))))))</f>
        <v/>
      </c>
      <c r="H82" s="32" t="str">
        <f aca="true">IF($C82="","",IF(OR(F82="Completed",F82="Cancelled"),"",IF(NOT(ISNUMBER(G82)),"No date set",IF(TODAY()&gt;G82,TODAY()-G82&amp;" days late",G82-TODAY()&amp;" days left"))))</f>
        <v/>
      </c>
      <c r="I82" s="31" t="str">
        <f aca="false">IF($C82="","",COUNTIF(M82,"Completed")+COUNTIF(R82,"Completed")+COUNTIF(W82,"Completed")+COUNTIF(AB82,"Completed")+COUNTIF(AG82,"Completed")+COUNTIF(AL82,"Completed")+COUNTIF(AQ82,"Completed"))</f>
        <v/>
      </c>
      <c r="J82" s="31" t="str">
        <f aca="false">IF($C82="","",7-(COUNTIF(M82,"NA")+COUNTIF(R82,"NA")+COUNTIF(W82,"NA")+COUNTIF(AB82,"NA")+COUNTIF(AG82,"NA")+COUNTIF(AL82,"NA")+COUNTIF(AQ82,"NA")))</f>
        <v/>
      </c>
      <c r="K82" s="34" t="str">
        <f aca="false">IFERROR(I82/J82,"")</f>
        <v/>
      </c>
      <c r="L82" s="29"/>
      <c r="M82" s="35"/>
      <c r="N82" s="36"/>
      <c r="O82" s="36"/>
      <c r="P82" s="30"/>
      <c r="Q82" s="29"/>
      <c r="R82" s="35"/>
      <c r="S82" s="36"/>
      <c r="T82" s="36"/>
      <c r="U82" s="30"/>
      <c r="V82" s="29"/>
      <c r="W82" s="35"/>
      <c r="X82" s="36"/>
      <c r="Y82" s="36"/>
      <c r="Z82" s="30"/>
      <c r="AA82" s="29"/>
      <c r="AB82" s="35"/>
      <c r="AC82" s="36"/>
      <c r="AD82" s="36"/>
      <c r="AE82" s="30"/>
      <c r="AF82" s="29"/>
      <c r="AG82" s="35"/>
      <c r="AH82" s="36"/>
      <c r="AI82" s="36"/>
      <c r="AJ82" s="30"/>
      <c r="AK82" s="29"/>
      <c r="AL82" s="35"/>
      <c r="AM82" s="36"/>
      <c r="AN82" s="36"/>
      <c r="AO82" s="30"/>
      <c r="AP82" s="29"/>
      <c r="AQ82" s="35"/>
      <c r="AR82" s="36"/>
      <c r="AS82" s="36"/>
      <c r="AT82" s="30"/>
      <c r="AU82" s="29"/>
      <c r="AV82" s="29"/>
      <c r="AW82" s="29"/>
      <c r="AX82" s="37"/>
      <c r="AY82" s="39" t="str">
        <f aca="false">IF(AU82&lt;&gt;"Yes","",IF(AV82="","SELECT RE-ENTRY STAGE","MOVE TO ACTIVE at "&amp;AV82))</f>
        <v/>
      </c>
      <c r="AZ82" s="40" t="str">
        <f aca="false">IF(AU82="Yes",COUNTIF($AU$6:AU82,"Yes"),"")</f>
        <v/>
      </c>
      <c r="BA82" s="29"/>
      <c r="BB82" s="38" t="str">
        <f aca="false">IF($C82="","",IF(OR(F82="Completed",F82="Cancelled"),"",IF(AND(OR(F82="On Hold",ISNUMBER(VALUE(LEFT(H82,2)))),BA82=""),"Reason not given","")))</f>
        <v/>
      </c>
      <c r="BC82" s="30"/>
    </row>
    <row r="83" customFormat="false" ht="19.5" hidden="false" customHeight="true" outlineLevel="0" collapsed="false">
      <c r="A83" s="28" t="str">
        <f aca="false">IF($C83="","",COUNTA($C$6:$C83))</f>
        <v/>
      </c>
      <c r="B83" s="29"/>
      <c r="C83" s="30"/>
      <c r="D83" s="29"/>
      <c r="E83" s="31" t="str">
        <f aca="false">IF($C83="","",IF(NOT(OR(M83="Completed",M83="NA",M83="Cancelled")),"S1 Schematic",IF(NOT(OR(R83="Completed",R83="NA",R83="Cancelled")),"S2 PCB Layout",IF(NOT(OR(W83="Completed",W83="NA",W83="Cancelled")),"S3 SI &amp; PI",IF(NOT(OR(AB83="Completed",AB83="NA",AB83="Cancelled")),"S4 Bare-PCB Fab",IF(NOT(OR(AG83="Completed",AG83="NA",AG83="Cancelled")),"S5 Assembly",IF(NOT(OR(AL83="Completed",AL83="NA",AL83="Cancelled")),"S6 Bring-up",IF(NOT(OR(AQ83="Completed",AQ83="NA",AQ83="Cancelled")),"S7 BOM Procurement","All Stages Closed"))))))))</f>
        <v/>
      </c>
      <c r="F83" s="32" t="str">
        <f aca="false">IF($C83="","",IF(COUNTIF(M83,"Cancelled")+COUNTIF(R83,"Cancelled")+COUNTIF(W83,"Cancelled")+COUNTIF(AB83,"Cancelled")+COUNTIF(AG83,"Cancelled")+COUNTIF(AL83,"Cancelled")+COUNTIF(AQ83,"Cancelled")&gt;0,"Cancelled",IF(E83="All Stages Closed","Completed",IF(E83="S1 Schematic",M83,IF(E83="S2 PCB Layout",R83,IF(E83="S3 SI &amp; PI",W83,IF(E83="S4 Bare-PCB Fab",AB83,IF(E83="S5 Assembly",AG83,IF(E83="S6 Bring-up",AL83,AQ83)))))))))</f>
        <v/>
      </c>
      <c r="G83" s="33" t="str">
        <f aca="false">IF($C83="","",IF(E83="All Stages Closed","",IF(E83="S1 Schematic",IF(N83="","Not added",N83),IF(E83="S2 PCB Layout",IF(S83="","Not added",S83),IF(E83="S3 SI &amp; PI",IF(X83="","Not added",X83),IF(E83="S4 Bare-PCB Fab",IF(AC83="","Not added",AC83),IF(E83="S5 Assembly",IF(AH83="","Not added",AH83),IF(E83="S6 Bring-up",IF(AM83="","Not added",AM83),IF(AR83="","Not added",AR83)))))))))</f>
        <v/>
      </c>
      <c r="H83" s="32" t="str">
        <f aca="true">IF($C83="","",IF(OR(F83="Completed",F83="Cancelled"),"",IF(NOT(ISNUMBER(G83)),"No date set",IF(TODAY()&gt;G83,TODAY()-G83&amp;" days late",G83-TODAY()&amp;" days left"))))</f>
        <v/>
      </c>
      <c r="I83" s="31" t="str">
        <f aca="false">IF($C83="","",COUNTIF(M83,"Completed")+COUNTIF(R83,"Completed")+COUNTIF(W83,"Completed")+COUNTIF(AB83,"Completed")+COUNTIF(AG83,"Completed")+COUNTIF(AL83,"Completed")+COUNTIF(AQ83,"Completed"))</f>
        <v/>
      </c>
      <c r="J83" s="31" t="str">
        <f aca="false">IF($C83="","",7-(COUNTIF(M83,"NA")+COUNTIF(R83,"NA")+COUNTIF(W83,"NA")+COUNTIF(AB83,"NA")+COUNTIF(AG83,"NA")+COUNTIF(AL83,"NA")+COUNTIF(AQ83,"NA")))</f>
        <v/>
      </c>
      <c r="K83" s="34" t="str">
        <f aca="false">IFERROR(I83/J83,"")</f>
        <v/>
      </c>
      <c r="L83" s="29"/>
      <c r="M83" s="35"/>
      <c r="N83" s="36"/>
      <c r="O83" s="36"/>
      <c r="P83" s="30"/>
      <c r="Q83" s="29"/>
      <c r="R83" s="35"/>
      <c r="S83" s="36"/>
      <c r="T83" s="36"/>
      <c r="U83" s="30"/>
      <c r="V83" s="29"/>
      <c r="W83" s="35"/>
      <c r="X83" s="36"/>
      <c r="Y83" s="36"/>
      <c r="Z83" s="30"/>
      <c r="AA83" s="29"/>
      <c r="AB83" s="35"/>
      <c r="AC83" s="36"/>
      <c r="AD83" s="36"/>
      <c r="AE83" s="30"/>
      <c r="AF83" s="29"/>
      <c r="AG83" s="35"/>
      <c r="AH83" s="36"/>
      <c r="AI83" s="36"/>
      <c r="AJ83" s="30"/>
      <c r="AK83" s="29"/>
      <c r="AL83" s="35"/>
      <c r="AM83" s="36"/>
      <c r="AN83" s="36"/>
      <c r="AO83" s="30"/>
      <c r="AP83" s="29"/>
      <c r="AQ83" s="35"/>
      <c r="AR83" s="36"/>
      <c r="AS83" s="36"/>
      <c r="AT83" s="30"/>
      <c r="AU83" s="29"/>
      <c r="AV83" s="29"/>
      <c r="AW83" s="29"/>
      <c r="AX83" s="37"/>
      <c r="AY83" s="39" t="str">
        <f aca="false">IF(AU83&lt;&gt;"Yes","",IF(AV83="","SELECT RE-ENTRY STAGE","MOVE TO ACTIVE at "&amp;AV83))</f>
        <v/>
      </c>
      <c r="AZ83" s="40" t="str">
        <f aca="false">IF(AU83="Yes",COUNTIF($AU$6:AU83,"Yes"),"")</f>
        <v/>
      </c>
      <c r="BA83" s="29"/>
      <c r="BB83" s="38" t="str">
        <f aca="false">IF($C83="","",IF(OR(F83="Completed",F83="Cancelled"),"",IF(AND(OR(F83="On Hold",ISNUMBER(VALUE(LEFT(H83,2)))),BA83=""),"Reason not given","")))</f>
        <v/>
      </c>
      <c r="BC83" s="30"/>
    </row>
    <row r="84" customFormat="false" ht="19.5" hidden="false" customHeight="true" outlineLevel="0" collapsed="false">
      <c r="A84" s="28" t="str">
        <f aca="false">IF($C84="","",COUNTA($C$6:$C84))</f>
        <v/>
      </c>
      <c r="B84" s="29"/>
      <c r="C84" s="30"/>
      <c r="D84" s="29"/>
      <c r="E84" s="31" t="str">
        <f aca="false">IF($C84="","",IF(NOT(OR(M84="Completed",M84="NA",M84="Cancelled")),"S1 Schematic",IF(NOT(OR(R84="Completed",R84="NA",R84="Cancelled")),"S2 PCB Layout",IF(NOT(OR(W84="Completed",W84="NA",W84="Cancelled")),"S3 SI &amp; PI",IF(NOT(OR(AB84="Completed",AB84="NA",AB84="Cancelled")),"S4 Bare-PCB Fab",IF(NOT(OR(AG84="Completed",AG84="NA",AG84="Cancelled")),"S5 Assembly",IF(NOT(OR(AL84="Completed",AL84="NA",AL84="Cancelled")),"S6 Bring-up",IF(NOT(OR(AQ84="Completed",AQ84="NA",AQ84="Cancelled")),"S7 BOM Procurement","All Stages Closed"))))))))</f>
        <v/>
      </c>
      <c r="F84" s="32" t="str">
        <f aca="false">IF($C84="","",IF(COUNTIF(M84,"Cancelled")+COUNTIF(R84,"Cancelled")+COUNTIF(W84,"Cancelled")+COUNTIF(AB84,"Cancelled")+COUNTIF(AG84,"Cancelled")+COUNTIF(AL84,"Cancelled")+COUNTIF(AQ84,"Cancelled")&gt;0,"Cancelled",IF(E84="All Stages Closed","Completed",IF(E84="S1 Schematic",M84,IF(E84="S2 PCB Layout",R84,IF(E84="S3 SI &amp; PI",W84,IF(E84="S4 Bare-PCB Fab",AB84,IF(E84="S5 Assembly",AG84,IF(E84="S6 Bring-up",AL84,AQ84)))))))))</f>
        <v/>
      </c>
      <c r="G84" s="33" t="str">
        <f aca="false">IF($C84="","",IF(E84="All Stages Closed","",IF(E84="S1 Schematic",IF(N84="","Not added",N84),IF(E84="S2 PCB Layout",IF(S84="","Not added",S84),IF(E84="S3 SI &amp; PI",IF(X84="","Not added",X84),IF(E84="S4 Bare-PCB Fab",IF(AC84="","Not added",AC84),IF(E84="S5 Assembly",IF(AH84="","Not added",AH84),IF(E84="S6 Bring-up",IF(AM84="","Not added",AM84),IF(AR84="","Not added",AR84)))))))))</f>
        <v/>
      </c>
      <c r="H84" s="32" t="str">
        <f aca="true">IF($C84="","",IF(OR(F84="Completed",F84="Cancelled"),"",IF(NOT(ISNUMBER(G84)),"No date set",IF(TODAY()&gt;G84,TODAY()-G84&amp;" days late",G84-TODAY()&amp;" days left"))))</f>
        <v/>
      </c>
      <c r="I84" s="31" t="str">
        <f aca="false">IF($C84="","",COUNTIF(M84,"Completed")+COUNTIF(R84,"Completed")+COUNTIF(W84,"Completed")+COUNTIF(AB84,"Completed")+COUNTIF(AG84,"Completed")+COUNTIF(AL84,"Completed")+COUNTIF(AQ84,"Completed"))</f>
        <v/>
      </c>
      <c r="J84" s="31" t="str">
        <f aca="false">IF($C84="","",7-(COUNTIF(M84,"NA")+COUNTIF(R84,"NA")+COUNTIF(W84,"NA")+COUNTIF(AB84,"NA")+COUNTIF(AG84,"NA")+COUNTIF(AL84,"NA")+COUNTIF(AQ84,"NA")))</f>
        <v/>
      </c>
      <c r="K84" s="34" t="str">
        <f aca="false">IFERROR(I84/J84,"")</f>
        <v/>
      </c>
      <c r="L84" s="29"/>
      <c r="M84" s="35"/>
      <c r="N84" s="36"/>
      <c r="O84" s="36"/>
      <c r="P84" s="30"/>
      <c r="Q84" s="29"/>
      <c r="R84" s="35"/>
      <c r="S84" s="36"/>
      <c r="T84" s="36"/>
      <c r="U84" s="30"/>
      <c r="V84" s="29"/>
      <c r="W84" s="35"/>
      <c r="X84" s="36"/>
      <c r="Y84" s="36"/>
      <c r="Z84" s="30"/>
      <c r="AA84" s="29"/>
      <c r="AB84" s="35"/>
      <c r="AC84" s="36"/>
      <c r="AD84" s="36"/>
      <c r="AE84" s="30"/>
      <c r="AF84" s="29"/>
      <c r="AG84" s="35"/>
      <c r="AH84" s="36"/>
      <c r="AI84" s="36"/>
      <c r="AJ84" s="30"/>
      <c r="AK84" s="29"/>
      <c r="AL84" s="35"/>
      <c r="AM84" s="36"/>
      <c r="AN84" s="36"/>
      <c r="AO84" s="30"/>
      <c r="AP84" s="29"/>
      <c r="AQ84" s="35"/>
      <c r="AR84" s="36"/>
      <c r="AS84" s="36"/>
      <c r="AT84" s="30"/>
      <c r="AU84" s="29"/>
      <c r="AV84" s="29"/>
      <c r="AW84" s="29"/>
      <c r="AX84" s="37"/>
      <c r="AY84" s="39" t="str">
        <f aca="false">IF(AU84&lt;&gt;"Yes","",IF(AV84="","SELECT RE-ENTRY STAGE","MOVE TO ACTIVE at "&amp;AV84))</f>
        <v/>
      </c>
      <c r="AZ84" s="40" t="str">
        <f aca="false">IF(AU84="Yes",COUNTIF($AU$6:AU84,"Yes"),"")</f>
        <v/>
      </c>
      <c r="BA84" s="29"/>
      <c r="BB84" s="38" t="str">
        <f aca="false">IF($C84="","",IF(OR(F84="Completed",F84="Cancelled"),"",IF(AND(OR(F84="On Hold",ISNUMBER(VALUE(LEFT(H84,2)))),BA84=""),"Reason not given","")))</f>
        <v/>
      </c>
      <c r="BC84" s="30"/>
    </row>
    <row r="85" customFormat="false" ht="19.5" hidden="false" customHeight="true" outlineLevel="0" collapsed="false">
      <c r="A85" s="28" t="str">
        <f aca="false">IF($C85="","",COUNTA($C$6:$C85))</f>
        <v/>
      </c>
      <c r="B85" s="29"/>
      <c r="C85" s="30"/>
      <c r="D85" s="29"/>
      <c r="E85" s="31" t="str">
        <f aca="false">IF($C85="","",IF(NOT(OR(M85="Completed",M85="NA",M85="Cancelled")),"S1 Schematic",IF(NOT(OR(R85="Completed",R85="NA",R85="Cancelled")),"S2 PCB Layout",IF(NOT(OR(W85="Completed",W85="NA",W85="Cancelled")),"S3 SI &amp; PI",IF(NOT(OR(AB85="Completed",AB85="NA",AB85="Cancelled")),"S4 Bare-PCB Fab",IF(NOT(OR(AG85="Completed",AG85="NA",AG85="Cancelled")),"S5 Assembly",IF(NOT(OR(AL85="Completed",AL85="NA",AL85="Cancelled")),"S6 Bring-up",IF(NOT(OR(AQ85="Completed",AQ85="NA",AQ85="Cancelled")),"S7 BOM Procurement","All Stages Closed"))))))))</f>
        <v/>
      </c>
      <c r="F85" s="32" t="str">
        <f aca="false">IF($C85="","",IF(COUNTIF(M85,"Cancelled")+COUNTIF(R85,"Cancelled")+COUNTIF(W85,"Cancelled")+COUNTIF(AB85,"Cancelled")+COUNTIF(AG85,"Cancelled")+COUNTIF(AL85,"Cancelled")+COUNTIF(AQ85,"Cancelled")&gt;0,"Cancelled",IF(E85="All Stages Closed","Completed",IF(E85="S1 Schematic",M85,IF(E85="S2 PCB Layout",R85,IF(E85="S3 SI &amp; PI",W85,IF(E85="S4 Bare-PCB Fab",AB85,IF(E85="S5 Assembly",AG85,IF(E85="S6 Bring-up",AL85,AQ85)))))))))</f>
        <v/>
      </c>
      <c r="G85" s="33" t="str">
        <f aca="false">IF($C85="","",IF(E85="All Stages Closed","",IF(E85="S1 Schematic",IF(N85="","Not added",N85),IF(E85="S2 PCB Layout",IF(S85="","Not added",S85),IF(E85="S3 SI &amp; PI",IF(X85="","Not added",X85),IF(E85="S4 Bare-PCB Fab",IF(AC85="","Not added",AC85),IF(E85="S5 Assembly",IF(AH85="","Not added",AH85),IF(E85="S6 Bring-up",IF(AM85="","Not added",AM85),IF(AR85="","Not added",AR85)))))))))</f>
        <v/>
      </c>
      <c r="H85" s="32" t="str">
        <f aca="true">IF($C85="","",IF(OR(F85="Completed",F85="Cancelled"),"",IF(NOT(ISNUMBER(G85)),"No date set",IF(TODAY()&gt;G85,TODAY()-G85&amp;" days late",G85-TODAY()&amp;" days left"))))</f>
        <v/>
      </c>
      <c r="I85" s="31" t="str">
        <f aca="false">IF($C85="","",COUNTIF(M85,"Completed")+COUNTIF(R85,"Completed")+COUNTIF(W85,"Completed")+COUNTIF(AB85,"Completed")+COUNTIF(AG85,"Completed")+COUNTIF(AL85,"Completed")+COUNTIF(AQ85,"Completed"))</f>
        <v/>
      </c>
      <c r="J85" s="31" t="str">
        <f aca="false">IF($C85="","",7-(COUNTIF(M85,"NA")+COUNTIF(R85,"NA")+COUNTIF(W85,"NA")+COUNTIF(AB85,"NA")+COUNTIF(AG85,"NA")+COUNTIF(AL85,"NA")+COUNTIF(AQ85,"NA")))</f>
        <v/>
      </c>
      <c r="K85" s="34" t="str">
        <f aca="false">IFERROR(I85/J85,"")</f>
        <v/>
      </c>
      <c r="L85" s="29"/>
      <c r="M85" s="35"/>
      <c r="N85" s="36"/>
      <c r="O85" s="36"/>
      <c r="P85" s="30"/>
      <c r="Q85" s="29"/>
      <c r="R85" s="35"/>
      <c r="S85" s="36"/>
      <c r="T85" s="36"/>
      <c r="U85" s="30"/>
      <c r="V85" s="29"/>
      <c r="W85" s="35"/>
      <c r="X85" s="36"/>
      <c r="Y85" s="36"/>
      <c r="Z85" s="30"/>
      <c r="AA85" s="29"/>
      <c r="AB85" s="35"/>
      <c r="AC85" s="36"/>
      <c r="AD85" s="36"/>
      <c r="AE85" s="30"/>
      <c r="AF85" s="29"/>
      <c r="AG85" s="35"/>
      <c r="AH85" s="36"/>
      <c r="AI85" s="36"/>
      <c r="AJ85" s="30"/>
      <c r="AK85" s="29"/>
      <c r="AL85" s="35"/>
      <c r="AM85" s="36"/>
      <c r="AN85" s="36"/>
      <c r="AO85" s="30"/>
      <c r="AP85" s="29"/>
      <c r="AQ85" s="35"/>
      <c r="AR85" s="36"/>
      <c r="AS85" s="36"/>
      <c r="AT85" s="30"/>
      <c r="AU85" s="29"/>
      <c r="AV85" s="29"/>
      <c r="AW85" s="29"/>
      <c r="AX85" s="37"/>
      <c r="AY85" s="39" t="str">
        <f aca="false">IF(AU85&lt;&gt;"Yes","",IF(AV85="","SELECT RE-ENTRY STAGE","MOVE TO ACTIVE at "&amp;AV85))</f>
        <v/>
      </c>
      <c r="AZ85" s="40" t="str">
        <f aca="false">IF(AU85="Yes",COUNTIF($AU$6:AU85,"Yes"),"")</f>
        <v/>
      </c>
      <c r="BA85" s="29"/>
      <c r="BB85" s="38" t="str">
        <f aca="false">IF($C85="","",IF(OR(F85="Completed",F85="Cancelled"),"",IF(AND(OR(F85="On Hold",ISNUMBER(VALUE(LEFT(H85,2)))),BA85=""),"Reason not given","")))</f>
        <v/>
      </c>
      <c r="BC85" s="30"/>
    </row>
    <row r="86" customFormat="false" ht="19.5" hidden="false" customHeight="true" outlineLevel="0" collapsed="false">
      <c r="A86" s="28" t="str">
        <f aca="false">IF($C86="","",COUNTA($C$6:$C86))</f>
        <v/>
      </c>
      <c r="B86" s="29"/>
      <c r="C86" s="30"/>
      <c r="D86" s="29"/>
      <c r="E86" s="31" t="str">
        <f aca="false">IF($C86="","",IF(NOT(OR(M86="Completed",M86="NA",M86="Cancelled")),"S1 Schematic",IF(NOT(OR(R86="Completed",R86="NA",R86="Cancelled")),"S2 PCB Layout",IF(NOT(OR(W86="Completed",W86="NA",W86="Cancelled")),"S3 SI &amp; PI",IF(NOT(OR(AB86="Completed",AB86="NA",AB86="Cancelled")),"S4 Bare-PCB Fab",IF(NOT(OR(AG86="Completed",AG86="NA",AG86="Cancelled")),"S5 Assembly",IF(NOT(OR(AL86="Completed",AL86="NA",AL86="Cancelled")),"S6 Bring-up",IF(NOT(OR(AQ86="Completed",AQ86="NA",AQ86="Cancelled")),"S7 BOM Procurement","All Stages Closed"))))))))</f>
        <v/>
      </c>
      <c r="F86" s="32" t="str">
        <f aca="false">IF($C86="","",IF(COUNTIF(M86,"Cancelled")+COUNTIF(R86,"Cancelled")+COUNTIF(W86,"Cancelled")+COUNTIF(AB86,"Cancelled")+COUNTIF(AG86,"Cancelled")+COUNTIF(AL86,"Cancelled")+COUNTIF(AQ86,"Cancelled")&gt;0,"Cancelled",IF(E86="All Stages Closed","Completed",IF(E86="S1 Schematic",M86,IF(E86="S2 PCB Layout",R86,IF(E86="S3 SI &amp; PI",W86,IF(E86="S4 Bare-PCB Fab",AB86,IF(E86="S5 Assembly",AG86,IF(E86="S6 Bring-up",AL86,AQ86)))))))))</f>
        <v/>
      </c>
      <c r="G86" s="33" t="str">
        <f aca="false">IF($C86="","",IF(E86="All Stages Closed","",IF(E86="S1 Schematic",IF(N86="","Not added",N86),IF(E86="S2 PCB Layout",IF(S86="","Not added",S86),IF(E86="S3 SI &amp; PI",IF(X86="","Not added",X86),IF(E86="S4 Bare-PCB Fab",IF(AC86="","Not added",AC86),IF(E86="S5 Assembly",IF(AH86="","Not added",AH86),IF(E86="S6 Bring-up",IF(AM86="","Not added",AM86),IF(AR86="","Not added",AR86)))))))))</f>
        <v/>
      </c>
      <c r="H86" s="32" t="str">
        <f aca="true">IF($C86="","",IF(OR(F86="Completed",F86="Cancelled"),"",IF(NOT(ISNUMBER(G86)),"No date set",IF(TODAY()&gt;G86,TODAY()-G86&amp;" days late",G86-TODAY()&amp;" days left"))))</f>
        <v/>
      </c>
      <c r="I86" s="31" t="str">
        <f aca="false">IF($C86="","",COUNTIF(M86,"Completed")+COUNTIF(R86,"Completed")+COUNTIF(W86,"Completed")+COUNTIF(AB86,"Completed")+COUNTIF(AG86,"Completed")+COUNTIF(AL86,"Completed")+COUNTIF(AQ86,"Completed"))</f>
        <v/>
      </c>
      <c r="J86" s="31" t="str">
        <f aca="false">IF($C86="","",7-(COUNTIF(M86,"NA")+COUNTIF(R86,"NA")+COUNTIF(W86,"NA")+COUNTIF(AB86,"NA")+COUNTIF(AG86,"NA")+COUNTIF(AL86,"NA")+COUNTIF(AQ86,"NA")))</f>
        <v/>
      </c>
      <c r="K86" s="34" t="str">
        <f aca="false">IFERROR(I86/J86,"")</f>
        <v/>
      </c>
      <c r="L86" s="29"/>
      <c r="M86" s="35"/>
      <c r="N86" s="36"/>
      <c r="O86" s="36"/>
      <c r="P86" s="30"/>
      <c r="Q86" s="29"/>
      <c r="R86" s="35"/>
      <c r="S86" s="36"/>
      <c r="T86" s="36"/>
      <c r="U86" s="30"/>
      <c r="V86" s="29"/>
      <c r="W86" s="35"/>
      <c r="X86" s="36"/>
      <c r="Y86" s="36"/>
      <c r="Z86" s="30"/>
      <c r="AA86" s="29"/>
      <c r="AB86" s="35"/>
      <c r="AC86" s="36"/>
      <c r="AD86" s="36"/>
      <c r="AE86" s="30"/>
      <c r="AF86" s="29"/>
      <c r="AG86" s="35"/>
      <c r="AH86" s="36"/>
      <c r="AI86" s="36"/>
      <c r="AJ86" s="30"/>
      <c r="AK86" s="29"/>
      <c r="AL86" s="35"/>
      <c r="AM86" s="36"/>
      <c r="AN86" s="36"/>
      <c r="AO86" s="30"/>
      <c r="AP86" s="29"/>
      <c r="AQ86" s="35"/>
      <c r="AR86" s="36"/>
      <c r="AS86" s="36"/>
      <c r="AT86" s="30"/>
      <c r="AU86" s="29"/>
      <c r="AV86" s="29"/>
      <c r="AW86" s="29"/>
      <c r="AX86" s="37"/>
      <c r="AY86" s="39" t="str">
        <f aca="false">IF(AU86&lt;&gt;"Yes","",IF(AV86="","SELECT RE-ENTRY STAGE","MOVE TO ACTIVE at "&amp;AV86))</f>
        <v/>
      </c>
      <c r="AZ86" s="40" t="str">
        <f aca="false">IF(AU86="Yes",COUNTIF($AU$6:AU86,"Yes"),"")</f>
        <v/>
      </c>
      <c r="BA86" s="29"/>
      <c r="BB86" s="38" t="str">
        <f aca="false">IF($C86="","",IF(OR(F86="Completed",F86="Cancelled"),"",IF(AND(OR(F86="On Hold",ISNUMBER(VALUE(LEFT(H86,2)))),BA86=""),"Reason not given","")))</f>
        <v/>
      </c>
      <c r="BC86" s="30"/>
    </row>
    <row r="87" customFormat="false" ht="19.5" hidden="false" customHeight="true" outlineLevel="0" collapsed="false">
      <c r="A87" s="28" t="str">
        <f aca="false">IF($C87="","",COUNTA($C$6:$C87))</f>
        <v/>
      </c>
      <c r="B87" s="29"/>
      <c r="C87" s="30"/>
      <c r="D87" s="29"/>
      <c r="E87" s="31" t="str">
        <f aca="false">IF($C87="","",IF(NOT(OR(M87="Completed",M87="NA",M87="Cancelled")),"S1 Schematic",IF(NOT(OR(R87="Completed",R87="NA",R87="Cancelled")),"S2 PCB Layout",IF(NOT(OR(W87="Completed",W87="NA",W87="Cancelled")),"S3 SI &amp; PI",IF(NOT(OR(AB87="Completed",AB87="NA",AB87="Cancelled")),"S4 Bare-PCB Fab",IF(NOT(OR(AG87="Completed",AG87="NA",AG87="Cancelled")),"S5 Assembly",IF(NOT(OR(AL87="Completed",AL87="NA",AL87="Cancelled")),"S6 Bring-up",IF(NOT(OR(AQ87="Completed",AQ87="NA",AQ87="Cancelled")),"S7 BOM Procurement","All Stages Closed"))))))))</f>
        <v/>
      </c>
      <c r="F87" s="32" t="str">
        <f aca="false">IF($C87="","",IF(COUNTIF(M87,"Cancelled")+COUNTIF(R87,"Cancelled")+COUNTIF(W87,"Cancelled")+COUNTIF(AB87,"Cancelled")+COUNTIF(AG87,"Cancelled")+COUNTIF(AL87,"Cancelled")+COUNTIF(AQ87,"Cancelled")&gt;0,"Cancelled",IF(E87="All Stages Closed","Completed",IF(E87="S1 Schematic",M87,IF(E87="S2 PCB Layout",R87,IF(E87="S3 SI &amp; PI",W87,IF(E87="S4 Bare-PCB Fab",AB87,IF(E87="S5 Assembly",AG87,IF(E87="S6 Bring-up",AL87,AQ87)))))))))</f>
        <v/>
      </c>
      <c r="G87" s="33" t="str">
        <f aca="false">IF($C87="","",IF(E87="All Stages Closed","",IF(E87="S1 Schematic",IF(N87="","Not added",N87),IF(E87="S2 PCB Layout",IF(S87="","Not added",S87),IF(E87="S3 SI &amp; PI",IF(X87="","Not added",X87),IF(E87="S4 Bare-PCB Fab",IF(AC87="","Not added",AC87),IF(E87="S5 Assembly",IF(AH87="","Not added",AH87),IF(E87="S6 Bring-up",IF(AM87="","Not added",AM87),IF(AR87="","Not added",AR87)))))))))</f>
        <v/>
      </c>
      <c r="H87" s="32" t="str">
        <f aca="true">IF($C87="","",IF(OR(F87="Completed",F87="Cancelled"),"",IF(NOT(ISNUMBER(G87)),"No date set",IF(TODAY()&gt;G87,TODAY()-G87&amp;" days late",G87-TODAY()&amp;" days left"))))</f>
        <v/>
      </c>
      <c r="I87" s="31" t="str">
        <f aca="false">IF($C87="","",COUNTIF(M87,"Completed")+COUNTIF(R87,"Completed")+COUNTIF(W87,"Completed")+COUNTIF(AB87,"Completed")+COUNTIF(AG87,"Completed")+COUNTIF(AL87,"Completed")+COUNTIF(AQ87,"Completed"))</f>
        <v/>
      </c>
      <c r="J87" s="31" t="str">
        <f aca="false">IF($C87="","",7-(COUNTIF(M87,"NA")+COUNTIF(R87,"NA")+COUNTIF(W87,"NA")+COUNTIF(AB87,"NA")+COUNTIF(AG87,"NA")+COUNTIF(AL87,"NA")+COUNTIF(AQ87,"NA")))</f>
        <v/>
      </c>
      <c r="K87" s="34" t="str">
        <f aca="false">IFERROR(I87/J87,"")</f>
        <v/>
      </c>
      <c r="L87" s="29"/>
      <c r="M87" s="35"/>
      <c r="N87" s="36"/>
      <c r="O87" s="36"/>
      <c r="P87" s="30"/>
      <c r="Q87" s="29"/>
      <c r="R87" s="35"/>
      <c r="S87" s="36"/>
      <c r="T87" s="36"/>
      <c r="U87" s="30"/>
      <c r="V87" s="29"/>
      <c r="W87" s="35"/>
      <c r="X87" s="36"/>
      <c r="Y87" s="36"/>
      <c r="Z87" s="30"/>
      <c r="AA87" s="29"/>
      <c r="AB87" s="35"/>
      <c r="AC87" s="36"/>
      <c r="AD87" s="36"/>
      <c r="AE87" s="30"/>
      <c r="AF87" s="29"/>
      <c r="AG87" s="35"/>
      <c r="AH87" s="36"/>
      <c r="AI87" s="36"/>
      <c r="AJ87" s="30"/>
      <c r="AK87" s="29"/>
      <c r="AL87" s="35"/>
      <c r="AM87" s="36"/>
      <c r="AN87" s="36"/>
      <c r="AO87" s="30"/>
      <c r="AP87" s="29"/>
      <c r="AQ87" s="35"/>
      <c r="AR87" s="36"/>
      <c r="AS87" s="36"/>
      <c r="AT87" s="30"/>
      <c r="AU87" s="29"/>
      <c r="AV87" s="29"/>
      <c r="AW87" s="29"/>
      <c r="AX87" s="37"/>
      <c r="AY87" s="39" t="str">
        <f aca="false">IF(AU87&lt;&gt;"Yes","",IF(AV87="","SELECT RE-ENTRY STAGE","MOVE TO ACTIVE at "&amp;AV87))</f>
        <v/>
      </c>
      <c r="AZ87" s="40" t="str">
        <f aca="false">IF(AU87="Yes",COUNTIF($AU$6:AU87,"Yes"),"")</f>
        <v/>
      </c>
      <c r="BA87" s="29"/>
      <c r="BB87" s="38" t="str">
        <f aca="false">IF($C87="","",IF(OR(F87="Completed",F87="Cancelled"),"",IF(AND(OR(F87="On Hold",ISNUMBER(VALUE(LEFT(H87,2)))),BA87=""),"Reason not given","")))</f>
        <v/>
      </c>
      <c r="BC87" s="30"/>
    </row>
    <row r="88" customFormat="false" ht="19.5" hidden="false" customHeight="true" outlineLevel="0" collapsed="false">
      <c r="A88" s="28" t="str">
        <f aca="false">IF($C88="","",COUNTA($C$6:$C88))</f>
        <v/>
      </c>
      <c r="B88" s="29"/>
      <c r="C88" s="30"/>
      <c r="D88" s="29"/>
      <c r="E88" s="31" t="str">
        <f aca="false">IF($C88="","",IF(NOT(OR(M88="Completed",M88="NA",M88="Cancelled")),"S1 Schematic",IF(NOT(OR(R88="Completed",R88="NA",R88="Cancelled")),"S2 PCB Layout",IF(NOT(OR(W88="Completed",W88="NA",W88="Cancelled")),"S3 SI &amp; PI",IF(NOT(OR(AB88="Completed",AB88="NA",AB88="Cancelled")),"S4 Bare-PCB Fab",IF(NOT(OR(AG88="Completed",AG88="NA",AG88="Cancelled")),"S5 Assembly",IF(NOT(OR(AL88="Completed",AL88="NA",AL88="Cancelled")),"S6 Bring-up",IF(NOT(OR(AQ88="Completed",AQ88="NA",AQ88="Cancelled")),"S7 BOM Procurement","All Stages Closed"))))))))</f>
        <v/>
      </c>
      <c r="F88" s="32" t="str">
        <f aca="false">IF($C88="","",IF(COUNTIF(M88,"Cancelled")+COUNTIF(R88,"Cancelled")+COUNTIF(W88,"Cancelled")+COUNTIF(AB88,"Cancelled")+COUNTIF(AG88,"Cancelled")+COUNTIF(AL88,"Cancelled")+COUNTIF(AQ88,"Cancelled")&gt;0,"Cancelled",IF(E88="All Stages Closed","Completed",IF(E88="S1 Schematic",M88,IF(E88="S2 PCB Layout",R88,IF(E88="S3 SI &amp; PI",W88,IF(E88="S4 Bare-PCB Fab",AB88,IF(E88="S5 Assembly",AG88,IF(E88="S6 Bring-up",AL88,AQ88)))))))))</f>
        <v/>
      </c>
      <c r="G88" s="33" t="str">
        <f aca="false">IF($C88="","",IF(E88="All Stages Closed","",IF(E88="S1 Schematic",IF(N88="","Not added",N88),IF(E88="S2 PCB Layout",IF(S88="","Not added",S88),IF(E88="S3 SI &amp; PI",IF(X88="","Not added",X88),IF(E88="S4 Bare-PCB Fab",IF(AC88="","Not added",AC88),IF(E88="S5 Assembly",IF(AH88="","Not added",AH88),IF(E88="S6 Bring-up",IF(AM88="","Not added",AM88),IF(AR88="","Not added",AR88)))))))))</f>
        <v/>
      </c>
      <c r="H88" s="32" t="str">
        <f aca="true">IF($C88="","",IF(OR(F88="Completed",F88="Cancelled"),"",IF(NOT(ISNUMBER(G88)),"No date set",IF(TODAY()&gt;G88,TODAY()-G88&amp;" days late",G88-TODAY()&amp;" days left"))))</f>
        <v/>
      </c>
      <c r="I88" s="31" t="str">
        <f aca="false">IF($C88="","",COUNTIF(M88,"Completed")+COUNTIF(R88,"Completed")+COUNTIF(W88,"Completed")+COUNTIF(AB88,"Completed")+COUNTIF(AG88,"Completed")+COUNTIF(AL88,"Completed")+COUNTIF(AQ88,"Completed"))</f>
        <v/>
      </c>
      <c r="J88" s="31" t="str">
        <f aca="false">IF($C88="","",7-(COUNTIF(M88,"NA")+COUNTIF(R88,"NA")+COUNTIF(W88,"NA")+COUNTIF(AB88,"NA")+COUNTIF(AG88,"NA")+COUNTIF(AL88,"NA")+COUNTIF(AQ88,"NA")))</f>
        <v/>
      </c>
      <c r="K88" s="34" t="str">
        <f aca="false">IFERROR(I88/J88,"")</f>
        <v/>
      </c>
      <c r="L88" s="29"/>
      <c r="M88" s="35"/>
      <c r="N88" s="36"/>
      <c r="O88" s="36"/>
      <c r="P88" s="30"/>
      <c r="Q88" s="29"/>
      <c r="R88" s="35"/>
      <c r="S88" s="36"/>
      <c r="T88" s="36"/>
      <c r="U88" s="30"/>
      <c r="V88" s="29"/>
      <c r="W88" s="35"/>
      <c r="X88" s="36"/>
      <c r="Y88" s="36"/>
      <c r="Z88" s="30"/>
      <c r="AA88" s="29"/>
      <c r="AB88" s="35"/>
      <c r="AC88" s="36"/>
      <c r="AD88" s="36"/>
      <c r="AE88" s="30"/>
      <c r="AF88" s="29"/>
      <c r="AG88" s="35"/>
      <c r="AH88" s="36"/>
      <c r="AI88" s="36"/>
      <c r="AJ88" s="30"/>
      <c r="AK88" s="29"/>
      <c r="AL88" s="35"/>
      <c r="AM88" s="36"/>
      <c r="AN88" s="36"/>
      <c r="AO88" s="30"/>
      <c r="AP88" s="29"/>
      <c r="AQ88" s="35"/>
      <c r="AR88" s="36"/>
      <c r="AS88" s="36"/>
      <c r="AT88" s="30"/>
      <c r="AU88" s="29"/>
      <c r="AV88" s="29"/>
      <c r="AW88" s="29"/>
      <c r="AX88" s="37"/>
      <c r="AY88" s="39" t="str">
        <f aca="false">IF(AU88&lt;&gt;"Yes","",IF(AV88="","SELECT RE-ENTRY STAGE","MOVE TO ACTIVE at "&amp;AV88))</f>
        <v/>
      </c>
      <c r="AZ88" s="40" t="str">
        <f aca="false">IF(AU88="Yes",COUNTIF($AU$6:AU88,"Yes"),"")</f>
        <v/>
      </c>
      <c r="BA88" s="29"/>
      <c r="BB88" s="38" t="str">
        <f aca="false">IF($C88="","",IF(OR(F88="Completed",F88="Cancelled"),"",IF(AND(OR(F88="On Hold",ISNUMBER(VALUE(LEFT(H88,2)))),BA88=""),"Reason not given","")))</f>
        <v/>
      </c>
      <c r="BC88" s="30"/>
    </row>
    <row r="89" customFormat="false" ht="19.5" hidden="false" customHeight="true" outlineLevel="0" collapsed="false">
      <c r="A89" s="28" t="str">
        <f aca="false">IF($C89="","",COUNTA($C$6:$C89))</f>
        <v/>
      </c>
      <c r="B89" s="29"/>
      <c r="C89" s="30"/>
      <c r="D89" s="29"/>
      <c r="E89" s="31" t="str">
        <f aca="false">IF($C89="","",IF(NOT(OR(M89="Completed",M89="NA",M89="Cancelled")),"S1 Schematic",IF(NOT(OR(R89="Completed",R89="NA",R89="Cancelled")),"S2 PCB Layout",IF(NOT(OR(W89="Completed",W89="NA",W89="Cancelled")),"S3 SI &amp; PI",IF(NOT(OR(AB89="Completed",AB89="NA",AB89="Cancelled")),"S4 Bare-PCB Fab",IF(NOT(OR(AG89="Completed",AG89="NA",AG89="Cancelled")),"S5 Assembly",IF(NOT(OR(AL89="Completed",AL89="NA",AL89="Cancelled")),"S6 Bring-up",IF(NOT(OR(AQ89="Completed",AQ89="NA",AQ89="Cancelled")),"S7 BOM Procurement","All Stages Closed"))))))))</f>
        <v/>
      </c>
      <c r="F89" s="32" t="str">
        <f aca="false">IF($C89="","",IF(COUNTIF(M89,"Cancelled")+COUNTIF(R89,"Cancelled")+COUNTIF(W89,"Cancelled")+COUNTIF(AB89,"Cancelled")+COUNTIF(AG89,"Cancelled")+COUNTIF(AL89,"Cancelled")+COUNTIF(AQ89,"Cancelled")&gt;0,"Cancelled",IF(E89="All Stages Closed","Completed",IF(E89="S1 Schematic",M89,IF(E89="S2 PCB Layout",R89,IF(E89="S3 SI &amp; PI",W89,IF(E89="S4 Bare-PCB Fab",AB89,IF(E89="S5 Assembly",AG89,IF(E89="S6 Bring-up",AL89,AQ89)))))))))</f>
        <v/>
      </c>
      <c r="G89" s="33" t="str">
        <f aca="false">IF($C89="","",IF(E89="All Stages Closed","",IF(E89="S1 Schematic",IF(N89="","Not added",N89),IF(E89="S2 PCB Layout",IF(S89="","Not added",S89),IF(E89="S3 SI &amp; PI",IF(X89="","Not added",X89),IF(E89="S4 Bare-PCB Fab",IF(AC89="","Not added",AC89),IF(E89="S5 Assembly",IF(AH89="","Not added",AH89),IF(E89="S6 Bring-up",IF(AM89="","Not added",AM89),IF(AR89="","Not added",AR89)))))))))</f>
        <v/>
      </c>
      <c r="H89" s="32" t="str">
        <f aca="true">IF($C89="","",IF(OR(F89="Completed",F89="Cancelled"),"",IF(NOT(ISNUMBER(G89)),"No date set",IF(TODAY()&gt;G89,TODAY()-G89&amp;" days late",G89-TODAY()&amp;" days left"))))</f>
        <v/>
      </c>
      <c r="I89" s="31" t="str">
        <f aca="false">IF($C89="","",COUNTIF(M89,"Completed")+COUNTIF(R89,"Completed")+COUNTIF(W89,"Completed")+COUNTIF(AB89,"Completed")+COUNTIF(AG89,"Completed")+COUNTIF(AL89,"Completed")+COUNTIF(AQ89,"Completed"))</f>
        <v/>
      </c>
      <c r="J89" s="31" t="str">
        <f aca="false">IF($C89="","",7-(COUNTIF(M89,"NA")+COUNTIF(R89,"NA")+COUNTIF(W89,"NA")+COUNTIF(AB89,"NA")+COUNTIF(AG89,"NA")+COUNTIF(AL89,"NA")+COUNTIF(AQ89,"NA")))</f>
        <v/>
      </c>
      <c r="K89" s="34" t="str">
        <f aca="false">IFERROR(I89/J89,"")</f>
        <v/>
      </c>
      <c r="L89" s="29"/>
      <c r="M89" s="35"/>
      <c r="N89" s="36"/>
      <c r="O89" s="36"/>
      <c r="P89" s="30"/>
      <c r="Q89" s="29"/>
      <c r="R89" s="35"/>
      <c r="S89" s="36"/>
      <c r="T89" s="36"/>
      <c r="U89" s="30"/>
      <c r="V89" s="29"/>
      <c r="W89" s="35"/>
      <c r="X89" s="36"/>
      <c r="Y89" s="36"/>
      <c r="Z89" s="30"/>
      <c r="AA89" s="29"/>
      <c r="AB89" s="35"/>
      <c r="AC89" s="36"/>
      <c r="AD89" s="36"/>
      <c r="AE89" s="30"/>
      <c r="AF89" s="29"/>
      <c r="AG89" s="35"/>
      <c r="AH89" s="36"/>
      <c r="AI89" s="36"/>
      <c r="AJ89" s="30"/>
      <c r="AK89" s="29"/>
      <c r="AL89" s="35"/>
      <c r="AM89" s="36"/>
      <c r="AN89" s="36"/>
      <c r="AO89" s="30"/>
      <c r="AP89" s="29"/>
      <c r="AQ89" s="35"/>
      <c r="AR89" s="36"/>
      <c r="AS89" s="36"/>
      <c r="AT89" s="30"/>
      <c r="AU89" s="29"/>
      <c r="AV89" s="29"/>
      <c r="AW89" s="29"/>
      <c r="AX89" s="37"/>
      <c r="AY89" s="39" t="str">
        <f aca="false">IF(AU89&lt;&gt;"Yes","",IF(AV89="","SELECT RE-ENTRY STAGE","MOVE TO ACTIVE at "&amp;AV89))</f>
        <v/>
      </c>
      <c r="AZ89" s="40" t="str">
        <f aca="false">IF(AU89="Yes",COUNTIF($AU$6:AU89,"Yes"),"")</f>
        <v/>
      </c>
      <c r="BA89" s="29"/>
      <c r="BB89" s="38" t="str">
        <f aca="false">IF($C89="","",IF(OR(F89="Completed",F89="Cancelled"),"",IF(AND(OR(F89="On Hold",ISNUMBER(VALUE(LEFT(H89,2)))),BA89=""),"Reason not given","")))</f>
        <v/>
      </c>
      <c r="BC89" s="30"/>
    </row>
    <row r="90" customFormat="false" ht="19.5" hidden="false" customHeight="true" outlineLevel="0" collapsed="false">
      <c r="A90" s="28" t="str">
        <f aca="false">IF($C90="","",COUNTA($C$6:$C90))</f>
        <v/>
      </c>
      <c r="B90" s="29"/>
      <c r="C90" s="30"/>
      <c r="D90" s="29"/>
      <c r="E90" s="31" t="str">
        <f aca="false">IF($C90="","",IF(NOT(OR(M90="Completed",M90="NA",M90="Cancelled")),"S1 Schematic",IF(NOT(OR(R90="Completed",R90="NA",R90="Cancelled")),"S2 PCB Layout",IF(NOT(OR(W90="Completed",W90="NA",W90="Cancelled")),"S3 SI &amp; PI",IF(NOT(OR(AB90="Completed",AB90="NA",AB90="Cancelled")),"S4 Bare-PCB Fab",IF(NOT(OR(AG90="Completed",AG90="NA",AG90="Cancelled")),"S5 Assembly",IF(NOT(OR(AL90="Completed",AL90="NA",AL90="Cancelled")),"S6 Bring-up",IF(NOT(OR(AQ90="Completed",AQ90="NA",AQ90="Cancelled")),"S7 BOM Procurement","All Stages Closed"))))))))</f>
        <v/>
      </c>
      <c r="F90" s="32" t="str">
        <f aca="false">IF($C90="","",IF(COUNTIF(M90,"Cancelled")+COUNTIF(R90,"Cancelled")+COUNTIF(W90,"Cancelled")+COUNTIF(AB90,"Cancelled")+COUNTIF(AG90,"Cancelled")+COUNTIF(AL90,"Cancelled")+COUNTIF(AQ90,"Cancelled")&gt;0,"Cancelled",IF(E90="All Stages Closed","Completed",IF(E90="S1 Schematic",M90,IF(E90="S2 PCB Layout",R90,IF(E90="S3 SI &amp; PI",W90,IF(E90="S4 Bare-PCB Fab",AB90,IF(E90="S5 Assembly",AG90,IF(E90="S6 Bring-up",AL90,AQ90)))))))))</f>
        <v/>
      </c>
      <c r="G90" s="33" t="str">
        <f aca="false">IF($C90="","",IF(E90="All Stages Closed","",IF(E90="S1 Schematic",IF(N90="","Not added",N90),IF(E90="S2 PCB Layout",IF(S90="","Not added",S90),IF(E90="S3 SI &amp; PI",IF(X90="","Not added",X90),IF(E90="S4 Bare-PCB Fab",IF(AC90="","Not added",AC90),IF(E90="S5 Assembly",IF(AH90="","Not added",AH90),IF(E90="S6 Bring-up",IF(AM90="","Not added",AM90),IF(AR90="","Not added",AR90)))))))))</f>
        <v/>
      </c>
      <c r="H90" s="32" t="str">
        <f aca="true">IF($C90="","",IF(OR(F90="Completed",F90="Cancelled"),"",IF(NOT(ISNUMBER(G90)),"No date set",IF(TODAY()&gt;G90,TODAY()-G90&amp;" days late",G90-TODAY()&amp;" days left"))))</f>
        <v/>
      </c>
      <c r="I90" s="31" t="str">
        <f aca="false">IF($C90="","",COUNTIF(M90,"Completed")+COUNTIF(R90,"Completed")+COUNTIF(W90,"Completed")+COUNTIF(AB90,"Completed")+COUNTIF(AG90,"Completed")+COUNTIF(AL90,"Completed")+COUNTIF(AQ90,"Completed"))</f>
        <v/>
      </c>
      <c r="J90" s="31" t="str">
        <f aca="false">IF($C90="","",7-(COUNTIF(M90,"NA")+COUNTIF(R90,"NA")+COUNTIF(W90,"NA")+COUNTIF(AB90,"NA")+COUNTIF(AG90,"NA")+COUNTIF(AL90,"NA")+COUNTIF(AQ90,"NA")))</f>
        <v/>
      </c>
      <c r="K90" s="34" t="str">
        <f aca="false">IFERROR(I90/J90,"")</f>
        <v/>
      </c>
      <c r="L90" s="29"/>
      <c r="M90" s="35"/>
      <c r="N90" s="36"/>
      <c r="O90" s="36"/>
      <c r="P90" s="30"/>
      <c r="Q90" s="29"/>
      <c r="R90" s="35"/>
      <c r="S90" s="36"/>
      <c r="T90" s="36"/>
      <c r="U90" s="30"/>
      <c r="V90" s="29"/>
      <c r="W90" s="35"/>
      <c r="X90" s="36"/>
      <c r="Y90" s="36"/>
      <c r="Z90" s="30"/>
      <c r="AA90" s="29"/>
      <c r="AB90" s="35"/>
      <c r="AC90" s="36"/>
      <c r="AD90" s="36"/>
      <c r="AE90" s="30"/>
      <c r="AF90" s="29"/>
      <c r="AG90" s="35"/>
      <c r="AH90" s="36"/>
      <c r="AI90" s="36"/>
      <c r="AJ90" s="30"/>
      <c r="AK90" s="29"/>
      <c r="AL90" s="35"/>
      <c r="AM90" s="36"/>
      <c r="AN90" s="36"/>
      <c r="AO90" s="30"/>
      <c r="AP90" s="29"/>
      <c r="AQ90" s="35"/>
      <c r="AR90" s="36"/>
      <c r="AS90" s="36"/>
      <c r="AT90" s="30"/>
      <c r="AU90" s="29"/>
      <c r="AV90" s="29"/>
      <c r="AW90" s="29"/>
      <c r="AX90" s="37"/>
      <c r="AY90" s="39" t="str">
        <f aca="false">IF(AU90&lt;&gt;"Yes","",IF(AV90="","SELECT RE-ENTRY STAGE","MOVE TO ACTIVE at "&amp;AV90))</f>
        <v/>
      </c>
      <c r="AZ90" s="40" t="str">
        <f aca="false">IF(AU90="Yes",COUNTIF($AU$6:AU90,"Yes"),"")</f>
        <v/>
      </c>
      <c r="BA90" s="29"/>
      <c r="BB90" s="38" t="str">
        <f aca="false">IF($C90="","",IF(OR(F90="Completed",F90="Cancelled"),"",IF(AND(OR(F90="On Hold",ISNUMBER(VALUE(LEFT(H90,2)))),BA90=""),"Reason not given","")))</f>
        <v/>
      </c>
      <c r="BC90" s="30"/>
    </row>
    <row r="91" customFormat="false" ht="19.5" hidden="false" customHeight="true" outlineLevel="0" collapsed="false">
      <c r="A91" s="28" t="str">
        <f aca="false">IF($C91="","",COUNTA($C$6:$C91))</f>
        <v/>
      </c>
      <c r="B91" s="29"/>
      <c r="C91" s="30"/>
      <c r="D91" s="29"/>
      <c r="E91" s="31" t="str">
        <f aca="false">IF($C91="","",IF(NOT(OR(M91="Completed",M91="NA",M91="Cancelled")),"S1 Schematic",IF(NOT(OR(R91="Completed",R91="NA",R91="Cancelled")),"S2 PCB Layout",IF(NOT(OR(W91="Completed",W91="NA",W91="Cancelled")),"S3 SI &amp; PI",IF(NOT(OR(AB91="Completed",AB91="NA",AB91="Cancelled")),"S4 Bare-PCB Fab",IF(NOT(OR(AG91="Completed",AG91="NA",AG91="Cancelled")),"S5 Assembly",IF(NOT(OR(AL91="Completed",AL91="NA",AL91="Cancelled")),"S6 Bring-up",IF(NOT(OR(AQ91="Completed",AQ91="NA",AQ91="Cancelled")),"S7 BOM Procurement","All Stages Closed"))))))))</f>
        <v/>
      </c>
      <c r="F91" s="32" t="str">
        <f aca="false">IF($C91="","",IF(COUNTIF(M91,"Cancelled")+COUNTIF(R91,"Cancelled")+COUNTIF(W91,"Cancelled")+COUNTIF(AB91,"Cancelled")+COUNTIF(AG91,"Cancelled")+COUNTIF(AL91,"Cancelled")+COUNTIF(AQ91,"Cancelled")&gt;0,"Cancelled",IF(E91="All Stages Closed","Completed",IF(E91="S1 Schematic",M91,IF(E91="S2 PCB Layout",R91,IF(E91="S3 SI &amp; PI",W91,IF(E91="S4 Bare-PCB Fab",AB91,IF(E91="S5 Assembly",AG91,IF(E91="S6 Bring-up",AL91,AQ91)))))))))</f>
        <v/>
      </c>
      <c r="G91" s="33" t="str">
        <f aca="false">IF($C91="","",IF(E91="All Stages Closed","",IF(E91="S1 Schematic",IF(N91="","Not added",N91),IF(E91="S2 PCB Layout",IF(S91="","Not added",S91),IF(E91="S3 SI &amp; PI",IF(X91="","Not added",X91),IF(E91="S4 Bare-PCB Fab",IF(AC91="","Not added",AC91),IF(E91="S5 Assembly",IF(AH91="","Not added",AH91),IF(E91="S6 Bring-up",IF(AM91="","Not added",AM91),IF(AR91="","Not added",AR91)))))))))</f>
        <v/>
      </c>
      <c r="H91" s="32" t="str">
        <f aca="true">IF($C91="","",IF(OR(F91="Completed",F91="Cancelled"),"",IF(NOT(ISNUMBER(G91)),"No date set",IF(TODAY()&gt;G91,TODAY()-G91&amp;" days late",G91-TODAY()&amp;" days left"))))</f>
        <v/>
      </c>
      <c r="I91" s="31" t="str">
        <f aca="false">IF($C91="","",COUNTIF(M91,"Completed")+COUNTIF(R91,"Completed")+COUNTIF(W91,"Completed")+COUNTIF(AB91,"Completed")+COUNTIF(AG91,"Completed")+COUNTIF(AL91,"Completed")+COUNTIF(AQ91,"Completed"))</f>
        <v/>
      </c>
      <c r="J91" s="31" t="str">
        <f aca="false">IF($C91="","",7-(COUNTIF(M91,"NA")+COUNTIF(R91,"NA")+COUNTIF(W91,"NA")+COUNTIF(AB91,"NA")+COUNTIF(AG91,"NA")+COUNTIF(AL91,"NA")+COUNTIF(AQ91,"NA")))</f>
        <v/>
      </c>
      <c r="K91" s="34" t="str">
        <f aca="false">IFERROR(I91/J91,"")</f>
        <v/>
      </c>
      <c r="L91" s="29"/>
      <c r="M91" s="35"/>
      <c r="N91" s="36"/>
      <c r="O91" s="36"/>
      <c r="P91" s="30"/>
      <c r="Q91" s="29"/>
      <c r="R91" s="35"/>
      <c r="S91" s="36"/>
      <c r="T91" s="36"/>
      <c r="U91" s="30"/>
      <c r="V91" s="29"/>
      <c r="W91" s="35"/>
      <c r="X91" s="36"/>
      <c r="Y91" s="36"/>
      <c r="Z91" s="30"/>
      <c r="AA91" s="29"/>
      <c r="AB91" s="35"/>
      <c r="AC91" s="36"/>
      <c r="AD91" s="36"/>
      <c r="AE91" s="30"/>
      <c r="AF91" s="29"/>
      <c r="AG91" s="35"/>
      <c r="AH91" s="36"/>
      <c r="AI91" s="36"/>
      <c r="AJ91" s="30"/>
      <c r="AK91" s="29"/>
      <c r="AL91" s="35"/>
      <c r="AM91" s="36"/>
      <c r="AN91" s="36"/>
      <c r="AO91" s="30"/>
      <c r="AP91" s="29"/>
      <c r="AQ91" s="35"/>
      <c r="AR91" s="36"/>
      <c r="AS91" s="36"/>
      <c r="AT91" s="30"/>
      <c r="AU91" s="29"/>
      <c r="AV91" s="29"/>
      <c r="AW91" s="29"/>
      <c r="AX91" s="37"/>
      <c r="AY91" s="39" t="str">
        <f aca="false">IF(AU91&lt;&gt;"Yes","",IF(AV91="","SELECT RE-ENTRY STAGE","MOVE TO ACTIVE at "&amp;AV91))</f>
        <v/>
      </c>
      <c r="AZ91" s="40" t="str">
        <f aca="false">IF(AU91="Yes",COUNTIF($AU$6:AU91,"Yes"),"")</f>
        <v/>
      </c>
      <c r="BA91" s="29"/>
      <c r="BB91" s="38" t="str">
        <f aca="false">IF($C91="","",IF(OR(F91="Completed",F91="Cancelled"),"",IF(AND(OR(F91="On Hold",ISNUMBER(VALUE(LEFT(H91,2)))),BA91=""),"Reason not given","")))</f>
        <v/>
      </c>
      <c r="BC91" s="30"/>
    </row>
    <row r="92" customFormat="false" ht="19.5" hidden="false" customHeight="true" outlineLevel="0" collapsed="false">
      <c r="A92" s="28" t="str">
        <f aca="false">IF($C92="","",COUNTA($C$6:$C92))</f>
        <v/>
      </c>
      <c r="B92" s="29"/>
      <c r="C92" s="30"/>
      <c r="D92" s="29"/>
      <c r="E92" s="31" t="str">
        <f aca="false">IF($C92="","",IF(NOT(OR(M92="Completed",M92="NA",M92="Cancelled")),"S1 Schematic",IF(NOT(OR(R92="Completed",R92="NA",R92="Cancelled")),"S2 PCB Layout",IF(NOT(OR(W92="Completed",W92="NA",W92="Cancelled")),"S3 SI &amp; PI",IF(NOT(OR(AB92="Completed",AB92="NA",AB92="Cancelled")),"S4 Bare-PCB Fab",IF(NOT(OR(AG92="Completed",AG92="NA",AG92="Cancelled")),"S5 Assembly",IF(NOT(OR(AL92="Completed",AL92="NA",AL92="Cancelled")),"S6 Bring-up",IF(NOT(OR(AQ92="Completed",AQ92="NA",AQ92="Cancelled")),"S7 BOM Procurement","All Stages Closed"))))))))</f>
        <v/>
      </c>
      <c r="F92" s="32" t="str">
        <f aca="false">IF($C92="","",IF(COUNTIF(M92,"Cancelled")+COUNTIF(R92,"Cancelled")+COUNTIF(W92,"Cancelled")+COUNTIF(AB92,"Cancelled")+COUNTIF(AG92,"Cancelled")+COUNTIF(AL92,"Cancelled")+COUNTIF(AQ92,"Cancelled")&gt;0,"Cancelled",IF(E92="All Stages Closed","Completed",IF(E92="S1 Schematic",M92,IF(E92="S2 PCB Layout",R92,IF(E92="S3 SI &amp; PI",W92,IF(E92="S4 Bare-PCB Fab",AB92,IF(E92="S5 Assembly",AG92,IF(E92="S6 Bring-up",AL92,AQ92)))))))))</f>
        <v/>
      </c>
      <c r="G92" s="33" t="str">
        <f aca="false">IF($C92="","",IF(E92="All Stages Closed","",IF(E92="S1 Schematic",IF(N92="","Not added",N92),IF(E92="S2 PCB Layout",IF(S92="","Not added",S92),IF(E92="S3 SI &amp; PI",IF(X92="","Not added",X92),IF(E92="S4 Bare-PCB Fab",IF(AC92="","Not added",AC92),IF(E92="S5 Assembly",IF(AH92="","Not added",AH92),IF(E92="S6 Bring-up",IF(AM92="","Not added",AM92),IF(AR92="","Not added",AR92)))))))))</f>
        <v/>
      </c>
      <c r="H92" s="32" t="str">
        <f aca="true">IF($C92="","",IF(OR(F92="Completed",F92="Cancelled"),"",IF(NOT(ISNUMBER(G92)),"No date set",IF(TODAY()&gt;G92,TODAY()-G92&amp;" days late",G92-TODAY()&amp;" days left"))))</f>
        <v/>
      </c>
      <c r="I92" s="31" t="str">
        <f aca="false">IF($C92="","",COUNTIF(M92,"Completed")+COUNTIF(R92,"Completed")+COUNTIF(W92,"Completed")+COUNTIF(AB92,"Completed")+COUNTIF(AG92,"Completed")+COUNTIF(AL92,"Completed")+COUNTIF(AQ92,"Completed"))</f>
        <v/>
      </c>
      <c r="J92" s="31" t="str">
        <f aca="false">IF($C92="","",7-(COUNTIF(M92,"NA")+COUNTIF(R92,"NA")+COUNTIF(W92,"NA")+COUNTIF(AB92,"NA")+COUNTIF(AG92,"NA")+COUNTIF(AL92,"NA")+COUNTIF(AQ92,"NA")))</f>
        <v/>
      </c>
      <c r="K92" s="34" t="str">
        <f aca="false">IFERROR(I92/J92,"")</f>
        <v/>
      </c>
      <c r="L92" s="29"/>
      <c r="M92" s="35"/>
      <c r="N92" s="36"/>
      <c r="O92" s="36"/>
      <c r="P92" s="30"/>
      <c r="Q92" s="29"/>
      <c r="R92" s="35"/>
      <c r="S92" s="36"/>
      <c r="T92" s="36"/>
      <c r="U92" s="30"/>
      <c r="V92" s="29"/>
      <c r="W92" s="35"/>
      <c r="X92" s="36"/>
      <c r="Y92" s="36"/>
      <c r="Z92" s="30"/>
      <c r="AA92" s="29"/>
      <c r="AB92" s="35"/>
      <c r="AC92" s="36"/>
      <c r="AD92" s="36"/>
      <c r="AE92" s="30"/>
      <c r="AF92" s="29"/>
      <c r="AG92" s="35"/>
      <c r="AH92" s="36"/>
      <c r="AI92" s="36"/>
      <c r="AJ92" s="30"/>
      <c r="AK92" s="29"/>
      <c r="AL92" s="35"/>
      <c r="AM92" s="36"/>
      <c r="AN92" s="36"/>
      <c r="AO92" s="30"/>
      <c r="AP92" s="29"/>
      <c r="AQ92" s="35"/>
      <c r="AR92" s="36"/>
      <c r="AS92" s="36"/>
      <c r="AT92" s="30"/>
      <c r="AU92" s="29"/>
      <c r="AV92" s="29"/>
      <c r="AW92" s="29"/>
      <c r="AX92" s="37"/>
      <c r="AY92" s="39" t="str">
        <f aca="false">IF(AU92&lt;&gt;"Yes","",IF(AV92="","SELECT RE-ENTRY STAGE","MOVE TO ACTIVE at "&amp;AV92))</f>
        <v/>
      </c>
      <c r="AZ92" s="40" t="str">
        <f aca="false">IF(AU92="Yes",COUNTIF($AU$6:AU92,"Yes"),"")</f>
        <v/>
      </c>
      <c r="BA92" s="29"/>
      <c r="BB92" s="38" t="str">
        <f aca="false">IF($C92="","",IF(OR(F92="Completed",F92="Cancelled"),"",IF(AND(OR(F92="On Hold",ISNUMBER(VALUE(LEFT(H92,2)))),BA92=""),"Reason not given","")))</f>
        <v/>
      </c>
      <c r="BC92" s="30"/>
    </row>
    <row r="93" customFormat="false" ht="19.5" hidden="false" customHeight="true" outlineLevel="0" collapsed="false">
      <c r="A93" s="28" t="str">
        <f aca="false">IF($C93="","",COUNTA($C$6:$C93))</f>
        <v/>
      </c>
      <c r="B93" s="29"/>
      <c r="C93" s="30"/>
      <c r="D93" s="29"/>
      <c r="E93" s="31" t="str">
        <f aca="false">IF($C93="","",IF(NOT(OR(M93="Completed",M93="NA",M93="Cancelled")),"S1 Schematic",IF(NOT(OR(R93="Completed",R93="NA",R93="Cancelled")),"S2 PCB Layout",IF(NOT(OR(W93="Completed",W93="NA",W93="Cancelled")),"S3 SI &amp; PI",IF(NOT(OR(AB93="Completed",AB93="NA",AB93="Cancelled")),"S4 Bare-PCB Fab",IF(NOT(OR(AG93="Completed",AG93="NA",AG93="Cancelled")),"S5 Assembly",IF(NOT(OR(AL93="Completed",AL93="NA",AL93="Cancelled")),"S6 Bring-up",IF(NOT(OR(AQ93="Completed",AQ93="NA",AQ93="Cancelled")),"S7 BOM Procurement","All Stages Closed"))))))))</f>
        <v/>
      </c>
      <c r="F93" s="32" t="str">
        <f aca="false">IF($C93="","",IF(COUNTIF(M93,"Cancelled")+COUNTIF(R93,"Cancelled")+COUNTIF(W93,"Cancelled")+COUNTIF(AB93,"Cancelled")+COUNTIF(AG93,"Cancelled")+COUNTIF(AL93,"Cancelled")+COUNTIF(AQ93,"Cancelled")&gt;0,"Cancelled",IF(E93="All Stages Closed","Completed",IF(E93="S1 Schematic",M93,IF(E93="S2 PCB Layout",R93,IF(E93="S3 SI &amp; PI",W93,IF(E93="S4 Bare-PCB Fab",AB93,IF(E93="S5 Assembly",AG93,IF(E93="S6 Bring-up",AL93,AQ93)))))))))</f>
        <v/>
      </c>
      <c r="G93" s="33" t="str">
        <f aca="false">IF($C93="","",IF(E93="All Stages Closed","",IF(E93="S1 Schematic",IF(N93="","Not added",N93),IF(E93="S2 PCB Layout",IF(S93="","Not added",S93),IF(E93="S3 SI &amp; PI",IF(X93="","Not added",X93),IF(E93="S4 Bare-PCB Fab",IF(AC93="","Not added",AC93),IF(E93="S5 Assembly",IF(AH93="","Not added",AH93),IF(E93="S6 Bring-up",IF(AM93="","Not added",AM93),IF(AR93="","Not added",AR93)))))))))</f>
        <v/>
      </c>
      <c r="H93" s="32" t="str">
        <f aca="true">IF($C93="","",IF(OR(F93="Completed",F93="Cancelled"),"",IF(NOT(ISNUMBER(G93)),"No date set",IF(TODAY()&gt;G93,TODAY()-G93&amp;" days late",G93-TODAY()&amp;" days left"))))</f>
        <v/>
      </c>
      <c r="I93" s="31" t="str">
        <f aca="false">IF($C93="","",COUNTIF(M93,"Completed")+COUNTIF(R93,"Completed")+COUNTIF(W93,"Completed")+COUNTIF(AB93,"Completed")+COUNTIF(AG93,"Completed")+COUNTIF(AL93,"Completed")+COUNTIF(AQ93,"Completed"))</f>
        <v/>
      </c>
      <c r="J93" s="31" t="str">
        <f aca="false">IF($C93="","",7-(COUNTIF(M93,"NA")+COUNTIF(R93,"NA")+COUNTIF(W93,"NA")+COUNTIF(AB93,"NA")+COUNTIF(AG93,"NA")+COUNTIF(AL93,"NA")+COUNTIF(AQ93,"NA")))</f>
        <v/>
      </c>
      <c r="K93" s="34" t="str">
        <f aca="false">IFERROR(I93/J93,"")</f>
        <v/>
      </c>
      <c r="L93" s="29"/>
      <c r="M93" s="35"/>
      <c r="N93" s="36"/>
      <c r="O93" s="36"/>
      <c r="P93" s="30"/>
      <c r="Q93" s="29"/>
      <c r="R93" s="35"/>
      <c r="S93" s="36"/>
      <c r="T93" s="36"/>
      <c r="U93" s="30"/>
      <c r="V93" s="29"/>
      <c r="W93" s="35"/>
      <c r="X93" s="36"/>
      <c r="Y93" s="36"/>
      <c r="Z93" s="30"/>
      <c r="AA93" s="29"/>
      <c r="AB93" s="35"/>
      <c r="AC93" s="36"/>
      <c r="AD93" s="36"/>
      <c r="AE93" s="30"/>
      <c r="AF93" s="29"/>
      <c r="AG93" s="35"/>
      <c r="AH93" s="36"/>
      <c r="AI93" s="36"/>
      <c r="AJ93" s="30"/>
      <c r="AK93" s="29"/>
      <c r="AL93" s="35"/>
      <c r="AM93" s="36"/>
      <c r="AN93" s="36"/>
      <c r="AO93" s="30"/>
      <c r="AP93" s="29"/>
      <c r="AQ93" s="35"/>
      <c r="AR93" s="36"/>
      <c r="AS93" s="36"/>
      <c r="AT93" s="30"/>
      <c r="AU93" s="29"/>
      <c r="AV93" s="29"/>
      <c r="AW93" s="29"/>
      <c r="AX93" s="37"/>
      <c r="AY93" s="39" t="str">
        <f aca="false">IF(AU93&lt;&gt;"Yes","",IF(AV93="","SELECT RE-ENTRY STAGE","MOVE TO ACTIVE at "&amp;AV93))</f>
        <v/>
      </c>
      <c r="AZ93" s="40" t="str">
        <f aca="false">IF(AU93="Yes",COUNTIF($AU$6:AU93,"Yes"),"")</f>
        <v/>
      </c>
      <c r="BA93" s="29"/>
      <c r="BB93" s="38" t="str">
        <f aca="false">IF($C93="","",IF(OR(F93="Completed",F93="Cancelled"),"",IF(AND(OR(F93="On Hold",ISNUMBER(VALUE(LEFT(H93,2)))),BA93=""),"Reason not given","")))</f>
        <v/>
      </c>
      <c r="BC93" s="30"/>
    </row>
    <row r="94" customFormat="false" ht="19.5" hidden="false" customHeight="true" outlineLevel="0" collapsed="false">
      <c r="A94" s="28" t="str">
        <f aca="false">IF($C94="","",COUNTA($C$6:$C94))</f>
        <v/>
      </c>
      <c r="B94" s="29"/>
      <c r="C94" s="30"/>
      <c r="D94" s="29"/>
      <c r="E94" s="31" t="str">
        <f aca="false">IF($C94="","",IF(NOT(OR(M94="Completed",M94="NA",M94="Cancelled")),"S1 Schematic",IF(NOT(OR(R94="Completed",R94="NA",R94="Cancelled")),"S2 PCB Layout",IF(NOT(OR(W94="Completed",W94="NA",W94="Cancelled")),"S3 SI &amp; PI",IF(NOT(OR(AB94="Completed",AB94="NA",AB94="Cancelled")),"S4 Bare-PCB Fab",IF(NOT(OR(AG94="Completed",AG94="NA",AG94="Cancelled")),"S5 Assembly",IF(NOT(OR(AL94="Completed",AL94="NA",AL94="Cancelled")),"S6 Bring-up",IF(NOT(OR(AQ94="Completed",AQ94="NA",AQ94="Cancelled")),"S7 BOM Procurement","All Stages Closed"))))))))</f>
        <v/>
      </c>
      <c r="F94" s="32" t="str">
        <f aca="false">IF($C94="","",IF(COUNTIF(M94,"Cancelled")+COUNTIF(R94,"Cancelled")+COUNTIF(W94,"Cancelled")+COUNTIF(AB94,"Cancelled")+COUNTIF(AG94,"Cancelled")+COUNTIF(AL94,"Cancelled")+COUNTIF(AQ94,"Cancelled")&gt;0,"Cancelled",IF(E94="All Stages Closed","Completed",IF(E94="S1 Schematic",M94,IF(E94="S2 PCB Layout",R94,IF(E94="S3 SI &amp; PI",W94,IF(E94="S4 Bare-PCB Fab",AB94,IF(E94="S5 Assembly",AG94,IF(E94="S6 Bring-up",AL94,AQ94)))))))))</f>
        <v/>
      </c>
      <c r="G94" s="33" t="str">
        <f aca="false">IF($C94="","",IF(E94="All Stages Closed","",IF(E94="S1 Schematic",IF(N94="","Not added",N94),IF(E94="S2 PCB Layout",IF(S94="","Not added",S94),IF(E94="S3 SI &amp; PI",IF(X94="","Not added",X94),IF(E94="S4 Bare-PCB Fab",IF(AC94="","Not added",AC94),IF(E94="S5 Assembly",IF(AH94="","Not added",AH94),IF(E94="S6 Bring-up",IF(AM94="","Not added",AM94),IF(AR94="","Not added",AR94)))))))))</f>
        <v/>
      </c>
      <c r="H94" s="32" t="str">
        <f aca="true">IF($C94="","",IF(OR(F94="Completed",F94="Cancelled"),"",IF(NOT(ISNUMBER(G94)),"No date set",IF(TODAY()&gt;G94,TODAY()-G94&amp;" days late",G94-TODAY()&amp;" days left"))))</f>
        <v/>
      </c>
      <c r="I94" s="31" t="str">
        <f aca="false">IF($C94="","",COUNTIF(M94,"Completed")+COUNTIF(R94,"Completed")+COUNTIF(W94,"Completed")+COUNTIF(AB94,"Completed")+COUNTIF(AG94,"Completed")+COUNTIF(AL94,"Completed")+COUNTIF(AQ94,"Completed"))</f>
        <v/>
      </c>
      <c r="J94" s="31" t="str">
        <f aca="false">IF($C94="","",7-(COUNTIF(M94,"NA")+COUNTIF(R94,"NA")+COUNTIF(W94,"NA")+COUNTIF(AB94,"NA")+COUNTIF(AG94,"NA")+COUNTIF(AL94,"NA")+COUNTIF(AQ94,"NA")))</f>
        <v/>
      </c>
      <c r="K94" s="34" t="str">
        <f aca="false">IFERROR(I94/J94,"")</f>
        <v/>
      </c>
      <c r="L94" s="29"/>
      <c r="M94" s="35"/>
      <c r="N94" s="36"/>
      <c r="O94" s="36"/>
      <c r="P94" s="30"/>
      <c r="Q94" s="29"/>
      <c r="R94" s="35"/>
      <c r="S94" s="36"/>
      <c r="T94" s="36"/>
      <c r="U94" s="30"/>
      <c r="V94" s="29"/>
      <c r="W94" s="35"/>
      <c r="X94" s="36"/>
      <c r="Y94" s="36"/>
      <c r="Z94" s="30"/>
      <c r="AA94" s="29"/>
      <c r="AB94" s="35"/>
      <c r="AC94" s="36"/>
      <c r="AD94" s="36"/>
      <c r="AE94" s="30"/>
      <c r="AF94" s="29"/>
      <c r="AG94" s="35"/>
      <c r="AH94" s="36"/>
      <c r="AI94" s="36"/>
      <c r="AJ94" s="30"/>
      <c r="AK94" s="29"/>
      <c r="AL94" s="35"/>
      <c r="AM94" s="36"/>
      <c r="AN94" s="36"/>
      <c r="AO94" s="30"/>
      <c r="AP94" s="29"/>
      <c r="AQ94" s="35"/>
      <c r="AR94" s="36"/>
      <c r="AS94" s="36"/>
      <c r="AT94" s="30"/>
      <c r="AU94" s="29"/>
      <c r="AV94" s="29"/>
      <c r="AW94" s="29"/>
      <c r="AX94" s="37"/>
      <c r="AY94" s="39" t="str">
        <f aca="false">IF(AU94&lt;&gt;"Yes","",IF(AV94="","SELECT RE-ENTRY STAGE","MOVE TO ACTIVE at "&amp;AV94))</f>
        <v/>
      </c>
      <c r="AZ94" s="40" t="str">
        <f aca="false">IF(AU94="Yes",COUNTIF($AU$6:AU94,"Yes"),"")</f>
        <v/>
      </c>
      <c r="BA94" s="29"/>
      <c r="BB94" s="38" t="str">
        <f aca="false">IF($C94="","",IF(OR(F94="Completed",F94="Cancelled"),"",IF(AND(OR(F94="On Hold",ISNUMBER(VALUE(LEFT(H94,2)))),BA94=""),"Reason not given","")))</f>
        <v/>
      </c>
      <c r="BC94" s="30"/>
    </row>
    <row r="95" customFormat="false" ht="19.5" hidden="false" customHeight="true" outlineLevel="0" collapsed="false">
      <c r="A95" s="28" t="str">
        <f aca="false">IF($C95="","",COUNTA($C$6:$C95))</f>
        <v/>
      </c>
      <c r="B95" s="29"/>
      <c r="C95" s="30"/>
      <c r="D95" s="29"/>
      <c r="E95" s="31" t="str">
        <f aca="false">IF($C95="","",IF(NOT(OR(M95="Completed",M95="NA",M95="Cancelled")),"S1 Schematic",IF(NOT(OR(R95="Completed",R95="NA",R95="Cancelled")),"S2 PCB Layout",IF(NOT(OR(W95="Completed",W95="NA",W95="Cancelled")),"S3 SI &amp; PI",IF(NOT(OR(AB95="Completed",AB95="NA",AB95="Cancelled")),"S4 Bare-PCB Fab",IF(NOT(OR(AG95="Completed",AG95="NA",AG95="Cancelled")),"S5 Assembly",IF(NOT(OR(AL95="Completed",AL95="NA",AL95="Cancelled")),"S6 Bring-up",IF(NOT(OR(AQ95="Completed",AQ95="NA",AQ95="Cancelled")),"S7 BOM Procurement","All Stages Closed"))))))))</f>
        <v/>
      </c>
      <c r="F95" s="32" t="str">
        <f aca="false">IF($C95="","",IF(COUNTIF(M95,"Cancelled")+COUNTIF(R95,"Cancelled")+COUNTIF(W95,"Cancelled")+COUNTIF(AB95,"Cancelled")+COUNTIF(AG95,"Cancelled")+COUNTIF(AL95,"Cancelled")+COUNTIF(AQ95,"Cancelled")&gt;0,"Cancelled",IF(E95="All Stages Closed","Completed",IF(E95="S1 Schematic",M95,IF(E95="S2 PCB Layout",R95,IF(E95="S3 SI &amp; PI",W95,IF(E95="S4 Bare-PCB Fab",AB95,IF(E95="S5 Assembly",AG95,IF(E95="S6 Bring-up",AL95,AQ95)))))))))</f>
        <v/>
      </c>
      <c r="G95" s="33" t="str">
        <f aca="false">IF($C95="","",IF(E95="All Stages Closed","",IF(E95="S1 Schematic",IF(N95="","Not added",N95),IF(E95="S2 PCB Layout",IF(S95="","Not added",S95),IF(E95="S3 SI &amp; PI",IF(X95="","Not added",X95),IF(E95="S4 Bare-PCB Fab",IF(AC95="","Not added",AC95),IF(E95="S5 Assembly",IF(AH95="","Not added",AH95),IF(E95="S6 Bring-up",IF(AM95="","Not added",AM95),IF(AR95="","Not added",AR95)))))))))</f>
        <v/>
      </c>
      <c r="H95" s="32" t="str">
        <f aca="true">IF($C95="","",IF(OR(F95="Completed",F95="Cancelled"),"",IF(NOT(ISNUMBER(G95)),"No date set",IF(TODAY()&gt;G95,TODAY()-G95&amp;" days late",G95-TODAY()&amp;" days left"))))</f>
        <v/>
      </c>
      <c r="I95" s="31" t="str">
        <f aca="false">IF($C95="","",COUNTIF(M95,"Completed")+COUNTIF(R95,"Completed")+COUNTIF(W95,"Completed")+COUNTIF(AB95,"Completed")+COUNTIF(AG95,"Completed")+COUNTIF(AL95,"Completed")+COUNTIF(AQ95,"Completed"))</f>
        <v/>
      </c>
      <c r="J95" s="31" t="str">
        <f aca="false">IF($C95="","",7-(COUNTIF(M95,"NA")+COUNTIF(R95,"NA")+COUNTIF(W95,"NA")+COUNTIF(AB95,"NA")+COUNTIF(AG95,"NA")+COUNTIF(AL95,"NA")+COUNTIF(AQ95,"NA")))</f>
        <v/>
      </c>
      <c r="K95" s="34" t="str">
        <f aca="false">IFERROR(I95/J95,"")</f>
        <v/>
      </c>
      <c r="L95" s="29"/>
      <c r="M95" s="35"/>
      <c r="N95" s="36"/>
      <c r="O95" s="36"/>
      <c r="P95" s="30"/>
      <c r="Q95" s="29"/>
      <c r="R95" s="35"/>
      <c r="S95" s="36"/>
      <c r="T95" s="36"/>
      <c r="U95" s="30"/>
      <c r="V95" s="29"/>
      <c r="W95" s="35"/>
      <c r="X95" s="36"/>
      <c r="Y95" s="36"/>
      <c r="Z95" s="30"/>
      <c r="AA95" s="29"/>
      <c r="AB95" s="35"/>
      <c r="AC95" s="36"/>
      <c r="AD95" s="36"/>
      <c r="AE95" s="30"/>
      <c r="AF95" s="29"/>
      <c r="AG95" s="35"/>
      <c r="AH95" s="36"/>
      <c r="AI95" s="36"/>
      <c r="AJ95" s="30"/>
      <c r="AK95" s="29"/>
      <c r="AL95" s="35"/>
      <c r="AM95" s="36"/>
      <c r="AN95" s="36"/>
      <c r="AO95" s="30"/>
      <c r="AP95" s="29"/>
      <c r="AQ95" s="35"/>
      <c r="AR95" s="36"/>
      <c r="AS95" s="36"/>
      <c r="AT95" s="30"/>
      <c r="AU95" s="29"/>
      <c r="AV95" s="29"/>
      <c r="AW95" s="29"/>
      <c r="AX95" s="37"/>
      <c r="AY95" s="39" t="str">
        <f aca="false">IF(AU95&lt;&gt;"Yes","",IF(AV95="","SELECT RE-ENTRY STAGE","MOVE TO ACTIVE at "&amp;AV95))</f>
        <v/>
      </c>
      <c r="AZ95" s="40" t="str">
        <f aca="false">IF(AU95="Yes",COUNTIF($AU$6:AU95,"Yes"),"")</f>
        <v/>
      </c>
      <c r="BA95" s="29"/>
      <c r="BB95" s="38" t="str">
        <f aca="false">IF($C95="","",IF(OR(F95="Completed",F95="Cancelled"),"",IF(AND(OR(F95="On Hold",ISNUMBER(VALUE(LEFT(H95,2)))),BA95=""),"Reason not given","")))</f>
        <v/>
      </c>
      <c r="BC95" s="30"/>
    </row>
    <row r="96" customFormat="false" ht="19.5" hidden="false" customHeight="true" outlineLevel="0" collapsed="false">
      <c r="A96" s="28" t="str">
        <f aca="false">IF($C96="","",COUNTA($C$6:$C96))</f>
        <v/>
      </c>
      <c r="B96" s="29"/>
      <c r="C96" s="30"/>
      <c r="D96" s="29"/>
      <c r="E96" s="31" t="str">
        <f aca="false">IF($C96="","",IF(NOT(OR(M96="Completed",M96="NA",M96="Cancelled")),"S1 Schematic",IF(NOT(OR(R96="Completed",R96="NA",R96="Cancelled")),"S2 PCB Layout",IF(NOT(OR(W96="Completed",W96="NA",W96="Cancelled")),"S3 SI &amp; PI",IF(NOT(OR(AB96="Completed",AB96="NA",AB96="Cancelled")),"S4 Bare-PCB Fab",IF(NOT(OR(AG96="Completed",AG96="NA",AG96="Cancelled")),"S5 Assembly",IF(NOT(OR(AL96="Completed",AL96="NA",AL96="Cancelled")),"S6 Bring-up",IF(NOT(OR(AQ96="Completed",AQ96="NA",AQ96="Cancelled")),"S7 BOM Procurement","All Stages Closed"))))))))</f>
        <v/>
      </c>
      <c r="F96" s="32" t="str">
        <f aca="false">IF($C96="","",IF(COUNTIF(M96,"Cancelled")+COUNTIF(R96,"Cancelled")+COUNTIF(W96,"Cancelled")+COUNTIF(AB96,"Cancelled")+COUNTIF(AG96,"Cancelled")+COUNTIF(AL96,"Cancelled")+COUNTIF(AQ96,"Cancelled")&gt;0,"Cancelled",IF(E96="All Stages Closed","Completed",IF(E96="S1 Schematic",M96,IF(E96="S2 PCB Layout",R96,IF(E96="S3 SI &amp; PI",W96,IF(E96="S4 Bare-PCB Fab",AB96,IF(E96="S5 Assembly",AG96,IF(E96="S6 Bring-up",AL96,AQ96)))))))))</f>
        <v/>
      </c>
      <c r="G96" s="33" t="str">
        <f aca="false">IF($C96="","",IF(E96="All Stages Closed","",IF(E96="S1 Schematic",IF(N96="","Not added",N96),IF(E96="S2 PCB Layout",IF(S96="","Not added",S96),IF(E96="S3 SI &amp; PI",IF(X96="","Not added",X96),IF(E96="S4 Bare-PCB Fab",IF(AC96="","Not added",AC96),IF(E96="S5 Assembly",IF(AH96="","Not added",AH96),IF(E96="S6 Bring-up",IF(AM96="","Not added",AM96),IF(AR96="","Not added",AR96)))))))))</f>
        <v/>
      </c>
      <c r="H96" s="32" t="str">
        <f aca="true">IF($C96="","",IF(OR(F96="Completed",F96="Cancelled"),"",IF(NOT(ISNUMBER(G96)),"No date set",IF(TODAY()&gt;G96,TODAY()-G96&amp;" days late",G96-TODAY()&amp;" days left"))))</f>
        <v/>
      </c>
      <c r="I96" s="31" t="str">
        <f aca="false">IF($C96="","",COUNTIF(M96,"Completed")+COUNTIF(R96,"Completed")+COUNTIF(W96,"Completed")+COUNTIF(AB96,"Completed")+COUNTIF(AG96,"Completed")+COUNTIF(AL96,"Completed")+COUNTIF(AQ96,"Completed"))</f>
        <v/>
      </c>
      <c r="J96" s="31" t="str">
        <f aca="false">IF($C96="","",7-(COUNTIF(M96,"NA")+COUNTIF(R96,"NA")+COUNTIF(W96,"NA")+COUNTIF(AB96,"NA")+COUNTIF(AG96,"NA")+COUNTIF(AL96,"NA")+COUNTIF(AQ96,"NA")))</f>
        <v/>
      </c>
      <c r="K96" s="34" t="str">
        <f aca="false">IFERROR(I96/J96,"")</f>
        <v/>
      </c>
      <c r="L96" s="29"/>
      <c r="M96" s="35"/>
      <c r="N96" s="36"/>
      <c r="O96" s="36"/>
      <c r="P96" s="30"/>
      <c r="Q96" s="29"/>
      <c r="R96" s="35"/>
      <c r="S96" s="36"/>
      <c r="T96" s="36"/>
      <c r="U96" s="30"/>
      <c r="V96" s="29"/>
      <c r="W96" s="35"/>
      <c r="X96" s="36"/>
      <c r="Y96" s="36"/>
      <c r="Z96" s="30"/>
      <c r="AA96" s="29"/>
      <c r="AB96" s="35"/>
      <c r="AC96" s="36"/>
      <c r="AD96" s="36"/>
      <c r="AE96" s="30"/>
      <c r="AF96" s="29"/>
      <c r="AG96" s="35"/>
      <c r="AH96" s="36"/>
      <c r="AI96" s="36"/>
      <c r="AJ96" s="30"/>
      <c r="AK96" s="29"/>
      <c r="AL96" s="35"/>
      <c r="AM96" s="36"/>
      <c r="AN96" s="36"/>
      <c r="AO96" s="30"/>
      <c r="AP96" s="29"/>
      <c r="AQ96" s="35"/>
      <c r="AR96" s="36"/>
      <c r="AS96" s="36"/>
      <c r="AT96" s="30"/>
      <c r="AU96" s="29"/>
      <c r="AV96" s="29"/>
      <c r="AW96" s="29"/>
      <c r="AX96" s="37"/>
      <c r="AY96" s="39" t="str">
        <f aca="false">IF(AU96&lt;&gt;"Yes","",IF(AV96="","SELECT RE-ENTRY STAGE","MOVE TO ACTIVE at "&amp;AV96))</f>
        <v/>
      </c>
      <c r="AZ96" s="40" t="str">
        <f aca="false">IF(AU96="Yes",COUNTIF($AU$6:AU96,"Yes"),"")</f>
        <v/>
      </c>
      <c r="BA96" s="29"/>
      <c r="BB96" s="38" t="str">
        <f aca="false">IF($C96="","",IF(OR(F96="Completed",F96="Cancelled"),"",IF(AND(OR(F96="On Hold",ISNUMBER(VALUE(LEFT(H96,2)))),BA96=""),"Reason not given","")))</f>
        <v/>
      </c>
      <c r="BC96" s="30"/>
    </row>
    <row r="97" customFormat="false" ht="19.5" hidden="false" customHeight="true" outlineLevel="0" collapsed="false">
      <c r="A97" s="28" t="str">
        <f aca="false">IF($C97="","",COUNTA($C$6:$C97))</f>
        <v/>
      </c>
      <c r="B97" s="29"/>
      <c r="C97" s="30"/>
      <c r="D97" s="29"/>
      <c r="E97" s="31" t="str">
        <f aca="false">IF($C97="","",IF(NOT(OR(M97="Completed",M97="NA",M97="Cancelled")),"S1 Schematic",IF(NOT(OR(R97="Completed",R97="NA",R97="Cancelled")),"S2 PCB Layout",IF(NOT(OR(W97="Completed",W97="NA",W97="Cancelled")),"S3 SI &amp; PI",IF(NOT(OR(AB97="Completed",AB97="NA",AB97="Cancelled")),"S4 Bare-PCB Fab",IF(NOT(OR(AG97="Completed",AG97="NA",AG97="Cancelled")),"S5 Assembly",IF(NOT(OR(AL97="Completed",AL97="NA",AL97="Cancelled")),"S6 Bring-up",IF(NOT(OR(AQ97="Completed",AQ97="NA",AQ97="Cancelled")),"S7 BOM Procurement","All Stages Closed"))))))))</f>
        <v/>
      </c>
      <c r="F97" s="32" t="str">
        <f aca="false">IF($C97="","",IF(COUNTIF(M97,"Cancelled")+COUNTIF(R97,"Cancelled")+COUNTIF(W97,"Cancelled")+COUNTIF(AB97,"Cancelled")+COUNTIF(AG97,"Cancelled")+COUNTIF(AL97,"Cancelled")+COUNTIF(AQ97,"Cancelled")&gt;0,"Cancelled",IF(E97="All Stages Closed","Completed",IF(E97="S1 Schematic",M97,IF(E97="S2 PCB Layout",R97,IF(E97="S3 SI &amp; PI",W97,IF(E97="S4 Bare-PCB Fab",AB97,IF(E97="S5 Assembly",AG97,IF(E97="S6 Bring-up",AL97,AQ97)))))))))</f>
        <v/>
      </c>
      <c r="G97" s="33" t="str">
        <f aca="false">IF($C97="","",IF(E97="All Stages Closed","",IF(E97="S1 Schematic",IF(N97="","Not added",N97),IF(E97="S2 PCB Layout",IF(S97="","Not added",S97),IF(E97="S3 SI &amp; PI",IF(X97="","Not added",X97),IF(E97="S4 Bare-PCB Fab",IF(AC97="","Not added",AC97),IF(E97="S5 Assembly",IF(AH97="","Not added",AH97),IF(E97="S6 Bring-up",IF(AM97="","Not added",AM97),IF(AR97="","Not added",AR97)))))))))</f>
        <v/>
      </c>
      <c r="H97" s="32" t="str">
        <f aca="true">IF($C97="","",IF(OR(F97="Completed",F97="Cancelled"),"",IF(NOT(ISNUMBER(G97)),"No date set",IF(TODAY()&gt;G97,TODAY()-G97&amp;" days late",G97-TODAY()&amp;" days left"))))</f>
        <v/>
      </c>
      <c r="I97" s="31" t="str">
        <f aca="false">IF($C97="","",COUNTIF(M97,"Completed")+COUNTIF(R97,"Completed")+COUNTIF(W97,"Completed")+COUNTIF(AB97,"Completed")+COUNTIF(AG97,"Completed")+COUNTIF(AL97,"Completed")+COUNTIF(AQ97,"Completed"))</f>
        <v/>
      </c>
      <c r="J97" s="31" t="str">
        <f aca="false">IF($C97="","",7-(COUNTIF(M97,"NA")+COUNTIF(R97,"NA")+COUNTIF(W97,"NA")+COUNTIF(AB97,"NA")+COUNTIF(AG97,"NA")+COUNTIF(AL97,"NA")+COUNTIF(AQ97,"NA")))</f>
        <v/>
      </c>
      <c r="K97" s="34" t="str">
        <f aca="false">IFERROR(I97/J97,"")</f>
        <v/>
      </c>
      <c r="L97" s="29"/>
      <c r="M97" s="35"/>
      <c r="N97" s="36"/>
      <c r="O97" s="36"/>
      <c r="P97" s="30"/>
      <c r="Q97" s="29"/>
      <c r="R97" s="35"/>
      <c r="S97" s="36"/>
      <c r="T97" s="36"/>
      <c r="U97" s="30"/>
      <c r="V97" s="29"/>
      <c r="W97" s="35"/>
      <c r="X97" s="36"/>
      <c r="Y97" s="36"/>
      <c r="Z97" s="30"/>
      <c r="AA97" s="29"/>
      <c r="AB97" s="35"/>
      <c r="AC97" s="36"/>
      <c r="AD97" s="36"/>
      <c r="AE97" s="30"/>
      <c r="AF97" s="29"/>
      <c r="AG97" s="35"/>
      <c r="AH97" s="36"/>
      <c r="AI97" s="36"/>
      <c r="AJ97" s="30"/>
      <c r="AK97" s="29"/>
      <c r="AL97" s="35"/>
      <c r="AM97" s="36"/>
      <c r="AN97" s="36"/>
      <c r="AO97" s="30"/>
      <c r="AP97" s="29"/>
      <c r="AQ97" s="35"/>
      <c r="AR97" s="36"/>
      <c r="AS97" s="36"/>
      <c r="AT97" s="30"/>
      <c r="AU97" s="29"/>
      <c r="AV97" s="29"/>
      <c r="AW97" s="29"/>
      <c r="AX97" s="37"/>
      <c r="AY97" s="39" t="str">
        <f aca="false">IF(AU97&lt;&gt;"Yes","",IF(AV97="","SELECT RE-ENTRY STAGE","MOVE TO ACTIVE at "&amp;AV97))</f>
        <v/>
      </c>
      <c r="AZ97" s="40" t="str">
        <f aca="false">IF(AU97="Yes",COUNTIF($AU$6:AU97,"Yes"),"")</f>
        <v/>
      </c>
      <c r="BA97" s="29"/>
      <c r="BB97" s="38" t="str">
        <f aca="false">IF($C97="","",IF(OR(F97="Completed",F97="Cancelled"),"",IF(AND(OR(F97="On Hold",ISNUMBER(VALUE(LEFT(H97,2)))),BA97=""),"Reason not given","")))</f>
        <v/>
      </c>
      <c r="BC97" s="30"/>
    </row>
    <row r="98" customFormat="false" ht="19.5" hidden="false" customHeight="true" outlineLevel="0" collapsed="false">
      <c r="A98" s="28" t="str">
        <f aca="false">IF($C98="","",COUNTA($C$6:$C98))</f>
        <v/>
      </c>
      <c r="B98" s="29"/>
      <c r="C98" s="30"/>
      <c r="D98" s="29"/>
      <c r="E98" s="31" t="str">
        <f aca="false">IF($C98="","",IF(NOT(OR(M98="Completed",M98="NA",M98="Cancelled")),"S1 Schematic",IF(NOT(OR(R98="Completed",R98="NA",R98="Cancelled")),"S2 PCB Layout",IF(NOT(OR(W98="Completed",W98="NA",W98="Cancelled")),"S3 SI &amp; PI",IF(NOT(OR(AB98="Completed",AB98="NA",AB98="Cancelled")),"S4 Bare-PCB Fab",IF(NOT(OR(AG98="Completed",AG98="NA",AG98="Cancelled")),"S5 Assembly",IF(NOT(OR(AL98="Completed",AL98="NA",AL98="Cancelled")),"S6 Bring-up",IF(NOT(OR(AQ98="Completed",AQ98="NA",AQ98="Cancelled")),"S7 BOM Procurement","All Stages Closed"))))))))</f>
        <v/>
      </c>
      <c r="F98" s="32" t="str">
        <f aca="false">IF($C98="","",IF(COUNTIF(M98,"Cancelled")+COUNTIF(R98,"Cancelled")+COUNTIF(W98,"Cancelled")+COUNTIF(AB98,"Cancelled")+COUNTIF(AG98,"Cancelled")+COUNTIF(AL98,"Cancelled")+COUNTIF(AQ98,"Cancelled")&gt;0,"Cancelled",IF(E98="All Stages Closed","Completed",IF(E98="S1 Schematic",M98,IF(E98="S2 PCB Layout",R98,IF(E98="S3 SI &amp; PI",W98,IF(E98="S4 Bare-PCB Fab",AB98,IF(E98="S5 Assembly",AG98,IF(E98="S6 Bring-up",AL98,AQ98)))))))))</f>
        <v/>
      </c>
      <c r="G98" s="33" t="str">
        <f aca="false">IF($C98="","",IF(E98="All Stages Closed","",IF(E98="S1 Schematic",IF(N98="","Not added",N98),IF(E98="S2 PCB Layout",IF(S98="","Not added",S98),IF(E98="S3 SI &amp; PI",IF(X98="","Not added",X98),IF(E98="S4 Bare-PCB Fab",IF(AC98="","Not added",AC98),IF(E98="S5 Assembly",IF(AH98="","Not added",AH98),IF(E98="S6 Bring-up",IF(AM98="","Not added",AM98),IF(AR98="","Not added",AR98)))))))))</f>
        <v/>
      </c>
      <c r="H98" s="32" t="str">
        <f aca="true">IF($C98="","",IF(OR(F98="Completed",F98="Cancelled"),"",IF(NOT(ISNUMBER(G98)),"No date set",IF(TODAY()&gt;G98,TODAY()-G98&amp;" days late",G98-TODAY()&amp;" days left"))))</f>
        <v/>
      </c>
      <c r="I98" s="31" t="str">
        <f aca="false">IF($C98="","",COUNTIF(M98,"Completed")+COUNTIF(R98,"Completed")+COUNTIF(W98,"Completed")+COUNTIF(AB98,"Completed")+COUNTIF(AG98,"Completed")+COUNTIF(AL98,"Completed")+COUNTIF(AQ98,"Completed"))</f>
        <v/>
      </c>
      <c r="J98" s="31" t="str">
        <f aca="false">IF($C98="","",7-(COUNTIF(M98,"NA")+COUNTIF(R98,"NA")+COUNTIF(W98,"NA")+COUNTIF(AB98,"NA")+COUNTIF(AG98,"NA")+COUNTIF(AL98,"NA")+COUNTIF(AQ98,"NA")))</f>
        <v/>
      </c>
      <c r="K98" s="34" t="str">
        <f aca="false">IFERROR(I98/J98,"")</f>
        <v/>
      </c>
      <c r="L98" s="29"/>
      <c r="M98" s="35"/>
      <c r="N98" s="36"/>
      <c r="O98" s="36"/>
      <c r="P98" s="30"/>
      <c r="Q98" s="29"/>
      <c r="R98" s="35"/>
      <c r="S98" s="36"/>
      <c r="T98" s="36"/>
      <c r="U98" s="30"/>
      <c r="V98" s="29"/>
      <c r="W98" s="35"/>
      <c r="X98" s="36"/>
      <c r="Y98" s="36"/>
      <c r="Z98" s="30"/>
      <c r="AA98" s="29"/>
      <c r="AB98" s="35"/>
      <c r="AC98" s="36"/>
      <c r="AD98" s="36"/>
      <c r="AE98" s="30"/>
      <c r="AF98" s="29"/>
      <c r="AG98" s="35"/>
      <c r="AH98" s="36"/>
      <c r="AI98" s="36"/>
      <c r="AJ98" s="30"/>
      <c r="AK98" s="29"/>
      <c r="AL98" s="35"/>
      <c r="AM98" s="36"/>
      <c r="AN98" s="36"/>
      <c r="AO98" s="30"/>
      <c r="AP98" s="29"/>
      <c r="AQ98" s="35"/>
      <c r="AR98" s="36"/>
      <c r="AS98" s="36"/>
      <c r="AT98" s="30"/>
      <c r="AU98" s="29"/>
      <c r="AV98" s="29"/>
      <c r="AW98" s="29"/>
      <c r="AX98" s="37"/>
      <c r="AY98" s="39" t="str">
        <f aca="false">IF(AU98&lt;&gt;"Yes","",IF(AV98="","SELECT RE-ENTRY STAGE","MOVE TO ACTIVE at "&amp;AV98))</f>
        <v/>
      </c>
      <c r="AZ98" s="40" t="str">
        <f aca="false">IF(AU98="Yes",COUNTIF($AU$6:AU98,"Yes"),"")</f>
        <v/>
      </c>
      <c r="BA98" s="29"/>
      <c r="BB98" s="38" t="str">
        <f aca="false">IF($C98="","",IF(OR(F98="Completed",F98="Cancelled"),"",IF(AND(OR(F98="On Hold",ISNUMBER(VALUE(LEFT(H98,2)))),BA98=""),"Reason not given","")))</f>
        <v/>
      </c>
      <c r="BC98" s="30"/>
    </row>
    <row r="99" customFormat="false" ht="19.5" hidden="false" customHeight="true" outlineLevel="0" collapsed="false">
      <c r="A99" s="28" t="str">
        <f aca="false">IF($C99="","",COUNTA($C$6:$C99))</f>
        <v/>
      </c>
      <c r="B99" s="29"/>
      <c r="C99" s="30"/>
      <c r="D99" s="29"/>
      <c r="E99" s="31" t="str">
        <f aca="false">IF($C99="","",IF(NOT(OR(M99="Completed",M99="NA",M99="Cancelled")),"S1 Schematic",IF(NOT(OR(R99="Completed",R99="NA",R99="Cancelled")),"S2 PCB Layout",IF(NOT(OR(W99="Completed",W99="NA",W99="Cancelled")),"S3 SI &amp; PI",IF(NOT(OR(AB99="Completed",AB99="NA",AB99="Cancelled")),"S4 Bare-PCB Fab",IF(NOT(OR(AG99="Completed",AG99="NA",AG99="Cancelled")),"S5 Assembly",IF(NOT(OR(AL99="Completed",AL99="NA",AL99="Cancelled")),"S6 Bring-up",IF(NOT(OR(AQ99="Completed",AQ99="NA",AQ99="Cancelled")),"S7 BOM Procurement","All Stages Closed"))))))))</f>
        <v/>
      </c>
      <c r="F99" s="32" t="str">
        <f aca="false">IF($C99="","",IF(COUNTIF(M99,"Cancelled")+COUNTIF(R99,"Cancelled")+COUNTIF(W99,"Cancelled")+COUNTIF(AB99,"Cancelled")+COUNTIF(AG99,"Cancelled")+COUNTIF(AL99,"Cancelled")+COUNTIF(AQ99,"Cancelled")&gt;0,"Cancelled",IF(E99="All Stages Closed","Completed",IF(E99="S1 Schematic",M99,IF(E99="S2 PCB Layout",R99,IF(E99="S3 SI &amp; PI",W99,IF(E99="S4 Bare-PCB Fab",AB99,IF(E99="S5 Assembly",AG99,IF(E99="S6 Bring-up",AL99,AQ99)))))))))</f>
        <v/>
      </c>
      <c r="G99" s="33" t="str">
        <f aca="false">IF($C99="","",IF(E99="All Stages Closed","",IF(E99="S1 Schematic",IF(N99="","Not added",N99),IF(E99="S2 PCB Layout",IF(S99="","Not added",S99),IF(E99="S3 SI &amp; PI",IF(X99="","Not added",X99),IF(E99="S4 Bare-PCB Fab",IF(AC99="","Not added",AC99),IF(E99="S5 Assembly",IF(AH99="","Not added",AH99),IF(E99="S6 Bring-up",IF(AM99="","Not added",AM99),IF(AR99="","Not added",AR99)))))))))</f>
        <v/>
      </c>
      <c r="H99" s="32" t="str">
        <f aca="true">IF($C99="","",IF(OR(F99="Completed",F99="Cancelled"),"",IF(NOT(ISNUMBER(G99)),"No date set",IF(TODAY()&gt;G99,TODAY()-G99&amp;" days late",G99-TODAY()&amp;" days left"))))</f>
        <v/>
      </c>
      <c r="I99" s="31" t="str">
        <f aca="false">IF($C99="","",COUNTIF(M99,"Completed")+COUNTIF(R99,"Completed")+COUNTIF(W99,"Completed")+COUNTIF(AB99,"Completed")+COUNTIF(AG99,"Completed")+COUNTIF(AL99,"Completed")+COUNTIF(AQ99,"Completed"))</f>
        <v/>
      </c>
      <c r="J99" s="31" t="str">
        <f aca="false">IF($C99="","",7-(COUNTIF(M99,"NA")+COUNTIF(R99,"NA")+COUNTIF(W99,"NA")+COUNTIF(AB99,"NA")+COUNTIF(AG99,"NA")+COUNTIF(AL99,"NA")+COUNTIF(AQ99,"NA")))</f>
        <v/>
      </c>
      <c r="K99" s="34" t="str">
        <f aca="false">IFERROR(I99/J99,"")</f>
        <v/>
      </c>
      <c r="L99" s="29"/>
      <c r="M99" s="35"/>
      <c r="N99" s="36"/>
      <c r="O99" s="36"/>
      <c r="P99" s="30"/>
      <c r="Q99" s="29"/>
      <c r="R99" s="35"/>
      <c r="S99" s="36"/>
      <c r="T99" s="36"/>
      <c r="U99" s="30"/>
      <c r="V99" s="29"/>
      <c r="W99" s="35"/>
      <c r="X99" s="36"/>
      <c r="Y99" s="36"/>
      <c r="Z99" s="30"/>
      <c r="AA99" s="29"/>
      <c r="AB99" s="35"/>
      <c r="AC99" s="36"/>
      <c r="AD99" s="36"/>
      <c r="AE99" s="30"/>
      <c r="AF99" s="29"/>
      <c r="AG99" s="35"/>
      <c r="AH99" s="36"/>
      <c r="AI99" s="36"/>
      <c r="AJ99" s="30"/>
      <c r="AK99" s="29"/>
      <c r="AL99" s="35"/>
      <c r="AM99" s="36"/>
      <c r="AN99" s="36"/>
      <c r="AO99" s="30"/>
      <c r="AP99" s="29"/>
      <c r="AQ99" s="35"/>
      <c r="AR99" s="36"/>
      <c r="AS99" s="36"/>
      <c r="AT99" s="30"/>
      <c r="AU99" s="29"/>
      <c r="AV99" s="29"/>
      <c r="AW99" s="29"/>
      <c r="AX99" s="37"/>
      <c r="AY99" s="39" t="str">
        <f aca="false">IF(AU99&lt;&gt;"Yes","",IF(AV99="","SELECT RE-ENTRY STAGE","MOVE TO ACTIVE at "&amp;AV99))</f>
        <v/>
      </c>
      <c r="AZ99" s="40" t="str">
        <f aca="false">IF(AU99="Yes",COUNTIF($AU$6:AU99,"Yes"),"")</f>
        <v/>
      </c>
      <c r="BA99" s="29"/>
      <c r="BB99" s="38" t="str">
        <f aca="false">IF($C99="","",IF(OR(F99="Completed",F99="Cancelled"),"",IF(AND(OR(F99="On Hold",ISNUMBER(VALUE(LEFT(H99,2)))),BA99=""),"Reason not given","")))</f>
        <v/>
      </c>
      <c r="BC99" s="30"/>
    </row>
    <row r="100" customFormat="false" ht="19.5" hidden="false" customHeight="true" outlineLevel="0" collapsed="false">
      <c r="A100" s="28" t="str">
        <f aca="false">IF($C100="","",COUNTA($C$6:$C100))</f>
        <v/>
      </c>
      <c r="B100" s="29"/>
      <c r="C100" s="30"/>
      <c r="D100" s="29"/>
      <c r="E100" s="31" t="str">
        <f aca="false">IF($C100="","",IF(NOT(OR(M100="Completed",M100="NA",M100="Cancelled")),"S1 Schematic",IF(NOT(OR(R100="Completed",R100="NA",R100="Cancelled")),"S2 PCB Layout",IF(NOT(OR(W100="Completed",W100="NA",W100="Cancelled")),"S3 SI &amp; PI",IF(NOT(OR(AB100="Completed",AB100="NA",AB100="Cancelled")),"S4 Bare-PCB Fab",IF(NOT(OR(AG100="Completed",AG100="NA",AG100="Cancelled")),"S5 Assembly",IF(NOT(OR(AL100="Completed",AL100="NA",AL100="Cancelled")),"S6 Bring-up",IF(NOT(OR(AQ100="Completed",AQ100="NA",AQ100="Cancelled")),"S7 BOM Procurement","All Stages Closed"))))))))</f>
        <v/>
      </c>
      <c r="F100" s="32" t="str">
        <f aca="false">IF($C100="","",IF(COUNTIF(M100,"Cancelled")+COUNTIF(R100,"Cancelled")+COUNTIF(W100,"Cancelled")+COUNTIF(AB100,"Cancelled")+COUNTIF(AG100,"Cancelled")+COUNTIF(AL100,"Cancelled")+COUNTIF(AQ100,"Cancelled")&gt;0,"Cancelled",IF(E100="All Stages Closed","Completed",IF(E100="S1 Schematic",M100,IF(E100="S2 PCB Layout",R100,IF(E100="S3 SI &amp; PI",W100,IF(E100="S4 Bare-PCB Fab",AB100,IF(E100="S5 Assembly",AG100,IF(E100="S6 Bring-up",AL100,AQ100)))))))))</f>
        <v/>
      </c>
      <c r="G100" s="33" t="str">
        <f aca="false">IF($C100="","",IF(E100="All Stages Closed","",IF(E100="S1 Schematic",IF(N100="","Not added",N100),IF(E100="S2 PCB Layout",IF(S100="","Not added",S100),IF(E100="S3 SI &amp; PI",IF(X100="","Not added",X100),IF(E100="S4 Bare-PCB Fab",IF(AC100="","Not added",AC100),IF(E100="S5 Assembly",IF(AH100="","Not added",AH100),IF(E100="S6 Bring-up",IF(AM100="","Not added",AM100),IF(AR100="","Not added",AR100)))))))))</f>
        <v/>
      </c>
      <c r="H100" s="32" t="str">
        <f aca="true">IF($C100="","",IF(OR(F100="Completed",F100="Cancelled"),"",IF(NOT(ISNUMBER(G100)),"No date set",IF(TODAY()&gt;G100,TODAY()-G100&amp;" days late",G100-TODAY()&amp;" days left"))))</f>
        <v/>
      </c>
      <c r="I100" s="31" t="str">
        <f aca="false">IF($C100="","",COUNTIF(M100,"Completed")+COUNTIF(R100,"Completed")+COUNTIF(W100,"Completed")+COUNTIF(AB100,"Completed")+COUNTIF(AG100,"Completed")+COUNTIF(AL100,"Completed")+COUNTIF(AQ100,"Completed"))</f>
        <v/>
      </c>
      <c r="J100" s="31" t="str">
        <f aca="false">IF($C100="","",7-(COUNTIF(M100,"NA")+COUNTIF(R100,"NA")+COUNTIF(W100,"NA")+COUNTIF(AB100,"NA")+COUNTIF(AG100,"NA")+COUNTIF(AL100,"NA")+COUNTIF(AQ100,"NA")))</f>
        <v/>
      </c>
      <c r="K100" s="34" t="str">
        <f aca="false">IFERROR(I100/J100,"")</f>
        <v/>
      </c>
      <c r="L100" s="29"/>
      <c r="M100" s="35"/>
      <c r="N100" s="36"/>
      <c r="O100" s="36"/>
      <c r="P100" s="30"/>
      <c r="Q100" s="29"/>
      <c r="R100" s="35"/>
      <c r="S100" s="36"/>
      <c r="T100" s="36"/>
      <c r="U100" s="30"/>
      <c r="V100" s="29"/>
      <c r="W100" s="35"/>
      <c r="X100" s="36"/>
      <c r="Y100" s="36"/>
      <c r="Z100" s="30"/>
      <c r="AA100" s="29"/>
      <c r="AB100" s="35"/>
      <c r="AC100" s="36"/>
      <c r="AD100" s="36"/>
      <c r="AE100" s="30"/>
      <c r="AF100" s="29"/>
      <c r="AG100" s="35"/>
      <c r="AH100" s="36"/>
      <c r="AI100" s="36"/>
      <c r="AJ100" s="30"/>
      <c r="AK100" s="29"/>
      <c r="AL100" s="35"/>
      <c r="AM100" s="36"/>
      <c r="AN100" s="36"/>
      <c r="AO100" s="30"/>
      <c r="AP100" s="29"/>
      <c r="AQ100" s="35"/>
      <c r="AR100" s="36"/>
      <c r="AS100" s="36"/>
      <c r="AT100" s="30"/>
      <c r="AU100" s="29"/>
      <c r="AV100" s="29"/>
      <c r="AW100" s="29"/>
      <c r="AX100" s="37"/>
      <c r="AY100" s="39" t="str">
        <f aca="false">IF(AU100&lt;&gt;"Yes","",IF(AV100="","SELECT RE-ENTRY STAGE","MOVE TO ACTIVE at "&amp;AV100))</f>
        <v/>
      </c>
      <c r="AZ100" s="40" t="str">
        <f aca="false">IF(AU100="Yes",COUNTIF($AU$6:AU100,"Yes"),"")</f>
        <v/>
      </c>
      <c r="BA100" s="29"/>
      <c r="BB100" s="38" t="str">
        <f aca="false">IF($C100="","",IF(OR(F100="Completed",F100="Cancelled"),"",IF(AND(OR(F100="On Hold",ISNUMBER(VALUE(LEFT(H100,2)))),BA100=""),"Reason not given","")))</f>
        <v/>
      </c>
      <c r="BC100" s="30"/>
    </row>
    <row r="101" customFormat="false" ht="19.5" hidden="false" customHeight="true" outlineLevel="0" collapsed="false">
      <c r="A101" s="28" t="str">
        <f aca="false">IF($C101="","",COUNTA($C$6:$C101))</f>
        <v/>
      </c>
      <c r="B101" s="29"/>
      <c r="C101" s="30"/>
      <c r="D101" s="29"/>
      <c r="E101" s="31" t="str">
        <f aca="false">IF($C101="","",IF(NOT(OR(M101="Completed",M101="NA",M101="Cancelled")),"S1 Schematic",IF(NOT(OR(R101="Completed",R101="NA",R101="Cancelled")),"S2 PCB Layout",IF(NOT(OR(W101="Completed",W101="NA",W101="Cancelled")),"S3 SI &amp; PI",IF(NOT(OR(AB101="Completed",AB101="NA",AB101="Cancelled")),"S4 Bare-PCB Fab",IF(NOT(OR(AG101="Completed",AG101="NA",AG101="Cancelled")),"S5 Assembly",IF(NOT(OR(AL101="Completed",AL101="NA",AL101="Cancelled")),"S6 Bring-up",IF(NOT(OR(AQ101="Completed",AQ101="NA",AQ101="Cancelled")),"S7 BOM Procurement","All Stages Closed"))))))))</f>
        <v/>
      </c>
      <c r="F101" s="32" t="str">
        <f aca="false">IF($C101="","",IF(COUNTIF(M101,"Cancelled")+COUNTIF(R101,"Cancelled")+COUNTIF(W101,"Cancelled")+COUNTIF(AB101,"Cancelled")+COUNTIF(AG101,"Cancelled")+COUNTIF(AL101,"Cancelled")+COUNTIF(AQ101,"Cancelled")&gt;0,"Cancelled",IF(E101="All Stages Closed","Completed",IF(E101="S1 Schematic",M101,IF(E101="S2 PCB Layout",R101,IF(E101="S3 SI &amp; PI",W101,IF(E101="S4 Bare-PCB Fab",AB101,IF(E101="S5 Assembly",AG101,IF(E101="S6 Bring-up",AL101,AQ101)))))))))</f>
        <v/>
      </c>
      <c r="G101" s="33" t="str">
        <f aca="false">IF($C101="","",IF(E101="All Stages Closed","",IF(E101="S1 Schematic",IF(N101="","Not added",N101),IF(E101="S2 PCB Layout",IF(S101="","Not added",S101),IF(E101="S3 SI &amp; PI",IF(X101="","Not added",X101),IF(E101="S4 Bare-PCB Fab",IF(AC101="","Not added",AC101),IF(E101="S5 Assembly",IF(AH101="","Not added",AH101),IF(E101="S6 Bring-up",IF(AM101="","Not added",AM101),IF(AR101="","Not added",AR101)))))))))</f>
        <v/>
      </c>
      <c r="H101" s="32" t="str">
        <f aca="true">IF($C101="","",IF(OR(F101="Completed",F101="Cancelled"),"",IF(NOT(ISNUMBER(G101)),"No date set",IF(TODAY()&gt;G101,TODAY()-G101&amp;" days late",G101-TODAY()&amp;" days left"))))</f>
        <v/>
      </c>
      <c r="I101" s="31" t="str">
        <f aca="false">IF($C101="","",COUNTIF(M101,"Completed")+COUNTIF(R101,"Completed")+COUNTIF(W101,"Completed")+COUNTIF(AB101,"Completed")+COUNTIF(AG101,"Completed")+COUNTIF(AL101,"Completed")+COUNTIF(AQ101,"Completed"))</f>
        <v/>
      </c>
      <c r="J101" s="31" t="str">
        <f aca="false">IF($C101="","",7-(COUNTIF(M101,"NA")+COUNTIF(R101,"NA")+COUNTIF(W101,"NA")+COUNTIF(AB101,"NA")+COUNTIF(AG101,"NA")+COUNTIF(AL101,"NA")+COUNTIF(AQ101,"NA")))</f>
        <v/>
      </c>
      <c r="K101" s="34" t="str">
        <f aca="false">IFERROR(I101/J101,"")</f>
        <v/>
      </c>
      <c r="L101" s="29"/>
      <c r="M101" s="35"/>
      <c r="N101" s="36"/>
      <c r="O101" s="36"/>
      <c r="P101" s="30"/>
      <c r="Q101" s="29"/>
      <c r="R101" s="35"/>
      <c r="S101" s="36"/>
      <c r="T101" s="36"/>
      <c r="U101" s="30"/>
      <c r="V101" s="29"/>
      <c r="W101" s="35"/>
      <c r="X101" s="36"/>
      <c r="Y101" s="36"/>
      <c r="Z101" s="30"/>
      <c r="AA101" s="29"/>
      <c r="AB101" s="35"/>
      <c r="AC101" s="36"/>
      <c r="AD101" s="36"/>
      <c r="AE101" s="30"/>
      <c r="AF101" s="29"/>
      <c r="AG101" s="35"/>
      <c r="AH101" s="36"/>
      <c r="AI101" s="36"/>
      <c r="AJ101" s="30"/>
      <c r="AK101" s="29"/>
      <c r="AL101" s="35"/>
      <c r="AM101" s="36"/>
      <c r="AN101" s="36"/>
      <c r="AO101" s="30"/>
      <c r="AP101" s="29"/>
      <c r="AQ101" s="35"/>
      <c r="AR101" s="36"/>
      <c r="AS101" s="36"/>
      <c r="AT101" s="30"/>
      <c r="AU101" s="29"/>
      <c r="AV101" s="29"/>
      <c r="AW101" s="29"/>
      <c r="AX101" s="37"/>
      <c r="AY101" s="39" t="str">
        <f aca="false">IF(AU101&lt;&gt;"Yes","",IF(AV101="","SELECT RE-ENTRY STAGE","MOVE TO ACTIVE at "&amp;AV101))</f>
        <v/>
      </c>
      <c r="AZ101" s="40" t="str">
        <f aca="false">IF(AU101="Yes",COUNTIF($AU$6:AU101,"Yes"),"")</f>
        <v/>
      </c>
      <c r="BA101" s="29"/>
      <c r="BB101" s="38" t="str">
        <f aca="false">IF($C101="","",IF(OR(F101="Completed",F101="Cancelled"),"",IF(AND(OR(F101="On Hold",ISNUMBER(VALUE(LEFT(H101,2)))),BA101=""),"Reason not given","")))</f>
        <v/>
      </c>
      <c r="BC101" s="30"/>
    </row>
    <row r="102" customFormat="false" ht="19.5" hidden="false" customHeight="true" outlineLevel="0" collapsed="false">
      <c r="A102" s="28" t="str">
        <f aca="false">IF($C102="","",COUNTA($C$6:$C102))</f>
        <v/>
      </c>
      <c r="B102" s="29"/>
      <c r="C102" s="30"/>
      <c r="D102" s="29"/>
      <c r="E102" s="31" t="str">
        <f aca="false">IF($C102="","",IF(NOT(OR(M102="Completed",M102="NA",M102="Cancelled")),"S1 Schematic",IF(NOT(OR(R102="Completed",R102="NA",R102="Cancelled")),"S2 PCB Layout",IF(NOT(OR(W102="Completed",W102="NA",W102="Cancelled")),"S3 SI &amp; PI",IF(NOT(OR(AB102="Completed",AB102="NA",AB102="Cancelled")),"S4 Bare-PCB Fab",IF(NOT(OR(AG102="Completed",AG102="NA",AG102="Cancelled")),"S5 Assembly",IF(NOT(OR(AL102="Completed",AL102="NA",AL102="Cancelled")),"S6 Bring-up",IF(NOT(OR(AQ102="Completed",AQ102="NA",AQ102="Cancelled")),"S7 BOM Procurement","All Stages Closed"))))))))</f>
        <v/>
      </c>
      <c r="F102" s="32" t="str">
        <f aca="false">IF($C102="","",IF(COUNTIF(M102,"Cancelled")+COUNTIF(R102,"Cancelled")+COUNTIF(W102,"Cancelled")+COUNTIF(AB102,"Cancelled")+COUNTIF(AG102,"Cancelled")+COUNTIF(AL102,"Cancelled")+COUNTIF(AQ102,"Cancelled")&gt;0,"Cancelled",IF(E102="All Stages Closed","Completed",IF(E102="S1 Schematic",M102,IF(E102="S2 PCB Layout",R102,IF(E102="S3 SI &amp; PI",W102,IF(E102="S4 Bare-PCB Fab",AB102,IF(E102="S5 Assembly",AG102,IF(E102="S6 Bring-up",AL102,AQ102)))))))))</f>
        <v/>
      </c>
      <c r="G102" s="33" t="str">
        <f aca="false">IF($C102="","",IF(E102="All Stages Closed","",IF(E102="S1 Schematic",IF(N102="","Not added",N102),IF(E102="S2 PCB Layout",IF(S102="","Not added",S102),IF(E102="S3 SI &amp; PI",IF(X102="","Not added",X102),IF(E102="S4 Bare-PCB Fab",IF(AC102="","Not added",AC102),IF(E102="S5 Assembly",IF(AH102="","Not added",AH102),IF(E102="S6 Bring-up",IF(AM102="","Not added",AM102),IF(AR102="","Not added",AR102)))))))))</f>
        <v/>
      </c>
      <c r="H102" s="32" t="str">
        <f aca="true">IF($C102="","",IF(OR(F102="Completed",F102="Cancelled"),"",IF(NOT(ISNUMBER(G102)),"No date set",IF(TODAY()&gt;G102,TODAY()-G102&amp;" days late",G102-TODAY()&amp;" days left"))))</f>
        <v/>
      </c>
      <c r="I102" s="31" t="str">
        <f aca="false">IF($C102="","",COUNTIF(M102,"Completed")+COUNTIF(R102,"Completed")+COUNTIF(W102,"Completed")+COUNTIF(AB102,"Completed")+COUNTIF(AG102,"Completed")+COUNTIF(AL102,"Completed")+COUNTIF(AQ102,"Completed"))</f>
        <v/>
      </c>
      <c r="J102" s="31" t="str">
        <f aca="false">IF($C102="","",7-(COUNTIF(M102,"NA")+COUNTIF(R102,"NA")+COUNTIF(W102,"NA")+COUNTIF(AB102,"NA")+COUNTIF(AG102,"NA")+COUNTIF(AL102,"NA")+COUNTIF(AQ102,"NA")))</f>
        <v/>
      </c>
      <c r="K102" s="34" t="str">
        <f aca="false">IFERROR(I102/J102,"")</f>
        <v/>
      </c>
      <c r="L102" s="29"/>
      <c r="M102" s="35"/>
      <c r="N102" s="36"/>
      <c r="O102" s="36"/>
      <c r="P102" s="30"/>
      <c r="Q102" s="29"/>
      <c r="R102" s="35"/>
      <c r="S102" s="36"/>
      <c r="T102" s="36"/>
      <c r="U102" s="30"/>
      <c r="V102" s="29"/>
      <c r="W102" s="35"/>
      <c r="X102" s="36"/>
      <c r="Y102" s="36"/>
      <c r="Z102" s="30"/>
      <c r="AA102" s="29"/>
      <c r="AB102" s="35"/>
      <c r="AC102" s="36"/>
      <c r="AD102" s="36"/>
      <c r="AE102" s="30"/>
      <c r="AF102" s="29"/>
      <c r="AG102" s="35"/>
      <c r="AH102" s="36"/>
      <c r="AI102" s="36"/>
      <c r="AJ102" s="30"/>
      <c r="AK102" s="29"/>
      <c r="AL102" s="35"/>
      <c r="AM102" s="36"/>
      <c r="AN102" s="36"/>
      <c r="AO102" s="30"/>
      <c r="AP102" s="29"/>
      <c r="AQ102" s="35"/>
      <c r="AR102" s="36"/>
      <c r="AS102" s="36"/>
      <c r="AT102" s="30"/>
      <c r="AU102" s="29"/>
      <c r="AV102" s="29"/>
      <c r="AW102" s="29"/>
      <c r="AX102" s="37"/>
      <c r="AY102" s="39" t="str">
        <f aca="false">IF(AU102&lt;&gt;"Yes","",IF(AV102="","SELECT RE-ENTRY STAGE","MOVE TO ACTIVE at "&amp;AV102))</f>
        <v/>
      </c>
      <c r="AZ102" s="40" t="str">
        <f aca="false">IF(AU102="Yes",COUNTIF($AU$6:AU102,"Yes"),"")</f>
        <v/>
      </c>
      <c r="BA102" s="29"/>
      <c r="BB102" s="38" t="str">
        <f aca="false">IF($C102="","",IF(OR(F102="Completed",F102="Cancelled"),"",IF(AND(OR(F102="On Hold",ISNUMBER(VALUE(LEFT(H102,2)))),BA102=""),"Reason not given","")))</f>
        <v/>
      </c>
      <c r="BC102" s="30"/>
    </row>
    <row r="103" customFormat="false" ht="19.5" hidden="false" customHeight="true" outlineLevel="0" collapsed="false">
      <c r="A103" s="28" t="str">
        <f aca="false">IF($C103="","",COUNTA($C$6:$C103))</f>
        <v/>
      </c>
      <c r="B103" s="29"/>
      <c r="C103" s="30"/>
      <c r="D103" s="29"/>
      <c r="E103" s="31" t="str">
        <f aca="false">IF($C103="","",IF(NOT(OR(M103="Completed",M103="NA",M103="Cancelled")),"S1 Schematic",IF(NOT(OR(R103="Completed",R103="NA",R103="Cancelled")),"S2 PCB Layout",IF(NOT(OR(W103="Completed",W103="NA",W103="Cancelled")),"S3 SI &amp; PI",IF(NOT(OR(AB103="Completed",AB103="NA",AB103="Cancelled")),"S4 Bare-PCB Fab",IF(NOT(OR(AG103="Completed",AG103="NA",AG103="Cancelled")),"S5 Assembly",IF(NOT(OR(AL103="Completed",AL103="NA",AL103="Cancelled")),"S6 Bring-up",IF(NOT(OR(AQ103="Completed",AQ103="NA",AQ103="Cancelled")),"S7 BOM Procurement","All Stages Closed"))))))))</f>
        <v/>
      </c>
      <c r="F103" s="32" t="str">
        <f aca="false">IF($C103="","",IF(COUNTIF(M103,"Cancelled")+COUNTIF(R103,"Cancelled")+COUNTIF(W103,"Cancelled")+COUNTIF(AB103,"Cancelled")+COUNTIF(AG103,"Cancelled")+COUNTIF(AL103,"Cancelled")+COUNTIF(AQ103,"Cancelled")&gt;0,"Cancelled",IF(E103="All Stages Closed","Completed",IF(E103="S1 Schematic",M103,IF(E103="S2 PCB Layout",R103,IF(E103="S3 SI &amp; PI",W103,IF(E103="S4 Bare-PCB Fab",AB103,IF(E103="S5 Assembly",AG103,IF(E103="S6 Bring-up",AL103,AQ103)))))))))</f>
        <v/>
      </c>
      <c r="G103" s="33" t="str">
        <f aca="false">IF($C103="","",IF(E103="All Stages Closed","",IF(E103="S1 Schematic",IF(N103="","Not added",N103),IF(E103="S2 PCB Layout",IF(S103="","Not added",S103),IF(E103="S3 SI &amp; PI",IF(X103="","Not added",X103),IF(E103="S4 Bare-PCB Fab",IF(AC103="","Not added",AC103),IF(E103="S5 Assembly",IF(AH103="","Not added",AH103),IF(E103="S6 Bring-up",IF(AM103="","Not added",AM103),IF(AR103="","Not added",AR103)))))))))</f>
        <v/>
      </c>
      <c r="H103" s="32" t="str">
        <f aca="true">IF($C103="","",IF(OR(F103="Completed",F103="Cancelled"),"",IF(NOT(ISNUMBER(G103)),"No date set",IF(TODAY()&gt;G103,TODAY()-G103&amp;" days late",G103-TODAY()&amp;" days left"))))</f>
        <v/>
      </c>
      <c r="I103" s="31" t="str">
        <f aca="false">IF($C103="","",COUNTIF(M103,"Completed")+COUNTIF(R103,"Completed")+COUNTIF(W103,"Completed")+COUNTIF(AB103,"Completed")+COUNTIF(AG103,"Completed")+COUNTIF(AL103,"Completed")+COUNTIF(AQ103,"Completed"))</f>
        <v/>
      </c>
      <c r="J103" s="31" t="str">
        <f aca="false">IF($C103="","",7-(COUNTIF(M103,"NA")+COUNTIF(R103,"NA")+COUNTIF(W103,"NA")+COUNTIF(AB103,"NA")+COUNTIF(AG103,"NA")+COUNTIF(AL103,"NA")+COUNTIF(AQ103,"NA")))</f>
        <v/>
      </c>
      <c r="K103" s="34" t="str">
        <f aca="false">IFERROR(I103/J103,"")</f>
        <v/>
      </c>
      <c r="L103" s="29"/>
      <c r="M103" s="35"/>
      <c r="N103" s="36"/>
      <c r="O103" s="36"/>
      <c r="P103" s="30"/>
      <c r="Q103" s="29"/>
      <c r="R103" s="35"/>
      <c r="S103" s="36"/>
      <c r="T103" s="36"/>
      <c r="U103" s="30"/>
      <c r="V103" s="29"/>
      <c r="W103" s="35"/>
      <c r="X103" s="36"/>
      <c r="Y103" s="36"/>
      <c r="Z103" s="30"/>
      <c r="AA103" s="29"/>
      <c r="AB103" s="35"/>
      <c r="AC103" s="36"/>
      <c r="AD103" s="36"/>
      <c r="AE103" s="30"/>
      <c r="AF103" s="29"/>
      <c r="AG103" s="35"/>
      <c r="AH103" s="36"/>
      <c r="AI103" s="36"/>
      <c r="AJ103" s="30"/>
      <c r="AK103" s="29"/>
      <c r="AL103" s="35"/>
      <c r="AM103" s="36"/>
      <c r="AN103" s="36"/>
      <c r="AO103" s="30"/>
      <c r="AP103" s="29"/>
      <c r="AQ103" s="35"/>
      <c r="AR103" s="36"/>
      <c r="AS103" s="36"/>
      <c r="AT103" s="30"/>
      <c r="AU103" s="29"/>
      <c r="AV103" s="29"/>
      <c r="AW103" s="29"/>
      <c r="AX103" s="37"/>
      <c r="AY103" s="39" t="str">
        <f aca="false">IF(AU103&lt;&gt;"Yes","",IF(AV103="","SELECT RE-ENTRY STAGE","MOVE TO ACTIVE at "&amp;AV103))</f>
        <v/>
      </c>
      <c r="AZ103" s="40" t="str">
        <f aca="false">IF(AU103="Yes",COUNTIF($AU$6:AU103,"Yes"),"")</f>
        <v/>
      </c>
      <c r="BA103" s="29"/>
      <c r="BB103" s="38" t="str">
        <f aca="false">IF($C103="","",IF(OR(F103="Completed",F103="Cancelled"),"",IF(AND(OR(F103="On Hold",ISNUMBER(VALUE(LEFT(H103,2)))),BA103=""),"Reason not given","")))</f>
        <v/>
      </c>
      <c r="BC103" s="30"/>
    </row>
    <row r="104" customFormat="false" ht="19.5" hidden="false" customHeight="true" outlineLevel="0" collapsed="false">
      <c r="A104" s="28" t="str">
        <f aca="false">IF($C104="","",COUNTA($C$6:$C104))</f>
        <v/>
      </c>
      <c r="B104" s="29"/>
      <c r="C104" s="30"/>
      <c r="D104" s="29"/>
      <c r="E104" s="31" t="str">
        <f aca="false">IF($C104="","",IF(NOT(OR(M104="Completed",M104="NA",M104="Cancelled")),"S1 Schematic",IF(NOT(OR(R104="Completed",R104="NA",R104="Cancelled")),"S2 PCB Layout",IF(NOT(OR(W104="Completed",W104="NA",W104="Cancelled")),"S3 SI &amp; PI",IF(NOT(OR(AB104="Completed",AB104="NA",AB104="Cancelled")),"S4 Bare-PCB Fab",IF(NOT(OR(AG104="Completed",AG104="NA",AG104="Cancelled")),"S5 Assembly",IF(NOT(OR(AL104="Completed",AL104="NA",AL104="Cancelled")),"S6 Bring-up",IF(NOT(OR(AQ104="Completed",AQ104="NA",AQ104="Cancelled")),"S7 BOM Procurement","All Stages Closed"))))))))</f>
        <v/>
      </c>
      <c r="F104" s="32" t="str">
        <f aca="false">IF($C104="","",IF(COUNTIF(M104,"Cancelled")+COUNTIF(R104,"Cancelled")+COUNTIF(W104,"Cancelled")+COUNTIF(AB104,"Cancelled")+COUNTIF(AG104,"Cancelled")+COUNTIF(AL104,"Cancelled")+COUNTIF(AQ104,"Cancelled")&gt;0,"Cancelled",IF(E104="All Stages Closed","Completed",IF(E104="S1 Schematic",M104,IF(E104="S2 PCB Layout",R104,IF(E104="S3 SI &amp; PI",W104,IF(E104="S4 Bare-PCB Fab",AB104,IF(E104="S5 Assembly",AG104,IF(E104="S6 Bring-up",AL104,AQ104)))))))))</f>
        <v/>
      </c>
      <c r="G104" s="33" t="str">
        <f aca="false">IF($C104="","",IF(E104="All Stages Closed","",IF(E104="S1 Schematic",IF(N104="","Not added",N104),IF(E104="S2 PCB Layout",IF(S104="","Not added",S104),IF(E104="S3 SI &amp; PI",IF(X104="","Not added",X104),IF(E104="S4 Bare-PCB Fab",IF(AC104="","Not added",AC104),IF(E104="S5 Assembly",IF(AH104="","Not added",AH104),IF(E104="S6 Bring-up",IF(AM104="","Not added",AM104),IF(AR104="","Not added",AR104)))))))))</f>
        <v/>
      </c>
      <c r="H104" s="32" t="str">
        <f aca="true">IF($C104="","",IF(OR(F104="Completed",F104="Cancelled"),"",IF(NOT(ISNUMBER(G104)),"No date set",IF(TODAY()&gt;G104,TODAY()-G104&amp;" days late",G104-TODAY()&amp;" days left"))))</f>
        <v/>
      </c>
      <c r="I104" s="31" t="str">
        <f aca="false">IF($C104="","",COUNTIF(M104,"Completed")+COUNTIF(R104,"Completed")+COUNTIF(W104,"Completed")+COUNTIF(AB104,"Completed")+COUNTIF(AG104,"Completed")+COUNTIF(AL104,"Completed")+COUNTIF(AQ104,"Completed"))</f>
        <v/>
      </c>
      <c r="J104" s="31" t="str">
        <f aca="false">IF($C104="","",7-(COUNTIF(M104,"NA")+COUNTIF(R104,"NA")+COUNTIF(W104,"NA")+COUNTIF(AB104,"NA")+COUNTIF(AG104,"NA")+COUNTIF(AL104,"NA")+COUNTIF(AQ104,"NA")))</f>
        <v/>
      </c>
      <c r="K104" s="34" t="str">
        <f aca="false">IFERROR(I104/J104,"")</f>
        <v/>
      </c>
      <c r="L104" s="29"/>
      <c r="M104" s="35"/>
      <c r="N104" s="36"/>
      <c r="O104" s="36"/>
      <c r="P104" s="30"/>
      <c r="Q104" s="29"/>
      <c r="R104" s="35"/>
      <c r="S104" s="36"/>
      <c r="T104" s="36"/>
      <c r="U104" s="30"/>
      <c r="V104" s="29"/>
      <c r="W104" s="35"/>
      <c r="X104" s="36"/>
      <c r="Y104" s="36"/>
      <c r="Z104" s="30"/>
      <c r="AA104" s="29"/>
      <c r="AB104" s="35"/>
      <c r="AC104" s="36"/>
      <c r="AD104" s="36"/>
      <c r="AE104" s="30"/>
      <c r="AF104" s="29"/>
      <c r="AG104" s="35"/>
      <c r="AH104" s="36"/>
      <c r="AI104" s="36"/>
      <c r="AJ104" s="30"/>
      <c r="AK104" s="29"/>
      <c r="AL104" s="35"/>
      <c r="AM104" s="36"/>
      <c r="AN104" s="36"/>
      <c r="AO104" s="30"/>
      <c r="AP104" s="29"/>
      <c r="AQ104" s="35"/>
      <c r="AR104" s="36"/>
      <c r="AS104" s="36"/>
      <c r="AT104" s="30"/>
      <c r="AU104" s="29"/>
      <c r="AV104" s="29"/>
      <c r="AW104" s="29"/>
      <c r="AX104" s="37"/>
      <c r="AY104" s="39" t="str">
        <f aca="false">IF(AU104&lt;&gt;"Yes","",IF(AV104="","SELECT RE-ENTRY STAGE","MOVE TO ACTIVE at "&amp;AV104))</f>
        <v/>
      </c>
      <c r="AZ104" s="40" t="str">
        <f aca="false">IF(AU104="Yes",COUNTIF($AU$6:AU104,"Yes"),"")</f>
        <v/>
      </c>
      <c r="BA104" s="29"/>
      <c r="BB104" s="38" t="str">
        <f aca="false">IF($C104="","",IF(OR(F104="Completed",F104="Cancelled"),"",IF(AND(OR(F104="On Hold",ISNUMBER(VALUE(LEFT(H104,2)))),BA104=""),"Reason not given","")))</f>
        <v/>
      </c>
      <c r="BC104" s="30"/>
    </row>
    <row r="105" customFormat="false" ht="19.5" hidden="false" customHeight="true" outlineLevel="0" collapsed="false">
      <c r="A105" s="28" t="str">
        <f aca="false">IF($C105="","",COUNTA($C$6:$C105))</f>
        <v/>
      </c>
      <c r="B105" s="29"/>
      <c r="C105" s="30"/>
      <c r="D105" s="29"/>
      <c r="E105" s="31" t="str">
        <f aca="false">IF($C105="","",IF(NOT(OR(M105="Completed",M105="NA",M105="Cancelled")),"S1 Schematic",IF(NOT(OR(R105="Completed",R105="NA",R105="Cancelled")),"S2 PCB Layout",IF(NOT(OR(W105="Completed",W105="NA",W105="Cancelled")),"S3 SI &amp; PI",IF(NOT(OR(AB105="Completed",AB105="NA",AB105="Cancelled")),"S4 Bare-PCB Fab",IF(NOT(OR(AG105="Completed",AG105="NA",AG105="Cancelled")),"S5 Assembly",IF(NOT(OR(AL105="Completed",AL105="NA",AL105="Cancelled")),"S6 Bring-up",IF(NOT(OR(AQ105="Completed",AQ105="NA",AQ105="Cancelled")),"S7 BOM Procurement","All Stages Closed"))))))))</f>
        <v/>
      </c>
      <c r="F105" s="32" t="str">
        <f aca="false">IF($C105="","",IF(COUNTIF(M105,"Cancelled")+COUNTIF(R105,"Cancelled")+COUNTIF(W105,"Cancelled")+COUNTIF(AB105,"Cancelled")+COUNTIF(AG105,"Cancelled")+COUNTIF(AL105,"Cancelled")+COUNTIF(AQ105,"Cancelled")&gt;0,"Cancelled",IF(E105="All Stages Closed","Completed",IF(E105="S1 Schematic",M105,IF(E105="S2 PCB Layout",R105,IF(E105="S3 SI &amp; PI",W105,IF(E105="S4 Bare-PCB Fab",AB105,IF(E105="S5 Assembly",AG105,IF(E105="S6 Bring-up",AL105,AQ105)))))))))</f>
        <v/>
      </c>
      <c r="G105" s="33" t="str">
        <f aca="false">IF($C105="","",IF(E105="All Stages Closed","",IF(E105="S1 Schematic",IF(N105="","Not added",N105),IF(E105="S2 PCB Layout",IF(S105="","Not added",S105),IF(E105="S3 SI &amp; PI",IF(X105="","Not added",X105),IF(E105="S4 Bare-PCB Fab",IF(AC105="","Not added",AC105),IF(E105="S5 Assembly",IF(AH105="","Not added",AH105),IF(E105="S6 Bring-up",IF(AM105="","Not added",AM105),IF(AR105="","Not added",AR105)))))))))</f>
        <v/>
      </c>
      <c r="H105" s="32" t="str">
        <f aca="true">IF($C105="","",IF(OR(F105="Completed",F105="Cancelled"),"",IF(NOT(ISNUMBER(G105)),"No date set",IF(TODAY()&gt;G105,TODAY()-G105&amp;" days late",G105-TODAY()&amp;" days left"))))</f>
        <v/>
      </c>
      <c r="I105" s="31" t="str">
        <f aca="false">IF($C105="","",COUNTIF(M105,"Completed")+COUNTIF(R105,"Completed")+COUNTIF(W105,"Completed")+COUNTIF(AB105,"Completed")+COUNTIF(AG105,"Completed")+COUNTIF(AL105,"Completed")+COUNTIF(AQ105,"Completed"))</f>
        <v/>
      </c>
      <c r="J105" s="31" t="str">
        <f aca="false">IF($C105="","",7-(COUNTIF(M105,"NA")+COUNTIF(R105,"NA")+COUNTIF(W105,"NA")+COUNTIF(AB105,"NA")+COUNTIF(AG105,"NA")+COUNTIF(AL105,"NA")+COUNTIF(AQ105,"NA")))</f>
        <v/>
      </c>
      <c r="K105" s="34" t="str">
        <f aca="false">IFERROR(I105/J105,"")</f>
        <v/>
      </c>
      <c r="L105" s="29"/>
      <c r="M105" s="35"/>
      <c r="N105" s="36"/>
      <c r="O105" s="36"/>
      <c r="P105" s="30"/>
      <c r="Q105" s="29"/>
      <c r="R105" s="35"/>
      <c r="S105" s="36"/>
      <c r="T105" s="36"/>
      <c r="U105" s="30"/>
      <c r="V105" s="29"/>
      <c r="W105" s="35"/>
      <c r="X105" s="36"/>
      <c r="Y105" s="36"/>
      <c r="Z105" s="30"/>
      <c r="AA105" s="29"/>
      <c r="AB105" s="35"/>
      <c r="AC105" s="36"/>
      <c r="AD105" s="36"/>
      <c r="AE105" s="30"/>
      <c r="AF105" s="29"/>
      <c r="AG105" s="35"/>
      <c r="AH105" s="36"/>
      <c r="AI105" s="36"/>
      <c r="AJ105" s="30"/>
      <c r="AK105" s="29"/>
      <c r="AL105" s="35"/>
      <c r="AM105" s="36"/>
      <c r="AN105" s="36"/>
      <c r="AO105" s="30"/>
      <c r="AP105" s="29"/>
      <c r="AQ105" s="35"/>
      <c r="AR105" s="36"/>
      <c r="AS105" s="36"/>
      <c r="AT105" s="30"/>
      <c r="AU105" s="29"/>
      <c r="AV105" s="29"/>
      <c r="AW105" s="29"/>
      <c r="AX105" s="37"/>
      <c r="AY105" s="39" t="str">
        <f aca="false">IF(AU105&lt;&gt;"Yes","",IF(AV105="","SELECT RE-ENTRY STAGE","MOVE TO ACTIVE at "&amp;AV105))</f>
        <v/>
      </c>
      <c r="AZ105" s="40" t="str">
        <f aca="false">IF(AU105="Yes",COUNTIF($AU$6:AU105,"Yes"),"")</f>
        <v/>
      </c>
      <c r="BA105" s="29"/>
      <c r="BB105" s="38" t="str">
        <f aca="false">IF($C105="","",IF(OR(F105="Completed",F105="Cancelled"),"",IF(AND(OR(F105="On Hold",ISNUMBER(VALUE(LEFT(H105,2)))),BA105=""),"Reason not given","")))</f>
        <v/>
      </c>
      <c r="BC105" s="30"/>
    </row>
    <row r="106" customFormat="false" ht="19.5" hidden="false" customHeight="true" outlineLevel="0" collapsed="false">
      <c r="A106" s="28" t="str">
        <f aca="false">IF($C106="","",COUNTA($C$6:$C106))</f>
        <v/>
      </c>
      <c r="B106" s="29"/>
      <c r="C106" s="30"/>
      <c r="D106" s="29"/>
      <c r="E106" s="31" t="str">
        <f aca="false">IF($C106="","",IF(NOT(OR(M106="Completed",M106="NA",M106="Cancelled")),"S1 Schematic",IF(NOT(OR(R106="Completed",R106="NA",R106="Cancelled")),"S2 PCB Layout",IF(NOT(OR(W106="Completed",W106="NA",W106="Cancelled")),"S3 SI &amp; PI",IF(NOT(OR(AB106="Completed",AB106="NA",AB106="Cancelled")),"S4 Bare-PCB Fab",IF(NOT(OR(AG106="Completed",AG106="NA",AG106="Cancelled")),"S5 Assembly",IF(NOT(OR(AL106="Completed",AL106="NA",AL106="Cancelled")),"S6 Bring-up",IF(NOT(OR(AQ106="Completed",AQ106="NA",AQ106="Cancelled")),"S7 BOM Procurement","All Stages Closed"))))))))</f>
        <v/>
      </c>
      <c r="F106" s="32" t="str">
        <f aca="false">IF($C106="","",IF(COUNTIF(M106,"Cancelled")+COUNTIF(R106,"Cancelled")+COUNTIF(W106,"Cancelled")+COUNTIF(AB106,"Cancelled")+COUNTIF(AG106,"Cancelled")+COUNTIF(AL106,"Cancelled")+COUNTIF(AQ106,"Cancelled")&gt;0,"Cancelled",IF(E106="All Stages Closed","Completed",IF(E106="S1 Schematic",M106,IF(E106="S2 PCB Layout",R106,IF(E106="S3 SI &amp; PI",W106,IF(E106="S4 Bare-PCB Fab",AB106,IF(E106="S5 Assembly",AG106,IF(E106="S6 Bring-up",AL106,AQ106)))))))))</f>
        <v/>
      </c>
      <c r="G106" s="33" t="str">
        <f aca="false">IF($C106="","",IF(E106="All Stages Closed","",IF(E106="S1 Schematic",IF(N106="","Not added",N106),IF(E106="S2 PCB Layout",IF(S106="","Not added",S106),IF(E106="S3 SI &amp; PI",IF(X106="","Not added",X106),IF(E106="S4 Bare-PCB Fab",IF(AC106="","Not added",AC106),IF(E106="S5 Assembly",IF(AH106="","Not added",AH106),IF(E106="S6 Bring-up",IF(AM106="","Not added",AM106),IF(AR106="","Not added",AR106)))))))))</f>
        <v/>
      </c>
      <c r="H106" s="32" t="str">
        <f aca="true">IF($C106="","",IF(OR(F106="Completed",F106="Cancelled"),"",IF(NOT(ISNUMBER(G106)),"No date set",IF(TODAY()&gt;G106,TODAY()-G106&amp;" days late",G106-TODAY()&amp;" days left"))))</f>
        <v/>
      </c>
      <c r="I106" s="31" t="str">
        <f aca="false">IF($C106="","",COUNTIF(M106,"Completed")+COUNTIF(R106,"Completed")+COUNTIF(W106,"Completed")+COUNTIF(AB106,"Completed")+COUNTIF(AG106,"Completed")+COUNTIF(AL106,"Completed")+COUNTIF(AQ106,"Completed"))</f>
        <v/>
      </c>
      <c r="J106" s="31" t="str">
        <f aca="false">IF($C106="","",7-(COUNTIF(M106,"NA")+COUNTIF(R106,"NA")+COUNTIF(W106,"NA")+COUNTIF(AB106,"NA")+COUNTIF(AG106,"NA")+COUNTIF(AL106,"NA")+COUNTIF(AQ106,"NA")))</f>
        <v/>
      </c>
      <c r="K106" s="34" t="str">
        <f aca="false">IFERROR(I106/J106,"")</f>
        <v/>
      </c>
      <c r="L106" s="29"/>
      <c r="M106" s="35"/>
      <c r="N106" s="36"/>
      <c r="O106" s="36"/>
      <c r="P106" s="30"/>
      <c r="Q106" s="29"/>
      <c r="R106" s="35"/>
      <c r="S106" s="36"/>
      <c r="T106" s="36"/>
      <c r="U106" s="30"/>
      <c r="V106" s="29"/>
      <c r="W106" s="35"/>
      <c r="X106" s="36"/>
      <c r="Y106" s="36"/>
      <c r="Z106" s="30"/>
      <c r="AA106" s="29"/>
      <c r="AB106" s="35"/>
      <c r="AC106" s="36"/>
      <c r="AD106" s="36"/>
      <c r="AE106" s="30"/>
      <c r="AF106" s="29"/>
      <c r="AG106" s="35"/>
      <c r="AH106" s="36"/>
      <c r="AI106" s="36"/>
      <c r="AJ106" s="30"/>
      <c r="AK106" s="29"/>
      <c r="AL106" s="35"/>
      <c r="AM106" s="36"/>
      <c r="AN106" s="36"/>
      <c r="AO106" s="30"/>
      <c r="AP106" s="29"/>
      <c r="AQ106" s="35"/>
      <c r="AR106" s="36"/>
      <c r="AS106" s="36"/>
      <c r="AT106" s="30"/>
      <c r="AU106" s="29"/>
      <c r="AV106" s="29"/>
      <c r="AW106" s="29"/>
      <c r="AX106" s="37"/>
      <c r="AY106" s="39" t="str">
        <f aca="false">IF(AU106&lt;&gt;"Yes","",IF(AV106="","SELECT RE-ENTRY STAGE","MOVE TO ACTIVE at "&amp;AV106))</f>
        <v/>
      </c>
      <c r="AZ106" s="40" t="str">
        <f aca="false">IF(AU106="Yes",COUNTIF($AU$6:AU106,"Yes"),"")</f>
        <v/>
      </c>
      <c r="BA106" s="29"/>
      <c r="BB106" s="38" t="str">
        <f aca="false">IF($C106="","",IF(OR(F106="Completed",F106="Cancelled"),"",IF(AND(OR(F106="On Hold",ISNUMBER(VALUE(LEFT(H106,2)))),BA106=""),"Reason not given","")))</f>
        <v/>
      </c>
      <c r="BC106" s="30"/>
    </row>
    <row r="107" customFormat="false" ht="19.5" hidden="false" customHeight="true" outlineLevel="0" collapsed="false">
      <c r="A107" s="28" t="str">
        <f aca="false">IF($C107="","",COUNTA($C$6:$C107))</f>
        <v/>
      </c>
      <c r="B107" s="29"/>
      <c r="C107" s="30"/>
      <c r="D107" s="29"/>
      <c r="E107" s="31" t="str">
        <f aca="false">IF($C107="","",IF(NOT(OR(M107="Completed",M107="NA",M107="Cancelled")),"S1 Schematic",IF(NOT(OR(R107="Completed",R107="NA",R107="Cancelled")),"S2 PCB Layout",IF(NOT(OR(W107="Completed",W107="NA",W107="Cancelled")),"S3 SI &amp; PI",IF(NOT(OR(AB107="Completed",AB107="NA",AB107="Cancelled")),"S4 Bare-PCB Fab",IF(NOT(OR(AG107="Completed",AG107="NA",AG107="Cancelled")),"S5 Assembly",IF(NOT(OR(AL107="Completed",AL107="NA",AL107="Cancelled")),"S6 Bring-up",IF(NOT(OR(AQ107="Completed",AQ107="NA",AQ107="Cancelled")),"S7 BOM Procurement","All Stages Closed"))))))))</f>
        <v/>
      </c>
      <c r="F107" s="32" t="str">
        <f aca="false">IF($C107="","",IF(COUNTIF(M107,"Cancelled")+COUNTIF(R107,"Cancelled")+COUNTIF(W107,"Cancelled")+COUNTIF(AB107,"Cancelled")+COUNTIF(AG107,"Cancelled")+COUNTIF(AL107,"Cancelled")+COUNTIF(AQ107,"Cancelled")&gt;0,"Cancelled",IF(E107="All Stages Closed","Completed",IF(E107="S1 Schematic",M107,IF(E107="S2 PCB Layout",R107,IF(E107="S3 SI &amp; PI",W107,IF(E107="S4 Bare-PCB Fab",AB107,IF(E107="S5 Assembly",AG107,IF(E107="S6 Bring-up",AL107,AQ107)))))))))</f>
        <v/>
      </c>
      <c r="G107" s="33" t="str">
        <f aca="false">IF($C107="","",IF(E107="All Stages Closed","",IF(E107="S1 Schematic",IF(N107="","Not added",N107),IF(E107="S2 PCB Layout",IF(S107="","Not added",S107),IF(E107="S3 SI &amp; PI",IF(X107="","Not added",X107),IF(E107="S4 Bare-PCB Fab",IF(AC107="","Not added",AC107),IF(E107="S5 Assembly",IF(AH107="","Not added",AH107),IF(E107="S6 Bring-up",IF(AM107="","Not added",AM107),IF(AR107="","Not added",AR107)))))))))</f>
        <v/>
      </c>
      <c r="H107" s="32" t="str">
        <f aca="true">IF($C107="","",IF(OR(F107="Completed",F107="Cancelled"),"",IF(NOT(ISNUMBER(G107)),"No date set",IF(TODAY()&gt;G107,TODAY()-G107&amp;" days late",G107-TODAY()&amp;" days left"))))</f>
        <v/>
      </c>
      <c r="I107" s="31" t="str">
        <f aca="false">IF($C107="","",COUNTIF(M107,"Completed")+COUNTIF(R107,"Completed")+COUNTIF(W107,"Completed")+COUNTIF(AB107,"Completed")+COUNTIF(AG107,"Completed")+COUNTIF(AL107,"Completed")+COUNTIF(AQ107,"Completed"))</f>
        <v/>
      </c>
      <c r="J107" s="31" t="str">
        <f aca="false">IF($C107="","",7-(COUNTIF(M107,"NA")+COUNTIF(R107,"NA")+COUNTIF(W107,"NA")+COUNTIF(AB107,"NA")+COUNTIF(AG107,"NA")+COUNTIF(AL107,"NA")+COUNTIF(AQ107,"NA")))</f>
        <v/>
      </c>
      <c r="K107" s="34" t="str">
        <f aca="false">IFERROR(I107/J107,"")</f>
        <v/>
      </c>
      <c r="L107" s="29"/>
      <c r="M107" s="35"/>
      <c r="N107" s="36"/>
      <c r="O107" s="36"/>
      <c r="P107" s="30"/>
      <c r="Q107" s="29"/>
      <c r="R107" s="35"/>
      <c r="S107" s="36"/>
      <c r="T107" s="36"/>
      <c r="U107" s="30"/>
      <c r="V107" s="29"/>
      <c r="W107" s="35"/>
      <c r="X107" s="36"/>
      <c r="Y107" s="36"/>
      <c r="Z107" s="30"/>
      <c r="AA107" s="29"/>
      <c r="AB107" s="35"/>
      <c r="AC107" s="36"/>
      <c r="AD107" s="36"/>
      <c r="AE107" s="30"/>
      <c r="AF107" s="29"/>
      <c r="AG107" s="35"/>
      <c r="AH107" s="36"/>
      <c r="AI107" s="36"/>
      <c r="AJ107" s="30"/>
      <c r="AK107" s="29"/>
      <c r="AL107" s="35"/>
      <c r="AM107" s="36"/>
      <c r="AN107" s="36"/>
      <c r="AO107" s="30"/>
      <c r="AP107" s="29"/>
      <c r="AQ107" s="35"/>
      <c r="AR107" s="36"/>
      <c r="AS107" s="36"/>
      <c r="AT107" s="30"/>
      <c r="AU107" s="29"/>
      <c r="AV107" s="29"/>
      <c r="AW107" s="29"/>
      <c r="AX107" s="37"/>
      <c r="AY107" s="39" t="str">
        <f aca="false">IF(AU107&lt;&gt;"Yes","",IF(AV107="","SELECT RE-ENTRY STAGE","MOVE TO ACTIVE at "&amp;AV107))</f>
        <v/>
      </c>
      <c r="AZ107" s="40" t="str">
        <f aca="false">IF(AU107="Yes",COUNTIF($AU$6:AU107,"Yes"),"")</f>
        <v/>
      </c>
      <c r="BA107" s="29"/>
      <c r="BB107" s="38" t="str">
        <f aca="false">IF($C107="","",IF(OR(F107="Completed",F107="Cancelled"),"",IF(AND(OR(F107="On Hold",ISNUMBER(VALUE(LEFT(H107,2)))),BA107=""),"Reason not given","")))</f>
        <v/>
      </c>
      <c r="BC107" s="30"/>
    </row>
    <row r="108" customFormat="false" ht="19.5" hidden="false" customHeight="true" outlineLevel="0" collapsed="false">
      <c r="A108" s="28" t="str">
        <f aca="false">IF($C108="","",COUNTA($C$6:$C108))</f>
        <v/>
      </c>
      <c r="B108" s="29"/>
      <c r="C108" s="30"/>
      <c r="D108" s="29"/>
      <c r="E108" s="31" t="str">
        <f aca="false">IF($C108="","",IF(NOT(OR(M108="Completed",M108="NA",M108="Cancelled")),"S1 Schematic",IF(NOT(OR(R108="Completed",R108="NA",R108="Cancelled")),"S2 PCB Layout",IF(NOT(OR(W108="Completed",W108="NA",W108="Cancelled")),"S3 SI &amp; PI",IF(NOT(OR(AB108="Completed",AB108="NA",AB108="Cancelled")),"S4 Bare-PCB Fab",IF(NOT(OR(AG108="Completed",AG108="NA",AG108="Cancelled")),"S5 Assembly",IF(NOT(OR(AL108="Completed",AL108="NA",AL108="Cancelled")),"S6 Bring-up",IF(NOT(OR(AQ108="Completed",AQ108="NA",AQ108="Cancelled")),"S7 BOM Procurement","All Stages Closed"))))))))</f>
        <v/>
      </c>
      <c r="F108" s="32" t="str">
        <f aca="false">IF($C108="","",IF(COUNTIF(M108,"Cancelled")+COUNTIF(R108,"Cancelled")+COUNTIF(W108,"Cancelled")+COUNTIF(AB108,"Cancelled")+COUNTIF(AG108,"Cancelled")+COUNTIF(AL108,"Cancelled")+COUNTIF(AQ108,"Cancelled")&gt;0,"Cancelled",IF(E108="All Stages Closed","Completed",IF(E108="S1 Schematic",M108,IF(E108="S2 PCB Layout",R108,IF(E108="S3 SI &amp; PI",W108,IF(E108="S4 Bare-PCB Fab",AB108,IF(E108="S5 Assembly",AG108,IF(E108="S6 Bring-up",AL108,AQ108)))))))))</f>
        <v/>
      </c>
      <c r="G108" s="33" t="str">
        <f aca="false">IF($C108="","",IF(E108="All Stages Closed","",IF(E108="S1 Schematic",IF(N108="","Not added",N108),IF(E108="S2 PCB Layout",IF(S108="","Not added",S108),IF(E108="S3 SI &amp; PI",IF(X108="","Not added",X108),IF(E108="S4 Bare-PCB Fab",IF(AC108="","Not added",AC108),IF(E108="S5 Assembly",IF(AH108="","Not added",AH108),IF(E108="S6 Bring-up",IF(AM108="","Not added",AM108),IF(AR108="","Not added",AR108)))))))))</f>
        <v/>
      </c>
      <c r="H108" s="32" t="str">
        <f aca="true">IF($C108="","",IF(OR(F108="Completed",F108="Cancelled"),"",IF(NOT(ISNUMBER(G108)),"No date set",IF(TODAY()&gt;G108,TODAY()-G108&amp;" days late",G108-TODAY()&amp;" days left"))))</f>
        <v/>
      </c>
      <c r="I108" s="31" t="str">
        <f aca="false">IF($C108="","",COUNTIF(M108,"Completed")+COUNTIF(R108,"Completed")+COUNTIF(W108,"Completed")+COUNTIF(AB108,"Completed")+COUNTIF(AG108,"Completed")+COUNTIF(AL108,"Completed")+COUNTIF(AQ108,"Completed"))</f>
        <v/>
      </c>
      <c r="J108" s="31" t="str">
        <f aca="false">IF($C108="","",7-(COUNTIF(M108,"NA")+COUNTIF(R108,"NA")+COUNTIF(W108,"NA")+COUNTIF(AB108,"NA")+COUNTIF(AG108,"NA")+COUNTIF(AL108,"NA")+COUNTIF(AQ108,"NA")))</f>
        <v/>
      </c>
      <c r="K108" s="34" t="str">
        <f aca="false">IFERROR(I108/J108,"")</f>
        <v/>
      </c>
      <c r="L108" s="29"/>
      <c r="M108" s="35"/>
      <c r="N108" s="36"/>
      <c r="O108" s="36"/>
      <c r="P108" s="30"/>
      <c r="Q108" s="29"/>
      <c r="R108" s="35"/>
      <c r="S108" s="36"/>
      <c r="T108" s="36"/>
      <c r="U108" s="30"/>
      <c r="V108" s="29"/>
      <c r="W108" s="35"/>
      <c r="X108" s="36"/>
      <c r="Y108" s="36"/>
      <c r="Z108" s="30"/>
      <c r="AA108" s="29"/>
      <c r="AB108" s="35"/>
      <c r="AC108" s="36"/>
      <c r="AD108" s="36"/>
      <c r="AE108" s="30"/>
      <c r="AF108" s="29"/>
      <c r="AG108" s="35"/>
      <c r="AH108" s="36"/>
      <c r="AI108" s="36"/>
      <c r="AJ108" s="30"/>
      <c r="AK108" s="29"/>
      <c r="AL108" s="35"/>
      <c r="AM108" s="36"/>
      <c r="AN108" s="36"/>
      <c r="AO108" s="30"/>
      <c r="AP108" s="29"/>
      <c r="AQ108" s="35"/>
      <c r="AR108" s="36"/>
      <c r="AS108" s="36"/>
      <c r="AT108" s="30"/>
      <c r="AU108" s="29"/>
      <c r="AV108" s="29"/>
      <c r="AW108" s="29"/>
      <c r="AX108" s="37"/>
      <c r="AY108" s="39" t="str">
        <f aca="false">IF(AU108&lt;&gt;"Yes","",IF(AV108="","SELECT RE-ENTRY STAGE","MOVE TO ACTIVE at "&amp;AV108))</f>
        <v/>
      </c>
      <c r="AZ108" s="40" t="str">
        <f aca="false">IF(AU108="Yes",COUNTIF($AU$6:AU108,"Yes"),"")</f>
        <v/>
      </c>
      <c r="BA108" s="29"/>
      <c r="BB108" s="38" t="str">
        <f aca="false">IF($C108="","",IF(OR(F108="Completed",F108="Cancelled"),"",IF(AND(OR(F108="On Hold",ISNUMBER(VALUE(LEFT(H108,2)))),BA108=""),"Reason not given","")))</f>
        <v/>
      </c>
      <c r="BC108" s="30"/>
    </row>
    <row r="109" customFormat="false" ht="19.5" hidden="false" customHeight="true" outlineLevel="0" collapsed="false">
      <c r="A109" s="28" t="str">
        <f aca="false">IF($C109="","",COUNTA($C$6:$C109))</f>
        <v/>
      </c>
      <c r="B109" s="29"/>
      <c r="C109" s="30"/>
      <c r="D109" s="29"/>
      <c r="E109" s="31" t="str">
        <f aca="false">IF($C109="","",IF(NOT(OR(M109="Completed",M109="NA",M109="Cancelled")),"S1 Schematic",IF(NOT(OR(R109="Completed",R109="NA",R109="Cancelled")),"S2 PCB Layout",IF(NOT(OR(W109="Completed",W109="NA",W109="Cancelled")),"S3 SI &amp; PI",IF(NOT(OR(AB109="Completed",AB109="NA",AB109="Cancelled")),"S4 Bare-PCB Fab",IF(NOT(OR(AG109="Completed",AG109="NA",AG109="Cancelled")),"S5 Assembly",IF(NOT(OR(AL109="Completed",AL109="NA",AL109="Cancelled")),"S6 Bring-up",IF(NOT(OR(AQ109="Completed",AQ109="NA",AQ109="Cancelled")),"S7 BOM Procurement","All Stages Closed"))))))))</f>
        <v/>
      </c>
      <c r="F109" s="32" t="str">
        <f aca="false">IF($C109="","",IF(COUNTIF(M109,"Cancelled")+COUNTIF(R109,"Cancelled")+COUNTIF(W109,"Cancelled")+COUNTIF(AB109,"Cancelled")+COUNTIF(AG109,"Cancelled")+COUNTIF(AL109,"Cancelled")+COUNTIF(AQ109,"Cancelled")&gt;0,"Cancelled",IF(E109="All Stages Closed","Completed",IF(E109="S1 Schematic",M109,IF(E109="S2 PCB Layout",R109,IF(E109="S3 SI &amp; PI",W109,IF(E109="S4 Bare-PCB Fab",AB109,IF(E109="S5 Assembly",AG109,IF(E109="S6 Bring-up",AL109,AQ109)))))))))</f>
        <v/>
      </c>
      <c r="G109" s="33" t="str">
        <f aca="false">IF($C109="","",IF(E109="All Stages Closed","",IF(E109="S1 Schematic",IF(N109="","Not added",N109),IF(E109="S2 PCB Layout",IF(S109="","Not added",S109),IF(E109="S3 SI &amp; PI",IF(X109="","Not added",X109),IF(E109="S4 Bare-PCB Fab",IF(AC109="","Not added",AC109),IF(E109="S5 Assembly",IF(AH109="","Not added",AH109),IF(E109="S6 Bring-up",IF(AM109="","Not added",AM109),IF(AR109="","Not added",AR109)))))))))</f>
        <v/>
      </c>
      <c r="H109" s="32" t="str">
        <f aca="true">IF($C109="","",IF(OR(F109="Completed",F109="Cancelled"),"",IF(NOT(ISNUMBER(G109)),"No date set",IF(TODAY()&gt;G109,TODAY()-G109&amp;" days late",G109-TODAY()&amp;" days left"))))</f>
        <v/>
      </c>
      <c r="I109" s="31" t="str">
        <f aca="false">IF($C109="","",COUNTIF(M109,"Completed")+COUNTIF(R109,"Completed")+COUNTIF(W109,"Completed")+COUNTIF(AB109,"Completed")+COUNTIF(AG109,"Completed")+COUNTIF(AL109,"Completed")+COUNTIF(AQ109,"Completed"))</f>
        <v/>
      </c>
      <c r="J109" s="31" t="str">
        <f aca="false">IF($C109="","",7-(COUNTIF(M109,"NA")+COUNTIF(R109,"NA")+COUNTIF(W109,"NA")+COUNTIF(AB109,"NA")+COUNTIF(AG109,"NA")+COUNTIF(AL109,"NA")+COUNTIF(AQ109,"NA")))</f>
        <v/>
      </c>
      <c r="K109" s="34" t="str">
        <f aca="false">IFERROR(I109/J109,"")</f>
        <v/>
      </c>
      <c r="L109" s="29"/>
      <c r="M109" s="35"/>
      <c r="N109" s="36"/>
      <c r="O109" s="36"/>
      <c r="P109" s="30"/>
      <c r="Q109" s="29"/>
      <c r="R109" s="35"/>
      <c r="S109" s="36"/>
      <c r="T109" s="36"/>
      <c r="U109" s="30"/>
      <c r="V109" s="29"/>
      <c r="W109" s="35"/>
      <c r="X109" s="36"/>
      <c r="Y109" s="36"/>
      <c r="Z109" s="30"/>
      <c r="AA109" s="29"/>
      <c r="AB109" s="35"/>
      <c r="AC109" s="36"/>
      <c r="AD109" s="36"/>
      <c r="AE109" s="30"/>
      <c r="AF109" s="29"/>
      <c r="AG109" s="35"/>
      <c r="AH109" s="36"/>
      <c r="AI109" s="36"/>
      <c r="AJ109" s="30"/>
      <c r="AK109" s="29"/>
      <c r="AL109" s="35"/>
      <c r="AM109" s="36"/>
      <c r="AN109" s="36"/>
      <c r="AO109" s="30"/>
      <c r="AP109" s="29"/>
      <c r="AQ109" s="35"/>
      <c r="AR109" s="36"/>
      <c r="AS109" s="36"/>
      <c r="AT109" s="30"/>
      <c r="AU109" s="29"/>
      <c r="AV109" s="29"/>
      <c r="AW109" s="29"/>
      <c r="AX109" s="37"/>
      <c r="AY109" s="39" t="str">
        <f aca="false">IF(AU109&lt;&gt;"Yes","",IF(AV109="","SELECT RE-ENTRY STAGE","MOVE TO ACTIVE at "&amp;AV109))</f>
        <v/>
      </c>
      <c r="AZ109" s="40" t="str">
        <f aca="false">IF(AU109="Yes",COUNTIF($AU$6:AU109,"Yes"),"")</f>
        <v/>
      </c>
      <c r="BA109" s="29"/>
      <c r="BB109" s="38" t="str">
        <f aca="false">IF($C109="","",IF(OR(F109="Completed",F109="Cancelled"),"",IF(AND(OR(F109="On Hold",ISNUMBER(VALUE(LEFT(H109,2)))),BA109=""),"Reason not given","")))</f>
        <v/>
      </c>
      <c r="BC109" s="30"/>
    </row>
    <row r="110" customFormat="false" ht="19.5" hidden="false" customHeight="true" outlineLevel="0" collapsed="false">
      <c r="A110" s="28" t="str">
        <f aca="false">IF($C110="","",COUNTA($C$6:$C110))</f>
        <v/>
      </c>
      <c r="B110" s="29"/>
      <c r="C110" s="30"/>
      <c r="D110" s="29"/>
      <c r="E110" s="31" t="str">
        <f aca="false">IF($C110="","",IF(NOT(OR(M110="Completed",M110="NA",M110="Cancelled")),"S1 Schematic",IF(NOT(OR(R110="Completed",R110="NA",R110="Cancelled")),"S2 PCB Layout",IF(NOT(OR(W110="Completed",W110="NA",W110="Cancelled")),"S3 SI &amp; PI",IF(NOT(OR(AB110="Completed",AB110="NA",AB110="Cancelled")),"S4 Bare-PCB Fab",IF(NOT(OR(AG110="Completed",AG110="NA",AG110="Cancelled")),"S5 Assembly",IF(NOT(OR(AL110="Completed",AL110="NA",AL110="Cancelled")),"S6 Bring-up",IF(NOT(OR(AQ110="Completed",AQ110="NA",AQ110="Cancelled")),"S7 BOM Procurement","All Stages Closed"))))))))</f>
        <v/>
      </c>
      <c r="F110" s="32" t="str">
        <f aca="false">IF($C110="","",IF(COUNTIF(M110,"Cancelled")+COUNTIF(R110,"Cancelled")+COUNTIF(W110,"Cancelled")+COUNTIF(AB110,"Cancelled")+COUNTIF(AG110,"Cancelled")+COUNTIF(AL110,"Cancelled")+COUNTIF(AQ110,"Cancelled")&gt;0,"Cancelled",IF(E110="All Stages Closed","Completed",IF(E110="S1 Schematic",M110,IF(E110="S2 PCB Layout",R110,IF(E110="S3 SI &amp; PI",W110,IF(E110="S4 Bare-PCB Fab",AB110,IF(E110="S5 Assembly",AG110,IF(E110="S6 Bring-up",AL110,AQ110)))))))))</f>
        <v/>
      </c>
      <c r="G110" s="33" t="str">
        <f aca="false">IF($C110="","",IF(E110="All Stages Closed","",IF(E110="S1 Schematic",IF(N110="","Not added",N110),IF(E110="S2 PCB Layout",IF(S110="","Not added",S110),IF(E110="S3 SI &amp; PI",IF(X110="","Not added",X110),IF(E110="S4 Bare-PCB Fab",IF(AC110="","Not added",AC110),IF(E110="S5 Assembly",IF(AH110="","Not added",AH110),IF(E110="S6 Bring-up",IF(AM110="","Not added",AM110),IF(AR110="","Not added",AR110)))))))))</f>
        <v/>
      </c>
      <c r="H110" s="32" t="str">
        <f aca="true">IF($C110="","",IF(OR(F110="Completed",F110="Cancelled"),"",IF(NOT(ISNUMBER(G110)),"No date set",IF(TODAY()&gt;G110,TODAY()-G110&amp;" days late",G110-TODAY()&amp;" days left"))))</f>
        <v/>
      </c>
      <c r="I110" s="31" t="str">
        <f aca="false">IF($C110="","",COUNTIF(M110,"Completed")+COUNTIF(R110,"Completed")+COUNTIF(W110,"Completed")+COUNTIF(AB110,"Completed")+COUNTIF(AG110,"Completed")+COUNTIF(AL110,"Completed")+COUNTIF(AQ110,"Completed"))</f>
        <v/>
      </c>
      <c r="J110" s="31" t="str">
        <f aca="false">IF($C110="","",7-(COUNTIF(M110,"NA")+COUNTIF(R110,"NA")+COUNTIF(W110,"NA")+COUNTIF(AB110,"NA")+COUNTIF(AG110,"NA")+COUNTIF(AL110,"NA")+COUNTIF(AQ110,"NA")))</f>
        <v/>
      </c>
      <c r="K110" s="34" t="str">
        <f aca="false">IFERROR(I110/J110,"")</f>
        <v/>
      </c>
      <c r="L110" s="29"/>
      <c r="M110" s="35"/>
      <c r="N110" s="36"/>
      <c r="O110" s="36"/>
      <c r="P110" s="30"/>
      <c r="Q110" s="29"/>
      <c r="R110" s="35"/>
      <c r="S110" s="36"/>
      <c r="T110" s="36"/>
      <c r="U110" s="30"/>
      <c r="V110" s="29"/>
      <c r="W110" s="35"/>
      <c r="X110" s="36"/>
      <c r="Y110" s="36"/>
      <c r="Z110" s="30"/>
      <c r="AA110" s="29"/>
      <c r="AB110" s="35"/>
      <c r="AC110" s="36"/>
      <c r="AD110" s="36"/>
      <c r="AE110" s="30"/>
      <c r="AF110" s="29"/>
      <c r="AG110" s="35"/>
      <c r="AH110" s="36"/>
      <c r="AI110" s="36"/>
      <c r="AJ110" s="30"/>
      <c r="AK110" s="29"/>
      <c r="AL110" s="35"/>
      <c r="AM110" s="36"/>
      <c r="AN110" s="36"/>
      <c r="AO110" s="30"/>
      <c r="AP110" s="29"/>
      <c r="AQ110" s="35"/>
      <c r="AR110" s="36"/>
      <c r="AS110" s="36"/>
      <c r="AT110" s="30"/>
      <c r="AU110" s="29"/>
      <c r="AV110" s="29"/>
      <c r="AW110" s="29"/>
      <c r="AX110" s="37"/>
      <c r="AY110" s="39" t="str">
        <f aca="false">IF(AU110&lt;&gt;"Yes","",IF(AV110="","SELECT RE-ENTRY STAGE","MOVE TO ACTIVE at "&amp;AV110))</f>
        <v/>
      </c>
      <c r="AZ110" s="40" t="str">
        <f aca="false">IF(AU110="Yes",COUNTIF($AU$6:AU110,"Yes"),"")</f>
        <v/>
      </c>
      <c r="BA110" s="29"/>
      <c r="BB110" s="38" t="str">
        <f aca="false">IF($C110="","",IF(OR(F110="Completed",F110="Cancelled"),"",IF(AND(OR(F110="On Hold",ISNUMBER(VALUE(LEFT(H110,2)))),BA110=""),"Reason not given","")))</f>
        <v/>
      </c>
      <c r="BC110" s="30"/>
    </row>
    <row r="111" customFormat="false" ht="19.5" hidden="false" customHeight="true" outlineLevel="0" collapsed="false">
      <c r="A111" s="28" t="str">
        <f aca="false">IF($C111="","",COUNTA($C$6:$C111))</f>
        <v/>
      </c>
      <c r="B111" s="29"/>
      <c r="C111" s="30"/>
      <c r="D111" s="29"/>
      <c r="E111" s="31" t="str">
        <f aca="false">IF($C111="","",IF(NOT(OR(M111="Completed",M111="NA",M111="Cancelled")),"S1 Schematic",IF(NOT(OR(R111="Completed",R111="NA",R111="Cancelled")),"S2 PCB Layout",IF(NOT(OR(W111="Completed",W111="NA",W111="Cancelled")),"S3 SI &amp; PI",IF(NOT(OR(AB111="Completed",AB111="NA",AB111="Cancelled")),"S4 Bare-PCB Fab",IF(NOT(OR(AG111="Completed",AG111="NA",AG111="Cancelled")),"S5 Assembly",IF(NOT(OR(AL111="Completed",AL111="NA",AL111="Cancelled")),"S6 Bring-up",IF(NOT(OR(AQ111="Completed",AQ111="NA",AQ111="Cancelled")),"S7 BOM Procurement","All Stages Closed"))))))))</f>
        <v/>
      </c>
      <c r="F111" s="32" t="str">
        <f aca="false">IF($C111="","",IF(COUNTIF(M111,"Cancelled")+COUNTIF(R111,"Cancelled")+COUNTIF(W111,"Cancelled")+COUNTIF(AB111,"Cancelled")+COUNTIF(AG111,"Cancelled")+COUNTIF(AL111,"Cancelled")+COUNTIF(AQ111,"Cancelled")&gt;0,"Cancelled",IF(E111="All Stages Closed","Completed",IF(E111="S1 Schematic",M111,IF(E111="S2 PCB Layout",R111,IF(E111="S3 SI &amp; PI",W111,IF(E111="S4 Bare-PCB Fab",AB111,IF(E111="S5 Assembly",AG111,IF(E111="S6 Bring-up",AL111,AQ111)))))))))</f>
        <v/>
      </c>
      <c r="G111" s="33" t="str">
        <f aca="false">IF($C111="","",IF(E111="All Stages Closed","",IF(E111="S1 Schematic",IF(N111="","Not added",N111),IF(E111="S2 PCB Layout",IF(S111="","Not added",S111),IF(E111="S3 SI &amp; PI",IF(X111="","Not added",X111),IF(E111="S4 Bare-PCB Fab",IF(AC111="","Not added",AC111),IF(E111="S5 Assembly",IF(AH111="","Not added",AH111),IF(E111="S6 Bring-up",IF(AM111="","Not added",AM111),IF(AR111="","Not added",AR111)))))))))</f>
        <v/>
      </c>
      <c r="H111" s="32" t="str">
        <f aca="true">IF($C111="","",IF(OR(F111="Completed",F111="Cancelled"),"",IF(NOT(ISNUMBER(G111)),"No date set",IF(TODAY()&gt;G111,TODAY()-G111&amp;" days late",G111-TODAY()&amp;" days left"))))</f>
        <v/>
      </c>
      <c r="I111" s="31" t="str">
        <f aca="false">IF($C111="","",COUNTIF(M111,"Completed")+COUNTIF(R111,"Completed")+COUNTIF(W111,"Completed")+COUNTIF(AB111,"Completed")+COUNTIF(AG111,"Completed")+COUNTIF(AL111,"Completed")+COUNTIF(AQ111,"Completed"))</f>
        <v/>
      </c>
      <c r="J111" s="31" t="str">
        <f aca="false">IF($C111="","",7-(COUNTIF(M111,"NA")+COUNTIF(R111,"NA")+COUNTIF(W111,"NA")+COUNTIF(AB111,"NA")+COUNTIF(AG111,"NA")+COUNTIF(AL111,"NA")+COUNTIF(AQ111,"NA")))</f>
        <v/>
      </c>
      <c r="K111" s="34" t="str">
        <f aca="false">IFERROR(I111/J111,"")</f>
        <v/>
      </c>
      <c r="L111" s="29"/>
      <c r="M111" s="35"/>
      <c r="N111" s="36"/>
      <c r="O111" s="36"/>
      <c r="P111" s="30"/>
      <c r="Q111" s="29"/>
      <c r="R111" s="35"/>
      <c r="S111" s="36"/>
      <c r="T111" s="36"/>
      <c r="U111" s="30"/>
      <c r="V111" s="29"/>
      <c r="W111" s="35"/>
      <c r="X111" s="36"/>
      <c r="Y111" s="36"/>
      <c r="Z111" s="30"/>
      <c r="AA111" s="29"/>
      <c r="AB111" s="35"/>
      <c r="AC111" s="36"/>
      <c r="AD111" s="36"/>
      <c r="AE111" s="30"/>
      <c r="AF111" s="29"/>
      <c r="AG111" s="35"/>
      <c r="AH111" s="36"/>
      <c r="AI111" s="36"/>
      <c r="AJ111" s="30"/>
      <c r="AK111" s="29"/>
      <c r="AL111" s="35"/>
      <c r="AM111" s="36"/>
      <c r="AN111" s="36"/>
      <c r="AO111" s="30"/>
      <c r="AP111" s="29"/>
      <c r="AQ111" s="35"/>
      <c r="AR111" s="36"/>
      <c r="AS111" s="36"/>
      <c r="AT111" s="30"/>
      <c r="AU111" s="29"/>
      <c r="AV111" s="29"/>
      <c r="AW111" s="29"/>
      <c r="AX111" s="37"/>
      <c r="AY111" s="39" t="str">
        <f aca="false">IF(AU111&lt;&gt;"Yes","",IF(AV111="","SELECT RE-ENTRY STAGE","MOVE TO ACTIVE at "&amp;AV111))</f>
        <v/>
      </c>
      <c r="AZ111" s="40" t="str">
        <f aca="false">IF(AU111="Yes",COUNTIF($AU$6:AU111,"Yes"),"")</f>
        <v/>
      </c>
      <c r="BA111" s="29"/>
      <c r="BB111" s="38" t="str">
        <f aca="false">IF($C111="","",IF(OR(F111="Completed",F111="Cancelled"),"",IF(AND(OR(F111="On Hold",ISNUMBER(VALUE(LEFT(H111,2)))),BA111=""),"Reason not given","")))</f>
        <v/>
      </c>
      <c r="BC111" s="30"/>
    </row>
    <row r="112" customFormat="false" ht="19.5" hidden="false" customHeight="true" outlineLevel="0" collapsed="false">
      <c r="A112" s="28" t="str">
        <f aca="false">IF($C112="","",COUNTA($C$6:$C112))</f>
        <v/>
      </c>
      <c r="B112" s="29"/>
      <c r="C112" s="30"/>
      <c r="D112" s="29"/>
      <c r="E112" s="31" t="str">
        <f aca="false">IF($C112="","",IF(NOT(OR(M112="Completed",M112="NA",M112="Cancelled")),"S1 Schematic",IF(NOT(OR(R112="Completed",R112="NA",R112="Cancelled")),"S2 PCB Layout",IF(NOT(OR(W112="Completed",W112="NA",W112="Cancelled")),"S3 SI &amp; PI",IF(NOT(OR(AB112="Completed",AB112="NA",AB112="Cancelled")),"S4 Bare-PCB Fab",IF(NOT(OR(AG112="Completed",AG112="NA",AG112="Cancelled")),"S5 Assembly",IF(NOT(OR(AL112="Completed",AL112="NA",AL112="Cancelled")),"S6 Bring-up",IF(NOT(OR(AQ112="Completed",AQ112="NA",AQ112="Cancelled")),"S7 BOM Procurement","All Stages Closed"))))))))</f>
        <v/>
      </c>
      <c r="F112" s="32" t="str">
        <f aca="false">IF($C112="","",IF(COUNTIF(M112,"Cancelled")+COUNTIF(R112,"Cancelled")+COUNTIF(W112,"Cancelled")+COUNTIF(AB112,"Cancelled")+COUNTIF(AG112,"Cancelled")+COUNTIF(AL112,"Cancelled")+COUNTIF(AQ112,"Cancelled")&gt;0,"Cancelled",IF(E112="All Stages Closed","Completed",IF(E112="S1 Schematic",M112,IF(E112="S2 PCB Layout",R112,IF(E112="S3 SI &amp; PI",W112,IF(E112="S4 Bare-PCB Fab",AB112,IF(E112="S5 Assembly",AG112,IF(E112="S6 Bring-up",AL112,AQ112)))))))))</f>
        <v/>
      </c>
      <c r="G112" s="33" t="str">
        <f aca="false">IF($C112="","",IF(E112="All Stages Closed","",IF(E112="S1 Schematic",IF(N112="","Not added",N112),IF(E112="S2 PCB Layout",IF(S112="","Not added",S112),IF(E112="S3 SI &amp; PI",IF(X112="","Not added",X112),IF(E112="S4 Bare-PCB Fab",IF(AC112="","Not added",AC112),IF(E112="S5 Assembly",IF(AH112="","Not added",AH112),IF(E112="S6 Bring-up",IF(AM112="","Not added",AM112),IF(AR112="","Not added",AR112)))))))))</f>
        <v/>
      </c>
      <c r="H112" s="32" t="str">
        <f aca="true">IF($C112="","",IF(OR(F112="Completed",F112="Cancelled"),"",IF(NOT(ISNUMBER(G112)),"No date set",IF(TODAY()&gt;G112,TODAY()-G112&amp;" days late",G112-TODAY()&amp;" days left"))))</f>
        <v/>
      </c>
      <c r="I112" s="31" t="str">
        <f aca="false">IF($C112="","",COUNTIF(M112,"Completed")+COUNTIF(R112,"Completed")+COUNTIF(W112,"Completed")+COUNTIF(AB112,"Completed")+COUNTIF(AG112,"Completed")+COUNTIF(AL112,"Completed")+COUNTIF(AQ112,"Completed"))</f>
        <v/>
      </c>
      <c r="J112" s="31" t="str">
        <f aca="false">IF($C112="","",7-(COUNTIF(M112,"NA")+COUNTIF(R112,"NA")+COUNTIF(W112,"NA")+COUNTIF(AB112,"NA")+COUNTIF(AG112,"NA")+COUNTIF(AL112,"NA")+COUNTIF(AQ112,"NA")))</f>
        <v/>
      </c>
      <c r="K112" s="34" t="str">
        <f aca="false">IFERROR(I112/J112,"")</f>
        <v/>
      </c>
      <c r="L112" s="29"/>
      <c r="M112" s="35"/>
      <c r="N112" s="36"/>
      <c r="O112" s="36"/>
      <c r="P112" s="30"/>
      <c r="Q112" s="29"/>
      <c r="R112" s="35"/>
      <c r="S112" s="36"/>
      <c r="T112" s="36"/>
      <c r="U112" s="30"/>
      <c r="V112" s="29"/>
      <c r="W112" s="35"/>
      <c r="X112" s="36"/>
      <c r="Y112" s="36"/>
      <c r="Z112" s="30"/>
      <c r="AA112" s="29"/>
      <c r="AB112" s="35"/>
      <c r="AC112" s="36"/>
      <c r="AD112" s="36"/>
      <c r="AE112" s="30"/>
      <c r="AF112" s="29"/>
      <c r="AG112" s="35"/>
      <c r="AH112" s="36"/>
      <c r="AI112" s="36"/>
      <c r="AJ112" s="30"/>
      <c r="AK112" s="29"/>
      <c r="AL112" s="35"/>
      <c r="AM112" s="36"/>
      <c r="AN112" s="36"/>
      <c r="AO112" s="30"/>
      <c r="AP112" s="29"/>
      <c r="AQ112" s="35"/>
      <c r="AR112" s="36"/>
      <c r="AS112" s="36"/>
      <c r="AT112" s="30"/>
      <c r="AU112" s="29"/>
      <c r="AV112" s="29"/>
      <c r="AW112" s="29"/>
      <c r="AX112" s="37"/>
      <c r="AY112" s="39" t="str">
        <f aca="false">IF(AU112&lt;&gt;"Yes","",IF(AV112="","SELECT RE-ENTRY STAGE","MOVE TO ACTIVE at "&amp;AV112))</f>
        <v/>
      </c>
      <c r="AZ112" s="40" t="str">
        <f aca="false">IF(AU112="Yes",COUNTIF($AU$6:AU112,"Yes"),"")</f>
        <v/>
      </c>
      <c r="BA112" s="29"/>
      <c r="BB112" s="38" t="str">
        <f aca="false">IF($C112="","",IF(OR(F112="Completed",F112="Cancelled"),"",IF(AND(OR(F112="On Hold",ISNUMBER(VALUE(LEFT(H112,2)))),BA112=""),"Reason not given","")))</f>
        <v/>
      </c>
      <c r="BC112" s="30"/>
    </row>
    <row r="113" customFormat="false" ht="19.5" hidden="false" customHeight="true" outlineLevel="0" collapsed="false">
      <c r="A113" s="28" t="str">
        <f aca="false">IF($C113="","",COUNTA($C$6:$C113))</f>
        <v/>
      </c>
      <c r="B113" s="29"/>
      <c r="C113" s="30"/>
      <c r="D113" s="29"/>
      <c r="E113" s="31" t="str">
        <f aca="false">IF($C113="","",IF(NOT(OR(M113="Completed",M113="NA",M113="Cancelled")),"S1 Schematic",IF(NOT(OR(R113="Completed",R113="NA",R113="Cancelled")),"S2 PCB Layout",IF(NOT(OR(W113="Completed",W113="NA",W113="Cancelled")),"S3 SI &amp; PI",IF(NOT(OR(AB113="Completed",AB113="NA",AB113="Cancelled")),"S4 Bare-PCB Fab",IF(NOT(OR(AG113="Completed",AG113="NA",AG113="Cancelled")),"S5 Assembly",IF(NOT(OR(AL113="Completed",AL113="NA",AL113="Cancelled")),"S6 Bring-up",IF(NOT(OR(AQ113="Completed",AQ113="NA",AQ113="Cancelled")),"S7 BOM Procurement","All Stages Closed"))))))))</f>
        <v/>
      </c>
      <c r="F113" s="32" t="str">
        <f aca="false">IF($C113="","",IF(COUNTIF(M113,"Cancelled")+COUNTIF(R113,"Cancelled")+COUNTIF(W113,"Cancelled")+COUNTIF(AB113,"Cancelled")+COUNTIF(AG113,"Cancelled")+COUNTIF(AL113,"Cancelled")+COUNTIF(AQ113,"Cancelled")&gt;0,"Cancelled",IF(E113="All Stages Closed","Completed",IF(E113="S1 Schematic",M113,IF(E113="S2 PCB Layout",R113,IF(E113="S3 SI &amp; PI",W113,IF(E113="S4 Bare-PCB Fab",AB113,IF(E113="S5 Assembly",AG113,IF(E113="S6 Bring-up",AL113,AQ113)))))))))</f>
        <v/>
      </c>
      <c r="G113" s="33" t="str">
        <f aca="false">IF($C113="","",IF(E113="All Stages Closed","",IF(E113="S1 Schematic",IF(N113="","Not added",N113),IF(E113="S2 PCB Layout",IF(S113="","Not added",S113),IF(E113="S3 SI &amp; PI",IF(X113="","Not added",X113),IF(E113="S4 Bare-PCB Fab",IF(AC113="","Not added",AC113),IF(E113="S5 Assembly",IF(AH113="","Not added",AH113),IF(E113="S6 Bring-up",IF(AM113="","Not added",AM113),IF(AR113="","Not added",AR113)))))))))</f>
        <v/>
      </c>
      <c r="H113" s="32" t="str">
        <f aca="true">IF($C113="","",IF(OR(F113="Completed",F113="Cancelled"),"",IF(NOT(ISNUMBER(G113)),"No date set",IF(TODAY()&gt;G113,TODAY()-G113&amp;" days late",G113-TODAY()&amp;" days left"))))</f>
        <v/>
      </c>
      <c r="I113" s="31" t="str">
        <f aca="false">IF($C113="","",COUNTIF(M113,"Completed")+COUNTIF(R113,"Completed")+COUNTIF(W113,"Completed")+COUNTIF(AB113,"Completed")+COUNTIF(AG113,"Completed")+COUNTIF(AL113,"Completed")+COUNTIF(AQ113,"Completed"))</f>
        <v/>
      </c>
      <c r="J113" s="31" t="str">
        <f aca="false">IF($C113="","",7-(COUNTIF(M113,"NA")+COUNTIF(R113,"NA")+COUNTIF(W113,"NA")+COUNTIF(AB113,"NA")+COUNTIF(AG113,"NA")+COUNTIF(AL113,"NA")+COUNTIF(AQ113,"NA")))</f>
        <v/>
      </c>
      <c r="K113" s="34" t="str">
        <f aca="false">IFERROR(I113/J113,"")</f>
        <v/>
      </c>
      <c r="L113" s="29"/>
      <c r="M113" s="35"/>
      <c r="N113" s="36"/>
      <c r="O113" s="36"/>
      <c r="P113" s="30"/>
      <c r="Q113" s="29"/>
      <c r="R113" s="35"/>
      <c r="S113" s="36"/>
      <c r="T113" s="36"/>
      <c r="U113" s="30"/>
      <c r="V113" s="29"/>
      <c r="W113" s="35"/>
      <c r="X113" s="36"/>
      <c r="Y113" s="36"/>
      <c r="Z113" s="30"/>
      <c r="AA113" s="29"/>
      <c r="AB113" s="35"/>
      <c r="AC113" s="36"/>
      <c r="AD113" s="36"/>
      <c r="AE113" s="30"/>
      <c r="AF113" s="29"/>
      <c r="AG113" s="35"/>
      <c r="AH113" s="36"/>
      <c r="AI113" s="36"/>
      <c r="AJ113" s="30"/>
      <c r="AK113" s="29"/>
      <c r="AL113" s="35"/>
      <c r="AM113" s="36"/>
      <c r="AN113" s="36"/>
      <c r="AO113" s="30"/>
      <c r="AP113" s="29"/>
      <c r="AQ113" s="35"/>
      <c r="AR113" s="36"/>
      <c r="AS113" s="36"/>
      <c r="AT113" s="30"/>
      <c r="AU113" s="29"/>
      <c r="AV113" s="29"/>
      <c r="AW113" s="29"/>
      <c r="AX113" s="37"/>
      <c r="AY113" s="39" t="str">
        <f aca="false">IF(AU113&lt;&gt;"Yes","",IF(AV113="","SELECT RE-ENTRY STAGE","MOVE TO ACTIVE at "&amp;AV113))</f>
        <v/>
      </c>
      <c r="AZ113" s="40" t="str">
        <f aca="false">IF(AU113="Yes",COUNTIF($AU$6:AU113,"Yes"),"")</f>
        <v/>
      </c>
      <c r="BA113" s="29"/>
      <c r="BB113" s="38" t="str">
        <f aca="false">IF($C113="","",IF(OR(F113="Completed",F113="Cancelled"),"",IF(AND(OR(F113="On Hold",ISNUMBER(VALUE(LEFT(H113,2)))),BA113=""),"Reason not given","")))</f>
        <v/>
      </c>
      <c r="BC113" s="30"/>
    </row>
    <row r="114" customFormat="false" ht="19.5" hidden="false" customHeight="true" outlineLevel="0" collapsed="false">
      <c r="A114" s="28" t="str">
        <f aca="false">IF($C114="","",COUNTA($C$6:$C114))</f>
        <v/>
      </c>
      <c r="B114" s="29"/>
      <c r="C114" s="30"/>
      <c r="D114" s="29"/>
      <c r="E114" s="31" t="str">
        <f aca="false">IF($C114="","",IF(NOT(OR(M114="Completed",M114="NA",M114="Cancelled")),"S1 Schematic",IF(NOT(OR(R114="Completed",R114="NA",R114="Cancelled")),"S2 PCB Layout",IF(NOT(OR(W114="Completed",W114="NA",W114="Cancelled")),"S3 SI &amp; PI",IF(NOT(OR(AB114="Completed",AB114="NA",AB114="Cancelled")),"S4 Bare-PCB Fab",IF(NOT(OR(AG114="Completed",AG114="NA",AG114="Cancelled")),"S5 Assembly",IF(NOT(OR(AL114="Completed",AL114="NA",AL114="Cancelled")),"S6 Bring-up",IF(NOT(OR(AQ114="Completed",AQ114="NA",AQ114="Cancelled")),"S7 BOM Procurement","All Stages Closed"))))))))</f>
        <v/>
      </c>
      <c r="F114" s="32" t="str">
        <f aca="false">IF($C114="","",IF(COUNTIF(M114,"Cancelled")+COUNTIF(R114,"Cancelled")+COUNTIF(W114,"Cancelled")+COUNTIF(AB114,"Cancelled")+COUNTIF(AG114,"Cancelled")+COUNTIF(AL114,"Cancelled")+COUNTIF(AQ114,"Cancelled")&gt;0,"Cancelled",IF(E114="All Stages Closed","Completed",IF(E114="S1 Schematic",M114,IF(E114="S2 PCB Layout",R114,IF(E114="S3 SI &amp; PI",W114,IF(E114="S4 Bare-PCB Fab",AB114,IF(E114="S5 Assembly",AG114,IF(E114="S6 Bring-up",AL114,AQ114)))))))))</f>
        <v/>
      </c>
      <c r="G114" s="33" t="str">
        <f aca="false">IF($C114="","",IF(E114="All Stages Closed","",IF(E114="S1 Schematic",IF(N114="","Not added",N114),IF(E114="S2 PCB Layout",IF(S114="","Not added",S114),IF(E114="S3 SI &amp; PI",IF(X114="","Not added",X114),IF(E114="S4 Bare-PCB Fab",IF(AC114="","Not added",AC114),IF(E114="S5 Assembly",IF(AH114="","Not added",AH114),IF(E114="S6 Bring-up",IF(AM114="","Not added",AM114),IF(AR114="","Not added",AR114)))))))))</f>
        <v/>
      </c>
      <c r="H114" s="32" t="str">
        <f aca="true">IF($C114="","",IF(OR(F114="Completed",F114="Cancelled"),"",IF(NOT(ISNUMBER(G114)),"No date set",IF(TODAY()&gt;G114,TODAY()-G114&amp;" days late",G114-TODAY()&amp;" days left"))))</f>
        <v/>
      </c>
      <c r="I114" s="31" t="str">
        <f aca="false">IF($C114="","",COUNTIF(M114,"Completed")+COUNTIF(R114,"Completed")+COUNTIF(W114,"Completed")+COUNTIF(AB114,"Completed")+COUNTIF(AG114,"Completed")+COUNTIF(AL114,"Completed")+COUNTIF(AQ114,"Completed"))</f>
        <v/>
      </c>
      <c r="J114" s="31" t="str">
        <f aca="false">IF($C114="","",7-(COUNTIF(M114,"NA")+COUNTIF(R114,"NA")+COUNTIF(W114,"NA")+COUNTIF(AB114,"NA")+COUNTIF(AG114,"NA")+COUNTIF(AL114,"NA")+COUNTIF(AQ114,"NA")))</f>
        <v/>
      </c>
      <c r="K114" s="34" t="str">
        <f aca="false">IFERROR(I114/J114,"")</f>
        <v/>
      </c>
      <c r="L114" s="29"/>
      <c r="M114" s="35"/>
      <c r="N114" s="36"/>
      <c r="O114" s="36"/>
      <c r="P114" s="30"/>
      <c r="Q114" s="29"/>
      <c r="R114" s="35"/>
      <c r="S114" s="36"/>
      <c r="T114" s="36"/>
      <c r="U114" s="30"/>
      <c r="V114" s="29"/>
      <c r="W114" s="35"/>
      <c r="X114" s="36"/>
      <c r="Y114" s="36"/>
      <c r="Z114" s="30"/>
      <c r="AA114" s="29"/>
      <c r="AB114" s="35"/>
      <c r="AC114" s="36"/>
      <c r="AD114" s="36"/>
      <c r="AE114" s="30"/>
      <c r="AF114" s="29"/>
      <c r="AG114" s="35"/>
      <c r="AH114" s="36"/>
      <c r="AI114" s="36"/>
      <c r="AJ114" s="30"/>
      <c r="AK114" s="29"/>
      <c r="AL114" s="35"/>
      <c r="AM114" s="36"/>
      <c r="AN114" s="36"/>
      <c r="AO114" s="30"/>
      <c r="AP114" s="29"/>
      <c r="AQ114" s="35"/>
      <c r="AR114" s="36"/>
      <c r="AS114" s="36"/>
      <c r="AT114" s="30"/>
      <c r="AU114" s="29"/>
      <c r="AV114" s="29"/>
      <c r="AW114" s="29"/>
      <c r="AX114" s="37"/>
      <c r="AY114" s="39" t="str">
        <f aca="false">IF(AU114&lt;&gt;"Yes","",IF(AV114="","SELECT RE-ENTRY STAGE","MOVE TO ACTIVE at "&amp;AV114))</f>
        <v/>
      </c>
      <c r="AZ114" s="40" t="str">
        <f aca="false">IF(AU114="Yes",COUNTIF($AU$6:AU114,"Yes"),"")</f>
        <v/>
      </c>
      <c r="BA114" s="29"/>
      <c r="BB114" s="38" t="str">
        <f aca="false">IF($C114="","",IF(OR(F114="Completed",F114="Cancelled"),"",IF(AND(OR(F114="On Hold",ISNUMBER(VALUE(LEFT(H114,2)))),BA114=""),"Reason not given","")))</f>
        <v/>
      </c>
      <c r="BC114" s="30"/>
    </row>
    <row r="115" customFormat="false" ht="19.5" hidden="false" customHeight="true" outlineLevel="0" collapsed="false">
      <c r="A115" s="28" t="str">
        <f aca="false">IF($C115="","",COUNTA($C$6:$C115))</f>
        <v/>
      </c>
      <c r="B115" s="29"/>
      <c r="C115" s="30"/>
      <c r="D115" s="29"/>
      <c r="E115" s="31" t="str">
        <f aca="false">IF($C115="","",IF(NOT(OR(M115="Completed",M115="NA",M115="Cancelled")),"S1 Schematic",IF(NOT(OR(R115="Completed",R115="NA",R115="Cancelled")),"S2 PCB Layout",IF(NOT(OR(W115="Completed",W115="NA",W115="Cancelled")),"S3 SI &amp; PI",IF(NOT(OR(AB115="Completed",AB115="NA",AB115="Cancelled")),"S4 Bare-PCB Fab",IF(NOT(OR(AG115="Completed",AG115="NA",AG115="Cancelled")),"S5 Assembly",IF(NOT(OR(AL115="Completed",AL115="NA",AL115="Cancelled")),"S6 Bring-up",IF(NOT(OR(AQ115="Completed",AQ115="NA",AQ115="Cancelled")),"S7 BOM Procurement","All Stages Closed"))))))))</f>
        <v/>
      </c>
      <c r="F115" s="32" t="str">
        <f aca="false">IF($C115="","",IF(COUNTIF(M115,"Cancelled")+COUNTIF(R115,"Cancelled")+COUNTIF(W115,"Cancelled")+COUNTIF(AB115,"Cancelled")+COUNTIF(AG115,"Cancelled")+COUNTIF(AL115,"Cancelled")+COUNTIF(AQ115,"Cancelled")&gt;0,"Cancelled",IF(E115="All Stages Closed","Completed",IF(E115="S1 Schematic",M115,IF(E115="S2 PCB Layout",R115,IF(E115="S3 SI &amp; PI",W115,IF(E115="S4 Bare-PCB Fab",AB115,IF(E115="S5 Assembly",AG115,IF(E115="S6 Bring-up",AL115,AQ115)))))))))</f>
        <v/>
      </c>
      <c r="G115" s="33" t="str">
        <f aca="false">IF($C115="","",IF(E115="All Stages Closed","",IF(E115="S1 Schematic",IF(N115="","Not added",N115),IF(E115="S2 PCB Layout",IF(S115="","Not added",S115),IF(E115="S3 SI &amp; PI",IF(X115="","Not added",X115),IF(E115="S4 Bare-PCB Fab",IF(AC115="","Not added",AC115),IF(E115="S5 Assembly",IF(AH115="","Not added",AH115),IF(E115="S6 Bring-up",IF(AM115="","Not added",AM115),IF(AR115="","Not added",AR115)))))))))</f>
        <v/>
      </c>
      <c r="H115" s="32" t="str">
        <f aca="true">IF($C115="","",IF(OR(F115="Completed",F115="Cancelled"),"",IF(NOT(ISNUMBER(G115)),"No date set",IF(TODAY()&gt;G115,TODAY()-G115&amp;" days late",G115-TODAY()&amp;" days left"))))</f>
        <v/>
      </c>
      <c r="I115" s="31" t="str">
        <f aca="false">IF($C115="","",COUNTIF(M115,"Completed")+COUNTIF(R115,"Completed")+COUNTIF(W115,"Completed")+COUNTIF(AB115,"Completed")+COUNTIF(AG115,"Completed")+COUNTIF(AL115,"Completed")+COUNTIF(AQ115,"Completed"))</f>
        <v/>
      </c>
      <c r="J115" s="31" t="str">
        <f aca="false">IF($C115="","",7-(COUNTIF(M115,"NA")+COUNTIF(R115,"NA")+COUNTIF(W115,"NA")+COUNTIF(AB115,"NA")+COUNTIF(AG115,"NA")+COUNTIF(AL115,"NA")+COUNTIF(AQ115,"NA")))</f>
        <v/>
      </c>
      <c r="K115" s="34" t="str">
        <f aca="false">IFERROR(I115/J115,"")</f>
        <v/>
      </c>
      <c r="L115" s="29"/>
      <c r="M115" s="35"/>
      <c r="N115" s="36"/>
      <c r="O115" s="36"/>
      <c r="P115" s="30"/>
      <c r="Q115" s="29"/>
      <c r="R115" s="35"/>
      <c r="S115" s="36"/>
      <c r="T115" s="36"/>
      <c r="U115" s="30"/>
      <c r="V115" s="29"/>
      <c r="W115" s="35"/>
      <c r="X115" s="36"/>
      <c r="Y115" s="36"/>
      <c r="Z115" s="30"/>
      <c r="AA115" s="29"/>
      <c r="AB115" s="35"/>
      <c r="AC115" s="36"/>
      <c r="AD115" s="36"/>
      <c r="AE115" s="30"/>
      <c r="AF115" s="29"/>
      <c r="AG115" s="35"/>
      <c r="AH115" s="36"/>
      <c r="AI115" s="36"/>
      <c r="AJ115" s="30"/>
      <c r="AK115" s="29"/>
      <c r="AL115" s="35"/>
      <c r="AM115" s="36"/>
      <c r="AN115" s="36"/>
      <c r="AO115" s="30"/>
      <c r="AP115" s="29"/>
      <c r="AQ115" s="35"/>
      <c r="AR115" s="36"/>
      <c r="AS115" s="36"/>
      <c r="AT115" s="30"/>
      <c r="AU115" s="29"/>
      <c r="AV115" s="29"/>
      <c r="AW115" s="29"/>
      <c r="AX115" s="37"/>
      <c r="AY115" s="39" t="str">
        <f aca="false">IF(AU115&lt;&gt;"Yes","",IF(AV115="","SELECT RE-ENTRY STAGE","MOVE TO ACTIVE at "&amp;AV115))</f>
        <v/>
      </c>
      <c r="AZ115" s="40" t="str">
        <f aca="false">IF(AU115="Yes",COUNTIF($AU$6:AU115,"Yes"),"")</f>
        <v/>
      </c>
      <c r="BA115" s="29"/>
      <c r="BB115" s="38" t="str">
        <f aca="false">IF($C115="","",IF(OR(F115="Completed",F115="Cancelled"),"",IF(AND(OR(F115="On Hold",ISNUMBER(VALUE(LEFT(H115,2)))),BA115=""),"Reason not given","")))</f>
        <v/>
      </c>
      <c r="BC115" s="30"/>
    </row>
    <row r="116" customFormat="false" ht="19.5" hidden="false" customHeight="true" outlineLevel="0" collapsed="false">
      <c r="A116" s="28" t="str">
        <f aca="false">IF($C116="","",COUNTA($C$6:$C116))</f>
        <v/>
      </c>
      <c r="B116" s="29"/>
      <c r="C116" s="30"/>
      <c r="D116" s="29"/>
      <c r="E116" s="31" t="str">
        <f aca="false">IF($C116="","",IF(NOT(OR(M116="Completed",M116="NA",M116="Cancelled")),"S1 Schematic",IF(NOT(OR(R116="Completed",R116="NA",R116="Cancelled")),"S2 PCB Layout",IF(NOT(OR(W116="Completed",W116="NA",W116="Cancelled")),"S3 SI &amp; PI",IF(NOT(OR(AB116="Completed",AB116="NA",AB116="Cancelled")),"S4 Bare-PCB Fab",IF(NOT(OR(AG116="Completed",AG116="NA",AG116="Cancelled")),"S5 Assembly",IF(NOT(OR(AL116="Completed",AL116="NA",AL116="Cancelled")),"S6 Bring-up",IF(NOT(OR(AQ116="Completed",AQ116="NA",AQ116="Cancelled")),"S7 BOM Procurement","All Stages Closed"))))))))</f>
        <v/>
      </c>
      <c r="F116" s="32" t="str">
        <f aca="false">IF($C116="","",IF(COUNTIF(M116,"Cancelled")+COUNTIF(R116,"Cancelled")+COUNTIF(W116,"Cancelled")+COUNTIF(AB116,"Cancelled")+COUNTIF(AG116,"Cancelled")+COUNTIF(AL116,"Cancelled")+COUNTIF(AQ116,"Cancelled")&gt;0,"Cancelled",IF(E116="All Stages Closed","Completed",IF(E116="S1 Schematic",M116,IF(E116="S2 PCB Layout",R116,IF(E116="S3 SI &amp; PI",W116,IF(E116="S4 Bare-PCB Fab",AB116,IF(E116="S5 Assembly",AG116,IF(E116="S6 Bring-up",AL116,AQ116)))))))))</f>
        <v/>
      </c>
      <c r="G116" s="33" t="str">
        <f aca="false">IF($C116="","",IF(E116="All Stages Closed","",IF(E116="S1 Schematic",IF(N116="","Not added",N116),IF(E116="S2 PCB Layout",IF(S116="","Not added",S116),IF(E116="S3 SI &amp; PI",IF(X116="","Not added",X116),IF(E116="S4 Bare-PCB Fab",IF(AC116="","Not added",AC116),IF(E116="S5 Assembly",IF(AH116="","Not added",AH116),IF(E116="S6 Bring-up",IF(AM116="","Not added",AM116),IF(AR116="","Not added",AR116)))))))))</f>
        <v/>
      </c>
      <c r="H116" s="32" t="str">
        <f aca="true">IF($C116="","",IF(OR(F116="Completed",F116="Cancelled"),"",IF(NOT(ISNUMBER(G116)),"No date set",IF(TODAY()&gt;G116,TODAY()-G116&amp;" days late",G116-TODAY()&amp;" days left"))))</f>
        <v/>
      </c>
      <c r="I116" s="31" t="str">
        <f aca="false">IF($C116="","",COUNTIF(M116,"Completed")+COUNTIF(R116,"Completed")+COUNTIF(W116,"Completed")+COUNTIF(AB116,"Completed")+COUNTIF(AG116,"Completed")+COUNTIF(AL116,"Completed")+COUNTIF(AQ116,"Completed"))</f>
        <v/>
      </c>
      <c r="J116" s="31" t="str">
        <f aca="false">IF($C116="","",7-(COUNTIF(M116,"NA")+COUNTIF(R116,"NA")+COUNTIF(W116,"NA")+COUNTIF(AB116,"NA")+COUNTIF(AG116,"NA")+COUNTIF(AL116,"NA")+COUNTIF(AQ116,"NA")))</f>
        <v/>
      </c>
      <c r="K116" s="34" t="str">
        <f aca="false">IFERROR(I116/J116,"")</f>
        <v/>
      </c>
      <c r="L116" s="29"/>
      <c r="M116" s="35"/>
      <c r="N116" s="36"/>
      <c r="O116" s="36"/>
      <c r="P116" s="30"/>
      <c r="Q116" s="29"/>
      <c r="R116" s="35"/>
      <c r="S116" s="36"/>
      <c r="T116" s="36"/>
      <c r="U116" s="30"/>
      <c r="V116" s="29"/>
      <c r="W116" s="35"/>
      <c r="X116" s="36"/>
      <c r="Y116" s="36"/>
      <c r="Z116" s="30"/>
      <c r="AA116" s="29"/>
      <c r="AB116" s="35"/>
      <c r="AC116" s="36"/>
      <c r="AD116" s="36"/>
      <c r="AE116" s="30"/>
      <c r="AF116" s="29"/>
      <c r="AG116" s="35"/>
      <c r="AH116" s="36"/>
      <c r="AI116" s="36"/>
      <c r="AJ116" s="30"/>
      <c r="AK116" s="29"/>
      <c r="AL116" s="35"/>
      <c r="AM116" s="36"/>
      <c r="AN116" s="36"/>
      <c r="AO116" s="30"/>
      <c r="AP116" s="29"/>
      <c r="AQ116" s="35"/>
      <c r="AR116" s="36"/>
      <c r="AS116" s="36"/>
      <c r="AT116" s="30"/>
      <c r="AU116" s="29"/>
      <c r="AV116" s="29"/>
      <c r="AW116" s="29"/>
      <c r="AX116" s="37"/>
      <c r="AY116" s="39" t="str">
        <f aca="false">IF(AU116&lt;&gt;"Yes","",IF(AV116="","SELECT RE-ENTRY STAGE","MOVE TO ACTIVE at "&amp;AV116))</f>
        <v/>
      </c>
      <c r="AZ116" s="40" t="str">
        <f aca="false">IF(AU116="Yes",COUNTIF($AU$6:AU116,"Yes"),"")</f>
        <v/>
      </c>
      <c r="BA116" s="29"/>
      <c r="BB116" s="38" t="str">
        <f aca="false">IF($C116="","",IF(OR(F116="Completed",F116="Cancelled"),"",IF(AND(OR(F116="On Hold",ISNUMBER(VALUE(LEFT(H116,2)))),BA116=""),"Reason not given","")))</f>
        <v/>
      </c>
      <c r="BC116" s="30"/>
    </row>
    <row r="117" customFormat="false" ht="19.5" hidden="false" customHeight="true" outlineLevel="0" collapsed="false">
      <c r="A117" s="28" t="str">
        <f aca="false">IF($C117="","",COUNTA($C$6:$C117))</f>
        <v/>
      </c>
      <c r="B117" s="29"/>
      <c r="C117" s="30"/>
      <c r="D117" s="29"/>
      <c r="E117" s="31" t="str">
        <f aca="false">IF($C117="","",IF(NOT(OR(M117="Completed",M117="NA",M117="Cancelled")),"S1 Schematic",IF(NOT(OR(R117="Completed",R117="NA",R117="Cancelled")),"S2 PCB Layout",IF(NOT(OR(W117="Completed",W117="NA",W117="Cancelled")),"S3 SI &amp; PI",IF(NOT(OR(AB117="Completed",AB117="NA",AB117="Cancelled")),"S4 Bare-PCB Fab",IF(NOT(OR(AG117="Completed",AG117="NA",AG117="Cancelled")),"S5 Assembly",IF(NOT(OR(AL117="Completed",AL117="NA",AL117="Cancelled")),"S6 Bring-up",IF(NOT(OR(AQ117="Completed",AQ117="NA",AQ117="Cancelled")),"S7 BOM Procurement","All Stages Closed"))))))))</f>
        <v/>
      </c>
      <c r="F117" s="32" t="str">
        <f aca="false">IF($C117="","",IF(COUNTIF(M117,"Cancelled")+COUNTIF(R117,"Cancelled")+COUNTIF(W117,"Cancelled")+COUNTIF(AB117,"Cancelled")+COUNTIF(AG117,"Cancelled")+COUNTIF(AL117,"Cancelled")+COUNTIF(AQ117,"Cancelled")&gt;0,"Cancelled",IF(E117="All Stages Closed","Completed",IF(E117="S1 Schematic",M117,IF(E117="S2 PCB Layout",R117,IF(E117="S3 SI &amp; PI",W117,IF(E117="S4 Bare-PCB Fab",AB117,IF(E117="S5 Assembly",AG117,IF(E117="S6 Bring-up",AL117,AQ117)))))))))</f>
        <v/>
      </c>
      <c r="G117" s="33" t="str">
        <f aca="false">IF($C117="","",IF(E117="All Stages Closed","",IF(E117="S1 Schematic",IF(N117="","Not added",N117),IF(E117="S2 PCB Layout",IF(S117="","Not added",S117),IF(E117="S3 SI &amp; PI",IF(X117="","Not added",X117),IF(E117="S4 Bare-PCB Fab",IF(AC117="","Not added",AC117),IF(E117="S5 Assembly",IF(AH117="","Not added",AH117),IF(E117="S6 Bring-up",IF(AM117="","Not added",AM117),IF(AR117="","Not added",AR117)))))))))</f>
        <v/>
      </c>
      <c r="H117" s="32" t="str">
        <f aca="true">IF($C117="","",IF(OR(F117="Completed",F117="Cancelled"),"",IF(NOT(ISNUMBER(G117)),"No date set",IF(TODAY()&gt;G117,TODAY()-G117&amp;" days late",G117-TODAY()&amp;" days left"))))</f>
        <v/>
      </c>
      <c r="I117" s="31" t="str">
        <f aca="false">IF($C117="","",COUNTIF(M117,"Completed")+COUNTIF(R117,"Completed")+COUNTIF(W117,"Completed")+COUNTIF(AB117,"Completed")+COUNTIF(AG117,"Completed")+COUNTIF(AL117,"Completed")+COUNTIF(AQ117,"Completed"))</f>
        <v/>
      </c>
      <c r="J117" s="31" t="str">
        <f aca="false">IF($C117="","",7-(COUNTIF(M117,"NA")+COUNTIF(R117,"NA")+COUNTIF(W117,"NA")+COUNTIF(AB117,"NA")+COUNTIF(AG117,"NA")+COUNTIF(AL117,"NA")+COUNTIF(AQ117,"NA")))</f>
        <v/>
      </c>
      <c r="K117" s="34" t="str">
        <f aca="false">IFERROR(I117/J117,"")</f>
        <v/>
      </c>
      <c r="L117" s="29"/>
      <c r="M117" s="35"/>
      <c r="N117" s="36"/>
      <c r="O117" s="36"/>
      <c r="P117" s="30"/>
      <c r="Q117" s="29"/>
      <c r="R117" s="35"/>
      <c r="S117" s="36"/>
      <c r="T117" s="36"/>
      <c r="U117" s="30"/>
      <c r="V117" s="29"/>
      <c r="W117" s="35"/>
      <c r="X117" s="36"/>
      <c r="Y117" s="36"/>
      <c r="Z117" s="30"/>
      <c r="AA117" s="29"/>
      <c r="AB117" s="35"/>
      <c r="AC117" s="36"/>
      <c r="AD117" s="36"/>
      <c r="AE117" s="30"/>
      <c r="AF117" s="29"/>
      <c r="AG117" s="35"/>
      <c r="AH117" s="36"/>
      <c r="AI117" s="36"/>
      <c r="AJ117" s="30"/>
      <c r="AK117" s="29"/>
      <c r="AL117" s="35"/>
      <c r="AM117" s="36"/>
      <c r="AN117" s="36"/>
      <c r="AO117" s="30"/>
      <c r="AP117" s="29"/>
      <c r="AQ117" s="35"/>
      <c r="AR117" s="36"/>
      <c r="AS117" s="36"/>
      <c r="AT117" s="30"/>
      <c r="AU117" s="29"/>
      <c r="AV117" s="29"/>
      <c r="AW117" s="29"/>
      <c r="AX117" s="37"/>
      <c r="AY117" s="39" t="str">
        <f aca="false">IF(AU117&lt;&gt;"Yes","",IF(AV117="","SELECT RE-ENTRY STAGE","MOVE TO ACTIVE at "&amp;AV117))</f>
        <v/>
      </c>
      <c r="AZ117" s="40" t="str">
        <f aca="false">IF(AU117="Yes",COUNTIF($AU$6:AU117,"Yes"),"")</f>
        <v/>
      </c>
      <c r="BA117" s="29"/>
      <c r="BB117" s="38" t="str">
        <f aca="false">IF($C117="","",IF(OR(F117="Completed",F117="Cancelled"),"",IF(AND(OR(F117="On Hold",ISNUMBER(VALUE(LEFT(H117,2)))),BA117=""),"Reason not given","")))</f>
        <v/>
      </c>
      <c r="BC117" s="30"/>
    </row>
    <row r="118" customFormat="false" ht="19.5" hidden="false" customHeight="true" outlineLevel="0" collapsed="false">
      <c r="A118" s="28" t="str">
        <f aca="false">IF($C118="","",COUNTA($C$6:$C118))</f>
        <v/>
      </c>
      <c r="B118" s="29"/>
      <c r="C118" s="30"/>
      <c r="D118" s="29"/>
      <c r="E118" s="31" t="str">
        <f aca="false">IF($C118="","",IF(NOT(OR(M118="Completed",M118="NA",M118="Cancelled")),"S1 Schematic",IF(NOT(OR(R118="Completed",R118="NA",R118="Cancelled")),"S2 PCB Layout",IF(NOT(OR(W118="Completed",W118="NA",W118="Cancelled")),"S3 SI &amp; PI",IF(NOT(OR(AB118="Completed",AB118="NA",AB118="Cancelled")),"S4 Bare-PCB Fab",IF(NOT(OR(AG118="Completed",AG118="NA",AG118="Cancelled")),"S5 Assembly",IF(NOT(OR(AL118="Completed",AL118="NA",AL118="Cancelled")),"S6 Bring-up",IF(NOT(OR(AQ118="Completed",AQ118="NA",AQ118="Cancelled")),"S7 BOM Procurement","All Stages Closed"))))))))</f>
        <v/>
      </c>
      <c r="F118" s="32" t="str">
        <f aca="false">IF($C118="","",IF(COUNTIF(M118,"Cancelled")+COUNTIF(R118,"Cancelled")+COUNTIF(W118,"Cancelled")+COUNTIF(AB118,"Cancelled")+COUNTIF(AG118,"Cancelled")+COUNTIF(AL118,"Cancelled")+COUNTIF(AQ118,"Cancelled")&gt;0,"Cancelled",IF(E118="All Stages Closed","Completed",IF(E118="S1 Schematic",M118,IF(E118="S2 PCB Layout",R118,IF(E118="S3 SI &amp; PI",W118,IF(E118="S4 Bare-PCB Fab",AB118,IF(E118="S5 Assembly",AG118,IF(E118="S6 Bring-up",AL118,AQ118)))))))))</f>
        <v/>
      </c>
      <c r="G118" s="33" t="str">
        <f aca="false">IF($C118="","",IF(E118="All Stages Closed","",IF(E118="S1 Schematic",IF(N118="","Not added",N118),IF(E118="S2 PCB Layout",IF(S118="","Not added",S118),IF(E118="S3 SI &amp; PI",IF(X118="","Not added",X118),IF(E118="S4 Bare-PCB Fab",IF(AC118="","Not added",AC118),IF(E118="S5 Assembly",IF(AH118="","Not added",AH118),IF(E118="S6 Bring-up",IF(AM118="","Not added",AM118),IF(AR118="","Not added",AR118)))))))))</f>
        <v/>
      </c>
      <c r="H118" s="32" t="str">
        <f aca="true">IF($C118="","",IF(OR(F118="Completed",F118="Cancelled"),"",IF(NOT(ISNUMBER(G118)),"No date set",IF(TODAY()&gt;G118,TODAY()-G118&amp;" days late",G118-TODAY()&amp;" days left"))))</f>
        <v/>
      </c>
      <c r="I118" s="31" t="str">
        <f aca="false">IF($C118="","",COUNTIF(M118,"Completed")+COUNTIF(R118,"Completed")+COUNTIF(W118,"Completed")+COUNTIF(AB118,"Completed")+COUNTIF(AG118,"Completed")+COUNTIF(AL118,"Completed")+COUNTIF(AQ118,"Completed"))</f>
        <v/>
      </c>
      <c r="J118" s="31" t="str">
        <f aca="false">IF($C118="","",7-(COUNTIF(M118,"NA")+COUNTIF(R118,"NA")+COUNTIF(W118,"NA")+COUNTIF(AB118,"NA")+COUNTIF(AG118,"NA")+COUNTIF(AL118,"NA")+COUNTIF(AQ118,"NA")))</f>
        <v/>
      </c>
      <c r="K118" s="34" t="str">
        <f aca="false">IFERROR(I118/J118,"")</f>
        <v/>
      </c>
      <c r="L118" s="29"/>
      <c r="M118" s="35"/>
      <c r="N118" s="36"/>
      <c r="O118" s="36"/>
      <c r="P118" s="30"/>
      <c r="Q118" s="29"/>
      <c r="R118" s="35"/>
      <c r="S118" s="36"/>
      <c r="T118" s="36"/>
      <c r="U118" s="30"/>
      <c r="V118" s="29"/>
      <c r="W118" s="35"/>
      <c r="X118" s="36"/>
      <c r="Y118" s="36"/>
      <c r="Z118" s="30"/>
      <c r="AA118" s="29"/>
      <c r="AB118" s="35"/>
      <c r="AC118" s="36"/>
      <c r="AD118" s="36"/>
      <c r="AE118" s="30"/>
      <c r="AF118" s="29"/>
      <c r="AG118" s="35"/>
      <c r="AH118" s="36"/>
      <c r="AI118" s="36"/>
      <c r="AJ118" s="30"/>
      <c r="AK118" s="29"/>
      <c r="AL118" s="35"/>
      <c r="AM118" s="36"/>
      <c r="AN118" s="36"/>
      <c r="AO118" s="30"/>
      <c r="AP118" s="29"/>
      <c r="AQ118" s="35"/>
      <c r="AR118" s="36"/>
      <c r="AS118" s="36"/>
      <c r="AT118" s="30"/>
      <c r="AU118" s="29"/>
      <c r="AV118" s="29"/>
      <c r="AW118" s="29"/>
      <c r="AX118" s="37"/>
      <c r="AY118" s="39" t="str">
        <f aca="false">IF(AU118&lt;&gt;"Yes","",IF(AV118="","SELECT RE-ENTRY STAGE","MOVE TO ACTIVE at "&amp;AV118))</f>
        <v/>
      </c>
      <c r="AZ118" s="40" t="str">
        <f aca="false">IF(AU118="Yes",COUNTIF($AU$6:AU118,"Yes"),"")</f>
        <v/>
      </c>
      <c r="BA118" s="29"/>
      <c r="BB118" s="38" t="str">
        <f aca="false">IF($C118="","",IF(OR(F118="Completed",F118="Cancelled"),"",IF(AND(OR(F118="On Hold",ISNUMBER(VALUE(LEFT(H118,2)))),BA118=""),"Reason not given","")))</f>
        <v/>
      </c>
      <c r="BC118" s="30"/>
    </row>
    <row r="119" customFormat="false" ht="19.5" hidden="false" customHeight="true" outlineLevel="0" collapsed="false">
      <c r="A119" s="28" t="str">
        <f aca="false">IF($C119="","",COUNTA($C$6:$C119))</f>
        <v/>
      </c>
      <c r="B119" s="29"/>
      <c r="C119" s="30"/>
      <c r="D119" s="29"/>
      <c r="E119" s="31" t="str">
        <f aca="false">IF($C119="","",IF(NOT(OR(M119="Completed",M119="NA",M119="Cancelled")),"S1 Schematic",IF(NOT(OR(R119="Completed",R119="NA",R119="Cancelled")),"S2 PCB Layout",IF(NOT(OR(W119="Completed",W119="NA",W119="Cancelled")),"S3 SI &amp; PI",IF(NOT(OR(AB119="Completed",AB119="NA",AB119="Cancelled")),"S4 Bare-PCB Fab",IF(NOT(OR(AG119="Completed",AG119="NA",AG119="Cancelled")),"S5 Assembly",IF(NOT(OR(AL119="Completed",AL119="NA",AL119="Cancelled")),"S6 Bring-up",IF(NOT(OR(AQ119="Completed",AQ119="NA",AQ119="Cancelled")),"S7 BOM Procurement","All Stages Closed"))))))))</f>
        <v/>
      </c>
      <c r="F119" s="32" t="str">
        <f aca="false">IF($C119="","",IF(COUNTIF(M119,"Cancelled")+COUNTIF(R119,"Cancelled")+COUNTIF(W119,"Cancelled")+COUNTIF(AB119,"Cancelled")+COUNTIF(AG119,"Cancelled")+COUNTIF(AL119,"Cancelled")+COUNTIF(AQ119,"Cancelled")&gt;0,"Cancelled",IF(E119="All Stages Closed","Completed",IF(E119="S1 Schematic",M119,IF(E119="S2 PCB Layout",R119,IF(E119="S3 SI &amp; PI",W119,IF(E119="S4 Bare-PCB Fab",AB119,IF(E119="S5 Assembly",AG119,IF(E119="S6 Bring-up",AL119,AQ119)))))))))</f>
        <v/>
      </c>
      <c r="G119" s="33" t="str">
        <f aca="false">IF($C119="","",IF(E119="All Stages Closed","",IF(E119="S1 Schematic",IF(N119="","Not added",N119),IF(E119="S2 PCB Layout",IF(S119="","Not added",S119),IF(E119="S3 SI &amp; PI",IF(X119="","Not added",X119),IF(E119="S4 Bare-PCB Fab",IF(AC119="","Not added",AC119),IF(E119="S5 Assembly",IF(AH119="","Not added",AH119),IF(E119="S6 Bring-up",IF(AM119="","Not added",AM119),IF(AR119="","Not added",AR119)))))))))</f>
        <v/>
      </c>
      <c r="H119" s="32" t="str">
        <f aca="true">IF($C119="","",IF(OR(F119="Completed",F119="Cancelled"),"",IF(NOT(ISNUMBER(G119)),"No date set",IF(TODAY()&gt;G119,TODAY()-G119&amp;" days late",G119-TODAY()&amp;" days left"))))</f>
        <v/>
      </c>
      <c r="I119" s="31" t="str">
        <f aca="false">IF($C119="","",COUNTIF(M119,"Completed")+COUNTIF(R119,"Completed")+COUNTIF(W119,"Completed")+COUNTIF(AB119,"Completed")+COUNTIF(AG119,"Completed")+COUNTIF(AL119,"Completed")+COUNTIF(AQ119,"Completed"))</f>
        <v/>
      </c>
      <c r="J119" s="31" t="str">
        <f aca="false">IF($C119="","",7-(COUNTIF(M119,"NA")+COUNTIF(R119,"NA")+COUNTIF(W119,"NA")+COUNTIF(AB119,"NA")+COUNTIF(AG119,"NA")+COUNTIF(AL119,"NA")+COUNTIF(AQ119,"NA")))</f>
        <v/>
      </c>
      <c r="K119" s="34" t="str">
        <f aca="false">IFERROR(I119/J119,"")</f>
        <v/>
      </c>
      <c r="L119" s="29"/>
      <c r="M119" s="35"/>
      <c r="N119" s="36"/>
      <c r="O119" s="36"/>
      <c r="P119" s="30"/>
      <c r="Q119" s="29"/>
      <c r="R119" s="35"/>
      <c r="S119" s="36"/>
      <c r="T119" s="36"/>
      <c r="U119" s="30"/>
      <c r="V119" s="29"/>
      <c r="W119" s="35"/>
      <c r="X119" s="36"/>
      <c r="Y119" s="36"/>
      <c r="Z119" s="30"/>
      <c r="AA119" s="29"/>
      <c r="AB119" s="35"/>
      <c r="AC119" s="36"/>
      <c r="AD119" s="36"/>
      <c r="AE119" s="30"/>
      <c r="AF119" s="29"/>
      <c r="AG119" s="35"/>
      <c r="AH119" s="36"/>
      <c r="AI119" s="36"/>
      <c r="AJ119" s="30"/>
      <c r="AK119" s="29"/>
      <c r="AL119" s="35"/>
      <c r="AM119" s="36"/>
      <c r="AN119" s="36"/>
      <c r="AO119" s="30"/>
      <c r="AP119" s="29"/>
      <c r="AQ119" s="35"/>
      <c r="AR119" s="36"/>
      <c r="AS119" s="36"/>
      <c r="AT119" s="30"/>
      <c r="AU119" s="29"/>
      <c r="AV119" s="29"/>
      <c r="AW119" s="29"/>
      <c r="AX119" s="37"/>
      <c r="AY119" s="39" t="str">
        <f aca="false">IF(AU119&lt;&gt;"Yes","",IF(AV119="","SELECT RE-ENTRY STAGE","MOVE TO ACTIVE at "&amp;AV119))</f>
        <v/>
      </c>
      <c r="AZ119" s="40" t="str">
        <f aca="false">IF(AU119="Yes",COUNTIF($AU$6:AU119,"Yes"),"")</f>
        <v/>
      </c>
      <c r="BA119" s="29"/>
      <c r="BB119" s="38" t="str">
        <f aca="false">IF($C119="","",IF(OR(F119="Completed",F119="Cancelled"),"",IF(AND(OR(F119="On Hold",ISNUMBER(VALUE(LEFT(H119,2)))),BA119=""),"Reason not given","")))</f>
        <v/>
      </c>
      <c r="BC119" s="30"/>
    </row>
    <row r="120" customFormat="false" ht="19.5" hidden="false" customHeight="true" outlineLevel="0" collapsed="false">
      <c r="A120" s="28" t="str">
        <f aca="false">IF($C120="","",COUNTA($C$6:$C120))</f>
        <v/>
      </c>
      <c r="B120" s="29"/>
      <c r="C120" s="30"/>
      <c r="D120" s="29"/>
      <c r="E120" s="31" t="str">
        <f aca="false">IF($C120="","",IF(NOT(OR(M120="Completed",M120="NA",M120="Cancelled")),"S1 Schematic",IF(NOT(OR(R120="Completed",R120="NA",R120="Cancelled")),"S2 PCB Layout",IF(NOT(OR(W120="Completed",W120="NA",W120="Cancelled")),"S3 SI &amp; PI",IF(NOT(OR(AB120="Completed",AB120="NA",AB120="Cancelled")),"S4 Bare-PCB Fab",IF(NOT(OR(AG120="Completed",AG120="NA",AG120="Cancelled")),"S5 Assembly",IF(NOT(OR(AL120="Completed",AL120="NA",AL120="Cancelled")),"S6 Bring-up",IF(NOT(OR(AQ120="Completed",AQ120="NA",AQ120="Cancelled")),"S7 BOM Procurement","All Stages Closed"))))))))</f>
        <v/>
      </c>
      <c r="F120" s="32" t="str">
        <f aca="false">IF($C120="","",IF(COUNTIF(M120,"Cancelled")+COUNTIF(R120,"Cancelled")+COUNTIF(W120,"Cancelled")+COUNTIF(AB120,"Cancelled")+COUNTIF(AG120,"Cancelled")+COUNTIF(AL120,"Cancelled")+COUNTIF(AQ120,"Cancelled")&gt;0,"Cancelled",IF(E120="All Stages Closed","Completed",IF(E120="S1 Schematic",M120,IF(E120="S2 PCB Layout",R120,IF(E120="S3 SI &amp; PI",W120,IF(E120="S4 Bare-PCB Fab",AB120,IF(E120="S5 Assembly",AG120,IF(E120="S6 Bring-up",AL120,AQ120)))))))))</f>
        <v/>
      </c>
      <c r="G120" s="33" t="str">
        <f aca="false">IF($C120="","",IF(E120="All Stages Closed","",IF(E120="S1 Schematic",IF(N120="","Not added",N120),IF(E120="S2 PCB Layout",IF(S120="","Not added",S120),IF(E120="S3 SI &amp; PI",IF(X120="","Not added",X120),IF(E120="S4 Bare-PCB Fab",IF(AC120="","Not added",AC120),IF(E120="S5 Assembly",IF(AH120="","Not added",AH120),IF(E120="S6 Bring-up",IF(AM120="","Not added",AM120),IF(AR120="","Not added",AR120)))))))))</f>
        <v/>
      </c>
      <c r="H120" s="32" t="str">
        <f aca="true">IF($C120="","",IF(OR(F120="Completed",F120="Cancelled"),"",IF(NOT(ISNUMBER(G120)),"No date set",IF(TODAY()&gt;G120,TODAY()-G120&amp;" days late",G120-TODAY()&amp;" days left"))))</f>
        <v/>
      </c>
      <c r="I120" s="31" t="str">
        <f aca="false">IF($C120="","",COUNTIF(M120,"Completed")+COUNTIF(R120,"Completed")+COUNTIF(W120,"Completed")+COUNTIF(AB120,"Completed")+COUNTIF(AG120,"Completed")+COUNTIF(AL120,"Completed")+COUNTIF(AQ120,"Completed"))</f>
        <v/>
      </c>
      <c r="J120" s="31" t="str">
        <f aca="false">IF($C120="","",7-(COUNTIF(M120,"NA")+COUNTIF(R120,"NA")+COUNTIF(W120,"NA")+COUNTIF(AB120,"NA")+COUNTIF(AG120,"NA")+COUNTIF(AL120,"NA")+COUNTIF(AQ120,"NA")))</f>
        <v/>
      </c>
      <c r="K120" s="34" t="str">
        <f aca="false">IFERROR(I120/J120,"")</f>
        <v/>
      </c>
      <c r="L120" s="29"/>
      <c r="M120" s="35"/>
      <c r="N120" s="36"/>
      <c r="O120" s="36"/>
      <c r="P120" s="30"/>
      <c r="Q120" s="29"/>
      <c r="R120" s="35"/>
      <c r="S120" s="36"/>
      <c r="T120" s="36"/>
      <c r="U120" s="30"/>
      <c r="V120" s="29"/>
      <c r="W120" s="35"/>
      <c r="X120" s="36"/>
      <c r="Y120" s="36"/>
      <c r="Z120" s="30"/>
      <c r="AA120" s="29"/>
      <c r="AB120" s="35"/>
      <c r="AC120" s="36"/>
      <c r="AD120" s="36"/>
      <c r="AE120" s="30"/>
      <c r="AF120" s="29"/>
      <c r="AG120" s="35"/>
      <c r="AH120" s="36"/>
      <c r="AI120" s="36"/>
      <c r="AJ120" s="30"/>
      <c r="AK120" s="29"/>
      <c r="AL120" s="35"/>
      <c r="AM120" s="36"/>
      <c r="AN120" s="36"/>
      <c r="AO120" s="30"/>
      <c r="AP120" s="29"/>
      <c r="AQ120" s="35"/>
      <c r="AR120" s="36"/>
      <c r="AS120" s="36"/>
      <c r="AT120" s="30"/>
      <c r="AU120" s="29"/>
      <c r="AV120" s="29"/>
      <c r="AW120" s="29"/>
      <c r="AX120" s="37"/>
      <c r="AY120" s="39" t="str">
        <f aca="false">IF(AU120&lt;&gt;"Yes","",IF(AV120="","SELECT RE-ENTRY STAGE","MOVE TO ACTIVE at "&amp;AV120))</f>
        <v/>
      </c>
      <c r="AZ120" s="40" t="str">
        <f aca="false">IF(AU120="Yes",COUNTIF($AU$6:AU120,"Yes"),"")</f>
        <v/>
      </c>
      <c r="BA120" s="29"/>
      <c r="BB120" s="38" t="str">
        <f aca="false">IF($C120="","",IF(OR(F120="Completed",F120="Cancelled"),"",IF(AND(OR(F120="On Hold",ISNUMBER(VALUE(LEFT(H120,2)))),BA120=""),"Reason not given","")))</f>
        <v/>
      </c>
      <c r="BC120" s="30"/>
    </row>
    <row r="121" customFormat="false" ht="19.5" hidden="false" customHeight="true" outlineLevel="0" collapsed="false">
      <c r="A121" s="28" t="str">
        <f aca="false">IF($C121="","",COUNTA($C$6:$C121))</f>
        <v/>
      </c>
      <c r="B121" s="29"/>
      <c r="C121" s="30"/>
      <c r="D121" s="29"/>
      <c r="E121" s="31" t="str">
        <f aca="false">IF($C121="","",IF(NOT(OR(M121="Completed",M121="NA",M121="Cancelled")),"S1 Schematic",IF(NOT(OR(R121="Completed",R121="NA",R121="Cancelled")),"S2 PCB Layout",IF(NOT(OR(W121="Completed",W121="NA",W121="Cancelled")),"S3 SI &amp; PI",IF(NOT(OR(AB121="Completed",AB121="NA",AB121="Cancelled")),"S4 Bare-PCB Fab",IF(NOT(OR(AG121="Completed",AG121="NA",AG121="Cancelled")),"S5 Assembly",IF(NOT(OR(AL121="Completed",AL121="NA",AL121="Cancelled")),"S6 Bring-up",IF(NOT(OR(AQ121="Completed",AQ121="NA",AQ121="Cancelled")),"S7 BOM Procurement","All Stages Closed"))))))))</f>
        <v/>
      </c>
      <c r="F121" s="32" t="str">
        <f aca="false">IF($C121="","",IF(COUNTIF(M121,"Cancelled")+COUNTIF(R121,"Cancelled")+COUNTIF(W121,"Cancelled")+COUNTIF(AB121,"Cancelled")+COUNTIF(AG121,"Cancelled")+COUNTIF(AL121,"Cancelled")+COUNTIF(AQ121,"Cancelled")&gt;0,"Cancelled",IF(E121="All Stages Closed","Completed",IF(E121="S1 Schematic",M121,IF(E121="S2 PCB Layout",R121,IF(E121="S3 SI &amp; PI",W121,IF(E121="S4 Bare-PCB Fab",AB121,IF(E121="S5 Assembly",AG121,IF(E121="S6 Bring-up",AL121,AQ121)))))))))</f>
        <v/>
      </c>
      <c r="G121" s="33" t="str">
        <f aca="false">IF($C121="","",IF(E121="All Stages Closed","",IF(E121="S1 Schematic",IF(N121="","Not added",N121),IF(E121="S2 PCB Layout",IF(S121="","Not added",S121),IF(E121="S3 SI &amp; PI",IF(X121="","Not added",X121),IF(E121="S4 Bare-PCB Fab",IF(AC121="","Not added",AC121),IF(E121="S5 Assembly",IF(AH121="","Not added",AH121),IF(E121="S6 Bring-up",IF(AM121="","Not added",AM121),IF(AR121="","Not added",AR121)))))))))</f>
        <v/>
      </c>
      <c r="H121" s="32" t="str">
        <f aca="true">IF($C121="","",IF(OR(F121="Completed",F121="Cancelled"),"",IF(NOT(ISNUMBER(G121)),"No date set",IF(TODAY()&gt;G121,TODAY()-G121&amp;" days late",G121-TODAY()&amp;" days left"))))</f>
        <v/>
      </c>
      <c r="I121" s="31" t="str">
        <f aca="false">IF($C121="","",COUNTIF(M121,"Completed")+COUNTIF(R121,"Completed")+COUNTIF(W121,"Completed")+COUNTIF(AB121,"Completed")+COUNTIF(AG121,"Completed")+COUNTIF(AL121,"Completed")+COUNTIF(AQ121,"Completed"))</f>
        <v/>
      </c>
      <c r="J121" s="31" t="str">
        <f aca="false">IF($C121="","",7-(COUNTIF(M121,"NA")+COUNTIF(R121,"NA")+COUNTIF(W121,"NA")+COUNTIF(AB121,"NA")+COUNTIF(AG121,"NA")+COUNTIF(AL121,"NA")+COUNTIF(AQ121,"NA")))</f>
        <v/>
      </c>
      <c r="K121" s="34" t="str">
        <f aca="false">IFERROR(I121/J121,"")</f>
        <v/>
      </c>
      <c r="L121" s="29"/>
      <c r="M121" s="35"/>
      <c r="N121" s="36"/>
      <c r="O121" s="36"/>
      <c r="P121" s="30"/>
      <c r="Q121" s="29"/>
      <c r="R121" s="35"/>
      <c r="S121" s="36"/>
      <c r="T121" s="36"/>
      <c r="U121" s="30"/>
      <c r="V121" s="29"/>
      <c r="W121" s="35"/>
      <c r="X121" s="36"/>
      <c r="Y121" s="36"/>
      <c r="Z121" s="30"/>
      <c r="AA121" s="29"/>
      <c r="AB121" s="35"/>
      <c r="AC121" s="36"/>
      <c r="AD121" s="36"/>
      <c r="AE121" s="30"/>
      <c r="AF121" s="29"/>
      <c r="AG121" s="35"/>
      <c r="AH121" s="36"/>
      <c r="AI121" s="36"/>
      <c r="AJ121" s="30"/>
      <c r="AK121" s="29"/>
      <c r="AL121" s="35"/>
      <c r="AM121" s="36"/>
      <c r="AN121" s="36"/>
      <c r="AO121" s="30"/>
      <c r="AP121" s="29"/>
      <c r="AQ121" s="35"/>
      <c r="AR121" s="36"/>
      <c r="AS121" s="36"/>
      <c r="AT121" s="30"/>
      <c r="AU121" s="29"/>
      <c r="AV121" s="29"/>
      <c r="AW121" s="29"/>
      <c r="AX121" s="37"/>
      <c r="AY121" s="39" t="str">
        <f aca="false">IF(AU121&lt;&gt;"Yes","",IF(AV121="","SELECT RE-ENTRY STAGE","MOVE TO ACTIVE at "&amp;AV121))</f>
        <v/>
      </c>
      <c r="AZ121" s="40" t="str">
        <f aca="false">IF(AU121="Yes",COUNTIF($AU$6:AU121,"Yes"),"")</f>
        <v/>
      </c>
      <c r="BA121" s="29"/>
      <c r="BB121" s="38" t="str">
        <f aca="false">IF($C121="","",IF(OR(F121="Completed",F121="Cancelled"),"",IF(AND(OR(F121="On Hold",ISNUMBER(VALUE(LEFT(H121,2)))),BA121=""),"Reason not given","")))</f>
        <v/>
      </c>
      <c r="BC121" s="30"/>
    </row>
    <row r="122" customFormat="false" ht="19.5" hidden="false" customHeight="true" outlineLevel="0" collapsed="false">
      <c r="A122" s="28" t="str">
        <f aca="false">IF($C122="","",COUNTA($C$6:$C122))</f>
        <v/>
      </c>
      <c r="B122" s="29"/>
      <c r="C122" s="30"/>
      <c r="D122" s="29"/>
      <c r="E122" s="31" t="str">
        <f aca="false">IF($C122="","",IF(NOT(OR(M122="Completed",M122="NA",M122="Cancelled")),"S1 Schematic",IF(NOT(OR(R122="Completed",R122="NA",R122="Cancelled")),"S2 PCB Layout",IF(NOT(OR(W122="Completed",W122="NA",W122="Cancelled")),"S3 SI &amp; PI",IF(NOT(OR(AB122="Completed",AB122="NA",AB122="Cancelled")),"S4 Bare-PCB Fab",IF(NOT(OR(AG122="Completed",AG122="NA",AG122="Cancelled")),"S5 Assembly",IF(NOT(OR(AL122="Completed",AL122="NA",AL122="Cancelled")),"S6 Bring-up",IF(NOT(OR(AQ122="Completed",AQ122="NA",AQ122="Cancelled")),"S7 BOM Procurement","All Stages Closed"))))))))</f>
        <v/>
      </c>
      <c r="F122" s="32" t="str">
        <f aca="false">IF($C122="","",IF(COUNTIF(M122,"Cancelled")+COUNTIF(R122,"Cancelled")+COUNTIF(W122,"Cancelled")+COUNTIF(AB122,"Cancelled")+COUNTIF(AG122,"Cancelled")+COUNTIF(AL122,"Cancelled")+COUNTIF(AQ122,"Cancelled")&gt;0,"Cancelled",IF(E122="All Stages Closed","Completed",IF(E122="S1 Schematic",M122,IF(E122="S2 PCB Layout",R122,IF(E122="S3 SI &amp; PI",W122,IF(E122="S4 Bare-PCB Fab",AB122,IF(E122="S5 Assembly",AG122,IF(E122="S6 Bring-up",AL122,AQ122)))))))))</f>
        <v/>
      </c>
      <c r="G122" s="33" t="str">
        <f aca="false">IF($C122="","",IF(E122="All Stages Closed","",IF(E122="S1 Schematic",IF(N122="","Not added",N122),IF(E122="S2 PCB Layout",IF(S122="","Not added",S122),IF(E122="S3 SI &amp; PI",IF(X122="","Not added",X122),IF(E122="S4 Bare-PCB Fab",IF(AC122="","Not added",AC122),IF(E122="S5 Assembly",IF(AH122="","Not added",AH122),IF(E122="S6 Bring-up",IF(AM122="","Not added",AM122),IF(AR122="","Not added",AR122)))))))))</f>
        <v/>
      </c>
      <c r="H122" s="32" t="str">
        <f aca="true">IF($C122="","",IF(OR(F122="Completed",F122="Cancelled"),"",IF(NOT(ISNUMBER(G122)),"No date set",IF(TODAY()&gt;G122,TODAY()-G122&amp;" days late",G122-TODAY()&amp;" days left"))))</f>
        <v/>
      </c>
      <c r="I122" s="31" t="str">
        <f aca="false">IF($C122="","",COUNTIF(M122,"Completed")+COUNTIF(R122,"Completed")+COUNTIF(W122,"Completed")+COUNTIF(AB122,"Completed")+COUNTIF(AG122,"Completed")+COUNTIF(AL122,"Completed")+COUNTIF(AQ122,"Completed"))</f>
        <v/>
      </c>
      <c r="J122" s="31" t="str">
        <f aca="false">IF($C122="","",7-(COUNTIF(M122,"NA")+COUNTIF(R122,"NA")+COUNTIF(W122,"NA")+COUNTIF(AB122,"NA")+COUNTIF(AG122,"NA")+COUNTIF(AL122,"NA")+COUNTIF(AQ122,"NA")))</f>
        <v/>
      </c>
      <c r="K122" s="34" t="str">
        <f aca="false">IFERROR(I122/J122,"")</f>
        <v/>
      </c>
      <c r="L122" s="29"/>
      <c r="M122" s="35"/>
      <c r="N122" s="36"/>
      <c r="O122" s="36"/>
      <c r="P122" s="30"/>
      <c r="Q122" s="29"/>
      <c r="R122" s="35"/>
      <c r="S122" s="36"/>
      <c r="T122" s="36"/>
      <c r="U122" s="30"/>
      <c r="V122" s="29"/>
      <c r="W122" s="35"/>
      <c r="X122" s="36"/>
      <c r="Y122" s="36"/>
      <c r="Z122" s="30"/>
      <c r="AA122" s="29"/>
      <c r="AB122" s="35"/>
      <c r="AC122" s="36"/>
      <c r="AD122" s="36"/>
      <c r="AE122" s="30"/>
      <c r="AF122" s="29"/>
      <c r="AG122" s="35"/>
      <c r="AH122" s="36"/>
      <c r="AI122" s="36"/>
      <c r="AJ122" s="30"/>
      <c r="AK122" s="29"/>
      <c r="AL122" s="35"/>
      <c r="AM122" s="36"/>
      <c r="AN122" s="36"/>
      <c r="AO122" s="30"/>
      <c r="AP122" s="29"/>
      <c r="AQ122" s="35"/>
      <c r="AR122" s="36"/>
      <c r="AS122" s="36"/>
      <c r="AT122" s="30"/>
      <c r="AU122" s="29"/>
      <c r="AV122" s="29"/>
      <c r="AW122" s="29"/>
      <c r="AX122" s="37"/>
      <c r="AY122" s="39" t="str">
        <f aca="false">IF(AU122&lt;&gt;"Yes","",IF(AV122="","SELECT RE-ENTRY STAGE","MOVE TO ACTIVE at "&amp;AV122))</f>
        <v/>
      </c>
      <c r="AZ122" s="40" t="str">
        <f aca="false">IF(AU122="Yes",COUNTIF($AU$6:AU122,"Yes"),"")</f>
        <v/>
      </c>
      <c r="BA122" s="29"/>
      <c r="BB122" s="38" t="str">
        <f aca="false">IF($C122="","",IF(OR(F122="Completed",F122="Cancelled"),"",IF(AND(OR(F122="On Hold",ISNUMBER(VALUE(LEFT(H122,2)))),BA122=""),"Reason not given","")))</f>
        <v/>
      </c>
      <c r="BC122" s="30"/>
    </row>
    <row r="123" customFormat="false" ht="19.5" hidden="false" customHeight="true" outlineLevel="0" collapsed="false">
      <c r="A123" s="28" t="str">
        <f aca="false">IF($C123="","",COUNTA($C$6:$C123))</f>
        <v/>
      </c>
      <c r="B123" s="29"/>
      <c r="C123" s="30"/>
      <c r="D123" s="29"/>
      <c r="E123" s="31" t="str">
        <f aca="false">IF($C123="","",IF(NOT(OR(M123="Completed",M123="NA",M123="Cancelled")),"S1 Schematic",IF(NOT(OR(R123="Completed",R123="NA",R123="Cancelled")),"S2 PCB Layout",IF(NOT(OR(W123="Completed",W123="NA",W123="Cancelled")),"S3 SI &amp; PI",IF(NOT(OR(AB123="Completed",AB123="NA",AB123="Cancelled")),"S4 Bare-PCB Fab",IF(NOT(OR(AG123="Completed",AG123="NA",AG123="Cancelled")),"S5 Assembly",IF(NOT(OR(AL123="Completed",AL123="NA",AL123="Cancelled")),"S6 Bring-up",IF(NOT(OR(AQ123="Completed",AQ123="NA",AQ123="Cancelled")),"S7 BOM Procurement","All Stages Closed"))))))))</f>
        <v/>
      </c>
      <c r="F123" s="32" t="str">
        <f aca="false">IF($C123="","",IF(COUNTIF(M123,"Cancelled")+COUNTIF(R123,"Cancelled")+COUNTIF(W123,"Cancelled")+COUNTIF(AB123,"Cancelled")+COUNTIF(AG123,"Cancelled")+COUNTIF(AL123,"Cancelled")+COUNTIF(AQ123,"Cancelled")&gt;0,"Cancelled",IF(E123="All Stages Closed","Completed",IF(E123="S1 Schematic",M123,IF(E123="S2 PCB Layout",R123,IF(E123="S3 SI &amp; PI",W123,IF(E123="S4 Bare-PCB Fab",AB123,IF(E123="S5 Assembly",AG123,IF(E123="S6 Bring-up",AL123,AQ123)))))))))</f>
        <v/>
      </c>
      <c r="G123" s="33" t="str">
        <f aca="false">IF($C123="","",IF(E123="All Stages Closed","",IF(E123="S1 Schematic",IF(N123="","Not added",N123),IF(E123="S2 PCB Layout",IF(S123="","Not added",S123),IF(E123="S3 SI &amp; PI",IF(X123="","Not added",X123),IF(E123="S4 Bare-PCB Fab",IF(AC123="","Not added",AC123),IF(E123="S5 Assembly",IF(AH123="","Not added",AH123),IF(E123="S6 Bring-up",IF(AM123="","Not added",AM123),IF(AR123="","Not added",AR123)))))))))</f>
        <v/>
      </c>
      <c r="H123" s="32" t="str">
        <f aca="true">IF($C123="","",IF(OR(F123="Completed",F123="Cancelled"),"",IF(NOT(ISNUMBER(G123)),"No date set",IF(TODAY()&gt;G123,TODAY()-G123&amp;" days late",G123-TODAY()&amp;" days left"))))</f>
        <v/>
      </c>
      <c r="I123" s="31" t="str">
        <f aca="false">IF($C123="","",COUNTIF(M123,"Completed")+COUNTIF(R123,"Completed")+COUNTIF(W123,"Completed")+COUNTIF(AB123,"Completed")+COUNTIF(AG123,"Completed")+COUNTIF(AL123,"Completed")+COUNTIF(AQ123,"Completed"))</f>
        <v/>
      </c>
      <c r="J123" s="31" t="str">
        <f aca="false">IF($C123="","",7-(COUNTIF(M123,"NA")+COUNTIF(R123,"NA")+COUNTIF(W123,"NA")+COUNTIF(AB123,"NA")+COUNTIF(AG123,"NA")+COUNTIF(AL123,"NA")+COUNTIF(AQ123,"NA")))</f>
        <v/>
      </c>
      <c r="K123" s="34" t="str">
        <f aca="false">IFERROR(I123/J123,"")</f>
        <v/>
      </c>
      <c r="L123" s="29"/>
      <c r="M123" s="35"/>
      <c r="N123" s="36"/>
      <c r="O123" s="36"/>
      <c r="P123" s="30"/>
      <c r="Q123" s="29"/>
      <c r="R123" s="35"/>
      <c r="S123" s="36"/>
      <c r="T123" s="36"/>
      <c r="U123" s="30"/>
      <c r="V123" s="29"/>
      <c r="W123" s="35"/>
      <c r="X123" s="36"/>
      <c r="Y123" s="36"/>
      <c r="Z123" s="30"/>
      <c r="AA123" s="29"/>
      <c r="AB123" s="35"/>
      <c r="AC123" s="36"/>
      <c r="AD123" s="36"/>
      <c r="AE123" s="30"/>
      <c r="AF123" s="29"/>
      <c r="AG123" s="35"/>
      <c r="AH123" s="36"/>
      <c r="AI123" s="36"/>
      <c r="AJ123" s="30"/>
      <c r="AK123" s="29"/>
      <c r="AL123" s="35"/>
      <c r="AM123" s="36"/>
      <c r="AN123" s="36"/>
      <c r="AO123" s="30"/>
      <c r="AP123" s="29"/>
      <c r="AQ123" s="35"/>
      <c r="AR123" s="36"/>
      <c r="AS123" s="36"/>
      <c r="AT123" s="30"/>
      <c r="AU123" s="29"/>
      <c r="AV123" s="29"/>
      <c r="AW123" s="29"/>
      <c r="AX123" s="37"/>
      <c r="AY123" s="39" t="str">
        <f aca="false">IF(AU123&lt;&gt;"Yes","",IF(AV123="","SELECT RE-ENTRY STAGE","MOVE TO ACTIVE at "&amp;AV123))</f>
        <v/>
      </c>
      <c r="AZ123" s="40" t="str">
        <f aca="false">IF(AU123="Yes",COUNTIF($AU$6:AU123,"Yes"),"")</f>
        <v/>
      </c>
      <c r="BA123" s="29"/>
      <c r="BB123" s="38" t="str">
        <f aca="false">IF($C123="","",IF(OR(F123="Completed",F123="Cancelled"),"",IF(AND(OR(F123="On Hold",ISNUMBER(VALUE(LEFT(H123,2)))),BA123=""),"Reason not given","")))</f>
        <v/>
      </c>
      <c r="BC123" s="30"/>
    </row>
    <row r="124" customFormat="false" ht="19.5" hidden="false" customHeight="true" outlineLevel="0" collapsed="false">
      <c r="A124" s="28" t="str">
        <f aca="false">IF($C124="","",COUNTA($C$6:$C124))</f>
        <v/>
      </c>
      <c r="B124" s="29"/>
      <c r="C124" s="30"/>
      <c r="D124" s="29"/>
      <c r="E124" s="31" t="str">
        <f aca="false">IF($C124="","",IF(NOT(OR(M124="Completed",M124="NA",M124="Cancelled")),"S1 Schematic",IF(NOT(OR(R124="Completed",R124="NA",R124="Cancelled")),"S2 PCB Layout",IF(NOT(OR(W124="Completed",W124="NA",W124="Cancelled")),"S3 SI &amp; PI",IF(NOT(OR(AB124="Completed",AB124="NA",AB124="Cancelled")),"S4 Bare-PCB Fab",IF(NOT(OR(AG124="Completed",AG124="NA",AG124="Cancelled")),"S5 Assembly",IF(NOT(OR(AL124="Completed",AL124="NA",AL124="Cancelled")),"S6 Bring-up",IF(NOT(OR(AQ124="Completed",AQ124="NA",AQ124="Cancelled")),"S7 BOM Procurement","All Stages Closed"))))))))</f>
        <v/>
      </c>
      <c r="F124" s="32" t="str">
        <f aca="false">IF($C124="","",IF(COUNTIF(M124,"Cancelled")+COUNTIF(R124,"Cancelled")+COUNTIF(W124,"Cancelled")+COUNTIF(AB124,"Cancelled")+COUNTIF(AG124,"Cancelled")+COUNTIF(AL124,"Cancelled")+COUNTIF(AQ124,"Cancelled")&gt;0,"Cancelled",IF(E124="All Stages Closed","Completed",IF(E124="S1 Schematic",M124,IF(E124="S2 PCB Layout",R124,IF(E124="S3 SI &amp; PI",W124,IF(E124="S4 Bare-PCB Fab",AB124,IF(E124="S5 Assembly",AG124,IF(E124="S6 Bring-up",AL124,AQ124)))))))))</f>
        <v/>
      </c>
      <c r="G124" s="33" t="str">
        <f aca="false">IF($C124="","",IF(E124="All Stages Closed","",IF(E124="S1 Schematic",IF(N124="","Not added",N124),IF(E124="S2 PCB Layout",IF(S124="","Not added",S124),IF(E124="S3 SI &amp; PI",IF(X124="","Not added",X124),IF(E124="S4 Bare-PCB Fab",IF(AC124="","Not added",AC124),IF(E124="S5 Assembly",IF(AH124="","Not added",AH124),IF(E124="S6 Bring-up",IF(AM124="","Not added",AM124),IF(AR124="","Not added",AR124)))))))))</f>
        <v/>
      </c>
      <c r="H124" s="32" t="str">
        <f aca="true">IF($C124="","",IF(OR(F124="Completed",F124="Cancelled"),"",IF(NOT(ISNUMBER(G124)),"No date set",IF(TODAY()&gt;G124,TODAY()-G124&amp;" days late",G124-TODAY()&amp;" days left"))))</f>
        <v/>
      </c>
      <c r="I124" s="31" t="str">
        <f aca="false">IF($C124="","",COUNTIF(M124,"Completed")+COUNTIF(R124,"Completed")+COUNTIF(W124,"Completed")+COUNTIF(AB124,"Completed")+COUNTIF(AG124,"Completed")+COUNTIF(AL124,"Completed")+COUNTIF(AQ124,"Completed"))</f>
        <v/>
      </c>
      <c r="J124" s="31" t="str">
        <f aca="false">IF($C124="","",7-(COUNTIF(M124,"NA")+COUNTIF(R124,"NA")+COUNTIF(W124,"NA")+COUNTIF(AB124,"NA")+COUNTIF(AG124,"NA")+COUNTIF(AL124,"NA")+COUNTIF(AQ124,"NA")))</f>
        <v/>
      </c>
      <c r="K124" s="34" t="str">
        <f aca="false">IFERROR(I124/J124,"")</f>
        <v/>
      </c>
      <c r="L124" s="29"/>
      <c r="M124" s="35"/>
      <c r="N124" s="36"/>
      <c r="O124" s="36"/>
      <c r="P124" s="30"/>
      <c r="Q124" s="29"/>
      <c r="R124" s="35"/>
      <c r="S124" s="36"/>
      <c r="T124" s="36"/>
      <c r="U124" s="30"/>
      <c r="V124" s="29"/>
      <c r="W124" s="35"/>
      <c r="X124" s="36"/>
      <c r="Y124" s="36"/>
      <c r="Z124" s="30"/>
      <c r="AA124" s="29"/>
      <c r="AB124" s="35"/>
      <c r="AC124" s="36"/>
      <c r="AD124" s="36"/>
      <c r="AE124" s="30"/>
      <c r="AF124" s="29"/>
      <c r="AG124" s="35"/>
      <c r="AH124" s="36"/>
      <c r="AI124" s="36"/>
      <c r="AJ124" s="30"/>
      <c r="AK124" s="29"/>
      <c r="AL124" s="35"/>
      <c r="AM124" s="36"/>
      <c r="AN124" s="36"/>
      <c r="AO124" s="30"/>
      <c r="AP124" s="29"/>
      <c r="AQ124" s="35"/>
      <c r="AR124" s="36"/>
      <c r="AS124" s="36"/>
      <c r="AT124" s="30"/>
      <c r="AU124" s="29"/>
      <c r="AV124" s="29"/>
      <c r="AW124" s="29"/>
      <c r="AX124" s="37"/>
      <c r="AY124" s="39" t="str">
        <f aca="false">IF(AU124&lt;&gt;"Yes","",IF(AV124="","SELECT RE-ENTRY STAGE","MOVE TO ACTIVE at "&amp;AV124))</f>
        <v/>
      </c>
      <c r="AZ124" s="40" t="str">
        <f aca="false">IF(AU124="Yes",COUNTIF($AU$6:AU124,"Yes"),"")</f>
        <v/>
      </c>
      <c r="BA124" s="29"/>
      <c r="BB124" s="38" t="str">
        <f aca="false">IF($C124="","",IF(OR(F124="Completed",F124="Cancelled"),"",IF(AND(OR(F124="On Hold",ISNUMBER(VALUE(LEFT(H124,2)))),BA124=""),"Reason not given","")))</f>
        <v/>
      </c>
      <c r="BC124" s="30"/>
    </row>
    <row r="125" customFormat="false" ht="19.5" hidden="false" customHeight="true" outlineLevel="0" collapsed="false">
      <c r="A125" s="28" t="str">
        <f aca="false">IF($C125="","",COUNTA($C$6:$C125))</f>
        <v/>
      </c>
      <c r="B125" s="29"/>
      <c r="C125" s="30"/>
      <c r="D125" s="29"/>
      <c r="E125" s="31" t="str">
        <f aca="false">IF($C125="","",IF(NOT(OR(M125="Completed",M125="NA",M125="Cancelled")),"S1 Schematic",IF(NOT(OR(R125="Completed",R125="NA",R125="Cancelled")),"S2 PCB Layout",IF(NOT(OR(W125="Completed",W125="NA",W125="Cancelled")),"S3 SI &amp; PI",IF(NOT(OR(AB125="Completed",AB125="NA",AB125="Cancelled")),"S4 Bare-PCB Fab",IF(NOT(OR(AG125="Completed",AG125="NA",AG125="Cancelled")),"S5 Assembly",IF(NOT(OR(AL125="Completed",AL125="NA",AL125="Cancelled")),"S6 Bring-up",IF(NOT(OR(AQ125="Completed",AQ125="NA",AQ125="Cancelled")),"S7 BOM Procurement","All Stages Closed"))))))))</f>
        <v/>
      </c>
      <c r="F125" s="32" t="str">
        <f aca="false">IF($C125="","",IF(COUNTIF(M125,"Cancelled")+COUNTIF(R125,"Cancelled")+COUNTIF(W125,"Cancelled")+COUNTIF(AB125,"Cancelled")+COUNTIF(AG125,"Cancelled")+COUNTIF(AL125,"Cancelled")+COUNTIF(AQ125,"Cancelled")&gt;0,"Cancelled",IF(E125="All Stages Closed","Completed",IF(E125="S1 Schematic",M125,IF(E125="S2 PCB Layout",R125,IF(E125="S3 SI &amp; PI",W125,IF(E125="S4 Bare-PCB Fab",AB125,IF(E125="S5 Assembly",AG125,IF(E125="S6 Bring-up",AL125,AQ125)))))))))</f>
        <v/>
      </c>
      <c r="G125" s="33" t="str">
        <f aca="false">IF($C125="","",IF(E125="All Stages Closed","",IF(E125="S1 Schematic",IF(N125="","Not added",N125),IF(E125="S2 PCB Layout",IF(S125="","Not added",S125),IF(E125="S3 SI &amp; PI",IF(X125="","Not added",X125),IF(E125="S4 Bare-PCB Fab",IF(AC125="","Not added",AC125),IF(E125="S5 Assembly",IF(AH125="","Not added",AH125),IF(E125="S6 Bring-up",IF(AM125="","Not added",AM125),IF(AR125="","Not added",AR125)))))))))</f>
        <v/>
      </c>
      <c r="H125" s="32" t="str">
        <f aca="true">IF($C125="","",IF(OR(F125="Completed",F125="Cancelled"),"",IF(NOT(ISNUMBER(G125)),"No date set",IF(TODAY()&gt;G125,TODAY()-G125&amp;" days late",G125-TODAY()&amp;" days left"))))</f>
        <v/>
      </c>
      <c r="I125" s="31" t="str">
        <f aca="false">IF($C125="","",COUNTIF(M125,"Completed")+COUNTIF(R125,"Completed")+COUNTIF(W125,"Completed")+COUNTIF(AB125,"Completed")+COUNTIF(AG125,"Completed")+COUNTIF(AL125,"Completed")+COUNTIF(AQ125,"Completed"))</f>
        <v/>
      </c>
      <c r="J125" s="31" t="str">
        <f aca="false">IF($C125="","",7-(COUNTIF(M125,"NA")+COUNTIF(R125,"NA")+COUNTIF(W125,"NA")+COUNTIF(AB125,"NA")+COUNTIF(AG125,"NA")+COUNTIF(AL125,"NA")+COUNTIF(AQ125,"NA")))</f>
        <v/>
      </c>
      <c r="K125" s="34" t="str">
        <f aca="false">IFERROR(I125/J125,"")</f>
        <v/>
      </c>
      <c r="L125" s="29"/>
      <c r="M125" s="35"/>
      <c r="N125" s="36"/>
      <c r="O125" s="36"/>
      <c r="P125" s="30"/>
      <c r="Q125" s="29"/>
      <c r="R125" s="35"/>
      <c r="S125" s="36"/>
      <c r="T125" s="36"/>
      <c r="U125" s="30"/>
      <c r="V125" s="29"/>
      <c r="W125" s="35"/>
      <c r="X125" s="36"/>
      <c r="Y125" s="36"/>
      <c r="Z125" s="30"/>
      <c r="AA125" s="29"/>
      <c r="AB125" s="35"/>
      <c r="AC125" s="36"/>
      <c r="AD125" s="36"/>
      <c r="AE125" s="30"/>
      <c r="AF125" s="29"/>
      <c r="AG125" s="35"/>
      <c r="AH125" s="36"/>
      <c r="AI125" s="36"/>
      <c r="AJ125" s="30"/>
      <c r="AK125" s="29"/>
      <c r="AL125" s="35"/>
      <c r="AM125" s="36"/>
      <c r="AN125" s="36"/>
      <c r="AO125" s="30"/>
      <c r="AP125" s="29"/>
      <c r="AQ125" s="35"/>
      <c r="AR125" s="36"/>
      <c r="AS125" s="36"/>
      <c r="AT125" s="30"/>
      <c r="AU125" s="29"/>
      <c r="AV125" s="29"/>
      <c r="AW125" s="29"/>
      <c r="AX125" s="37"/>
      <c r="AY125" s="39" t="str">
        <f aca="false">IF(AU125&lt;&gt;"Yes","",IF(AV125="","SELECT RE-ENTRY STAGE","MOVE TO ACTIVE at "&amp;AV125))</f>
        <v/>
      </c>
      <c r="AZ125" s="40" t="str">
        <f aca="false">IF(AU125="Yes",COUNTIF($AU$6:AU125,"Yes"),"")</f>
        <v/>
      </c>
      <c r="BA125" s="29"/>
      <c r="BB125" s="38" t="str">
        <f aca="false">IF($C125="","",IF(OR(F125="Completed",F125="Cancelled"),"",IF(AND(OR(F125="On Hold",ISNUMBER(VALUE(LEFT(H125,2)))),BA125=""),"Reason not given","")))</f>
        <v/>
      </c>
      <c r="BC125" s="30"/>
    </row>
    <row r="126" customFormat="false" ht="19.5" hidden="false" customHeight="true" outlineLevel="0" collapsed="false">
      <c r="A126" s="28" t="str">
        <f aca="false">IF($C126="","",COUNTA($C$6:$C126))</f>
        <v/>
      </c>
      <c r="B126" s="29"/>
      <c r="C126" s="30"/>
      <c r="D126" s="29"/>
      <c r="E126" s="31" t="str">
        <f aca="false">IF($C126="","",IF(NOT(OR(M126="Completed",M126="NA",M126="Cancelled")),"S1 Schematic",IF(NOT(OR(R126="Completed",R126="NA",R126="Cancelled")),"S2 PCB Layout",IF(NOT(OR(W126="Completed",W126="NA",W126="Cancelled")),"S3 SI &amp; PI",IF(NOT(OR(AB126="Completed",AB126="NA",AB126="Cancelled")),"S4 Bare-PCB Fab",IF(NOT(OR(AG126="Completed",AG126="NA",AG126="Cancelled")),"S5 Assembly",IF(NOT(OR(AL126="Completed",AL126="NA",AL126="Cancelled")),"S6 Bring-up",IF(NOT(OR(AQ126="Completed",AQ126="NA",AQ126="Cancelled")),"S7 BOM Procurement","All Stages Closed"))))))))</f>
        <v/>
      </c>
      <c r="F126" s="32" t="str">
        <f aca="false">IF($C126="","",IF(COUNTIF(M126,"Cancelled")+COUNTIF(R126,"Cancelled")+COUNTIF(W126,"Cancelled")+COUNTIF(AB126,"Cancelled")+COUNTIF(AG126,"Cancelled")+COUNTIF(AL126,"Cancelled")+COUNTIF(AQ126,"Cancelled")&gt;0,"Cancelled",IF(E126="All Stages Closed","Completed",IF(E126="S1 Schematic",M126,IF(E126="S2 PCB Layout",R126,IF(E126="S3 SI &amp; PI",W126,IF(E126="S4 Bare-PCB Fab",AB126,IF(E126="S5 Assembly",AG126,IF(E126="S6 Bring-up",AL126,AQ126)))))))))</f>
        <v/>
      </c>
      <c r="G126" s="33" t="str">
        <f aca="false">IF($C126="","",IF(E126="All Stages Closed","",IF(E126="S1 Schematic",IF(N126="","Not added",N126),IF(E126="S2 PCB Layout",IF(S126="","Not added",S126),IF(E126="S3 SI &amp; PI",IF(X126="","Not added",X126),IF(E126="S4 Bare-PCB Fab",IF(AC126="","Not added",AC126),IF(E126="S5 Assembly",IF(AH126="","Not added",AH126),IF(E126="S6 Bring-up",IF(AM126="","Not added",AM126),IF(AR126="","Not added",AR126)))))))))</f>
        <v/>
      </c>
      <c r="H126" s="32" t="str">
        <f aca="true">IF($C126="","",IF(OR(F126="Completed",F126="Cancelled"),"",IF(NOT(ISNUMBER(G126)),"No date set",IF(TODAY()&gt;G126,TODAY()-G126&amp;" days late",G126-TODAY()&amp;" days left"))))</f>
        <v/>
      </c>
      <c r="I126" s="31" t="str">
        <f aca="false">IF($C126="","",COUNTIF(M126,"Completed")+COUNTIF(R126,"Completed")+COUNTIF(W126,"Completed")+COUNTIF(AB126,"Completed")+COUNTIF(AG126,"Completed")+COUNTIF(AL126,"Completed")+COUNTIF(AQ126,"Completed"))</f>
        <v/>
      </c>
      <c r="J126" s="31" t="str">
        <f aca="false">IF($C126="","",7-(COUNTIF(M126,"NA")+COUNTIF(R126,"NA")+COUNTIF(W126,"NA")+COUNTIF(AB126,"NA")+COUNTIF(AG126,"NA")+COUNTIF(AL126,"NA")+COUNTIF(AQ126,"NA")))</f>
        <v/>
      </c>
      <c r="K126" s="34" t="str">
        <f aca="false">IFERROR(I126/J126,"")</f>
        <v/>
      </c>
      <c r="L126" s="29"/>
      <c r="M126" s="35"/>
      <c r="N126" s="36"/>
      <c r="O126" s="36"/>
      <c r="P126" s="30"/>
      <c r="Q126" s="29"/>
      <c r="R126" s="35"/>
      <c r="S126" s="36"/>
      <c r="T126" s="36"/>
      <c r="U126" s="30"/>
      <c r="V126" s="29"/>
      <c r="W126" s="35"/>
      <c r="X126" s="36"/>
      <c r="Y126" s="36"/>
      <c r="Z126" s="30"/>
      <c r="AA126" s="29"/>
      <c r="AB126" s="35"/>
      <c r="AC126" s="36"/>
      <c r="AD126" s="36"/>
      <c r="AE126" s="30"/>
      <c r="AF126" s="29"/>
      <c r="AG126" s="35"/>
      <c r="AH126" s="36"/>
      <c r="AI126" s="36"/>
      <c r="AJ126" s="30"/>
      <c r="AK126" s="29"/>
      <c r="AL126" s="35"/>
      <c r="AM126" s="36"/>
      <c r="AN126" s="36"/>
      <c r="AO126" s="30"/>
      <c r="AP126" s="29"/>
      <c r="AQ126" s="35"/>
      <c r="AR126" s="36"/>
      <c r="AS126" s="36"/>
      <c r="AT126" s="30"/>
      <c r="AU126" s="29"/>
      <c r="AV126" s="29"/>
      <c r="AW126" s="29"/>
      <c r="AX126" s="37"/>
      <c r="AY126" s="39" t="str">
        <f aca="false">IF(AU126&lt;&gt;"Yes","",IF(AV126="","SELECT RE-ENTRY STAGE","MOVE TO ACTIVE at "&amp;AV126))</f>
        <v/>
      </c>
      <c r="AZ126" s="40" t="str">
        <f aca="false">IF(AU126="Yes",COUNTIF($AU$6:AU126,"Yes"),"")</f>
        <v/>
      </c>
      <c r="BA126" s="29"/>
      <c r="BB126" s="38" t="str">
        <f aca="false">IF($C126="","",IF(OR(F126="Completed",F126="Cancelled"),"",IF(AND(OR(F126="On Hold",ISNUMBER(VALUE(LEFT(H126,2)))),BA126=""),"Reason not given","")))</f>
        <v/>
      </c>
      <c r="BC126" s="30"/>
    </row>
    <row r="127" customFormat="false" ht="19.5" hidden="false" customHeight="true" outlineLevel="0" collapsed="false">
      <c r="A127" s="28" t="str">
        <f aca="false">IF($C127="","",COUNTA($C$6:$C127))</f>
        <v/>
      </c>
      <c r="B127" s="29"/>
      <c r="C127" s="30"/>
      <c r="D127" s="29"/>
      <c r="E127" s="31" t="str">
        <f aca="false">IF($C127="","",IF(NOT(OR(M127="Completed",M127="NA",M127="Cancelled")),"S1 Schematic",IF(NOT(OR(R127="Completed",R127="NA",R127="Cancelled")),"S2 PCB Layout",IF(NOT(OR(W127="Completed",W127="NA",W127="Cancelled")),"S3 SI &amp; PI",IF(NOT(OR(AB127="Completed",AB127="NA",AB127="Cancelled")),"S4 Bare-PCB Fab",IF(NOT(OR(AG127="Completed",AG127="NA",AG127="Cancelled")),"S5 Assembly",IF(NOT(OR(AL127="Completed",AL127="NA",AL127="Cancelled")),"S6 Bring-up",IF(NOT(OR(AQ127="Completed",AQ127="NA",AQ127="Cancelled")),"S7 BOM Procurement","All Stages Closed"))))))))</f>
        <v/>
      </c>
      <c r="F127" s="32" t="str">
        <f aca="false">IF($C127="","",IF(COUNTIF(M127,"Cancelled")+COUNTIF(R127,"Cancelled")+COUNTIF(W127,"Cancelled")+COUNTIF(AB127,"Cancelled")+COUNTIF(AG127,"Cancelled")+COUNTIF(AL127,"Cancelled")+COUNTIF(AQ127,"Cancelled")&gt;0,"Cancelled",IF(E127="All Stages Closed","Completed",IF(E127="S1 Schematic",M127,IF(E127="S2 PCB Layout",R127,IF(E127="S3 SI &amp; PI",W127,IF(E127="S4 Bare-PCB Fab",AB127,IF(E127="S5 Assembly",AG127,IF(E127="S6 Bring-up",AL127,AQ127)))))))))</f>
        <v/>
      </c>
      <c r="G127" s="33" t="str">
        <f aca="false">IF($C127="","",IF(E127="All Stages Closed","",IF(E127="S1 Schematic",IF(N127="","Not added",N127),IF(E127="S2 PCB Layout",IF(S127="","Not added",S127),IF(E127="S3 SI &amp; PI",IF(X127="","Not added",X127),IF(E127="S4 Bare-PCB Fab",IF(AC127="","Not added",AC127),IF(E127="S5 Assembly",IF(AH127="","Not added",AH127),IF(E127="S6 Bring-up",IF(AM127="","Not added",AM127),IF(AR127="","Not added",AR127)))))))))</f>
        <v/>
      </c>
      <c r="H127" s="32" t="str">
        <f aca="true">IF($C127="","",IF(OR(F127="Completed",F127="Cancelled"),"",IF(NOT(ISNUMBER(G127)),"No date set",IF(TODAY()&gt;G127,TODAY()-G127&amp;" days late",G127-TODAY()&amp;" days left"))))</f>
        <v/>
      </c>
      <c r="I127" s="31" t="str">
        <f aca="false">IF($C127="","",COUNTIF(M127,"Completed")+COUNTIF(R127,"Completed")+COUNTIF(W127,"Completed")+COUNTIF(AB127,"Completed")+COUNTIF(AG127,"Completed")+COUNTIF(AL127,"Completed")+COUNTIF(AQ127,"Completed"))</f>
        <v/>
      </c>
      <c r="J127" s="31" t="str">
        <f aca="false">IF($C127="","",7-(COUNTIF(M127,"NA")+COUNTIF(R127,"NA")+COUNTIF(W127,"NA")+COUNTIF(AB127,"NA")+COUNTIF(AG127,"NA")+COUNTIF(AL127,"NA")+COUNTIF(AQ127,"NA")))</f>
        <v/>
      </c>
      <c r="K127" s="34" t="str">
        <f aca="false">IFERROR(I127/J127,"")</f>
        <v/>
      </c>
      <c r="L127" s="29"/>
      <c r="M127" s="35"/>
      <c r="N127" s="36"/>
      <c r="O127" s="36"/>
      <c r="P127" s="30"/>
      <c r="Q127" s="29"/>
      <c r="R127" s="35"/>
      <c r="S127" s="36"/>
      <c r="T127" s="36"/>
      <c r="U127" s="30"/>
      <c r="V127" s="29"/>
      <c r="W127" s="35"/>
      <c r="X127" s="36"/>
      <c r="Y127" s="36"/>
      <c r="Z127" s="30"/>
      <c r="AA127" s="29"/>
      <c r="AB127" s="35"/>
      <c r="AC127" s="36"/>
      <c r="AD127" s="36"/>
      <c r="AE127" s="30"/>
      <c r="AF127" s="29"/>
      <c r="AG127" s="35"/>
      <c r="AH127" s="36"/>
      <c r="AI127" s="36"/>
      <c r="AJ127" s="30"/>
      <c r="AK127" s="29"/>
      <c r="AL127" s="35"/>
      <c r="AM127" s="36"/>
      <c r="AN127" s="36"/>
      <c r="AO127" s="30"/>
      <c r="AP127" s="29"/>
      <c r="AQ127" s="35"/>
      <c r="AR127" s="36"/>
      <c r="AS127" s="36"/>
      <c r="AT127" s="30"/>
      <c r="AU127" s="29"/>
      <c r="AV127" s="29"/>
      <c r="AW127" s="29"/>
      <c r="AX127" s="37"/>
      <c r="AY127" s="39" t="str">
        <f aca="false">IF(AU127&lt;&gt;"Yes","",IF(AV127="","SELECT RE-ENTRY STAGE","MOVE TO ACTIVE at "&amp;AV127))</f>
        <v/>
      </c>
      <c r="AZ127" s="40" t="str">
        <f aca="false">IF(AU127="Yes",COUNTIF($AU$6:AU127,"Yes"),"")</f>
        <v/>
      </c>
      <c r="BA127" s="29"/>
      <c r="BB127" s="38" t="str">
        <f aca="false">IF($C127="","",IF(OR(F127="Completed",F127="Cancelled"),"",IF(AND(OR(F127="On Hold",ISNUMBER(VALUE(LEFT(H127,2)))),BA127=""),"Reason not given","")))</f>
        <v/>
      </c>
      <c r="BC127" s="30"/>
    </row>
    <row r="128" customFormat="false" ht="19.5" hidden="false" customHeight="true" outlineLevel="0" collapsed="false">
      <c r="A128" s="28" t="str">
        <f aca="false">IF($C128="","",COUNTA($C$6:$C128))</f>
        <v/>
      </c>
      <c r="B128" s="29"/>
      <c r="C128" s="30"/>
      <c r="D128" s="29"/>
      <c r="E128" s="31" t="str">
        <f aca="false">IF($C128="","",IF(NOT(OR(M128="Completed",M128="NA",M128="Cancelled")),"S1 Schematic",IF(NOT(OR(R128="Completed",R128="NA",R128="Cancelled")),"S2 PCB Layout",IF(NOT(OR(W128="Completed",W128="NA",W128="Cancelled")),"S3 SI &amp; PI",IF(NOT(OR(AB128="Completed",AB128="NA",AB128="Cancelled")),"S4 Bare-PCB Fab",IF(NOT(OR(AG128="Completed",AG128="NA",AG128="Cancelled")),"S5 Assembly",IF(NOT(OR(AL128="Completed",AL128="NA",AL128="Cancelled")),"S6 Bring-up",IF(NOT(OR(AQ128="Completed",AQ128="NA",AQ128="Cancelled")),"S7 BOM Procurement","All Stages Closed"))))))))</f>
        <v/>
      </c>
      <c r="F128" s="32" t="str">
        <f aca="false">IF($C128="","",IF(COUNTIF(M128,"Cancelled")+COUNTIF(R128,"Cancelled")+COUNTIF(W128,"Cancelled")+COUNTIF(AB128,"Cancelled")+COUNTIF(AG128,"Cancelled")+COUNTIF(AL128,"Cancelled")+COUNTIF(AQ128,"Cancelled")&gt;0,"Cancelled",IF(E128="All Stages Closed","Completed",IF(E128="S1 Schematic",M128,IF(E128="S2 PCB Layout",R128,IF(E128="S3 SI &amp; PI",W128,IF(E128="S4 Bare-PCB Fab",AB128,IF(E128="S5 Assembly",AG128,IF(E128="S6 Bring-up",AL128,AQ128)))))))))</f>
        <v/>
      </c>
      <c r="G128" s="33" t="str">
        <f aca="false">IF($C128="","",IF(E128="All Stages Closed","",IF(E128="S1 Schematic",IF(N128="","Not added",N128),IF(E128="S2 PCB Layout",IF(S128="","Not added",S128),IF(E128="S3 SI &amp; PI",IF(X128="","Not added",X128),IF(E128="S4 Bare-PCB Fab",IF(AC128="","Not added",AC128),IF(E128="S5 Assembly",IF(AH128="","Not added",AH128),IF(E128="S6 Bring-up",IF(AM128="","Not added",AM128),IF(AR128="","Not added",AR128)))))))))</f>
        <v/>
      </c>
      <c r="H128" s="32" t="str">
        <f aca="true">IF($C128="","",IF(OR(F128="Completed",F128="Cancelled"),"",IF(NOT(ISNUMBER(G128)),"No date set",IF(TODAY()&gt;G128,TODAY()-G128&amp;" days late",G128-TODAY()&amp;" days left"))))</f>
        <v/>
      </c>
      <c r="I128" s="31" t="str">
        <f aca="false">IF($C128="","",COUNTIF(M128,"Completed")+COUNTIF(R128,"Completed")+COUNTIF(W128,"Completed")+COUNTIF(AB128,"Completed")+COUNTIF(AG128,"Completed")+COUNTIF(AL128,"Completed")+COUNTIF(AQ128,"Completed"))</f>
        <v/>
      </c>
      <c r="J128" s="31" t="str">
        <f aca="false">IF($C128="","",7-(COUNTIF(M128,"NA")+COUNTIF(R128,"NA")+COUNTIF(W128,"NA")+COUNTIF(AB128,"NA")+COUNTIF(AG128,"NA")+COUNTIF(AL128,"NA")+COUNTIF(AQ128,"NA")))</f>
        <v/>
      </c>
      <c r="K128" s="34" t="str">
        <f aca="false">IFERROR(I128/J128,"")</f>
        <v/>
      </c>
      <c r="L128" s="29"/>
      <c r="M128" s="35"/>
      <c r="N128" s="36"/>
      <c r="O128" s="36"/>
      <c r="P128" s="30"/>
      <c r="Q128" s="29"/>
      <c r="R128" s="35"/>
      <c r="S128" s="36"/>
      <c r="T128" s="36"/>
      <c r="U128" s="30"/>
      <c r="V128" s="29"/>
      <c r="W128" s="35"/>
      <c r="X128" s="36"/>
      <c r="Y128" s="36"/>
      <c r="Z128" s="30"/>
      <c r="AA128" s="29"/>
      <c r="AB128" s="35"/>
      <c r="AC128" s="36"/>
      <c r="AD128" s="36"/>
      <c r="AE128" s="30"/>
      <c r="AF128" s="29"/>
      <c r="AG128" s="35"/>
      <c r="AH128" s="36"/>
      <c r="AI128" s="36"/>
      <c r="AJ128" s="30"/>
      <c r="AK128" s="29"/>
      <c r="AL128" s="35"/>
      <c r="AM128" s="36"/>
      <c r="AN128" s="36"/>
      <c r="AO128" s="30"/>
      <c r="AP128" s="29"/>
      <c r="AQ128" s="35"/>
      <c r="AR128" s="36"/>
      <c r="AS128" s="36"/>
      <c r="AT128" s="30"/>
      <c r="AU128" s="29"/>
      <c r="AV128" s="29"/>
      <c r="AW128" s="29"/>
      <c r="AX128" s="37"/>
      <c r="AY128" s="39" t="str">
        <f aca="false">IF(AU128&lt;&gt;"Yes","",IF(AV128="","SELECT RE-ENTRY STAGE","MOVE TO ACTIVE at "&amp;AV128))</f>
        <v/>
      </c>
      <c r="AZ128" s="40" t="str">
        <f aca="false">IF(AU128="Yes",COUNTIF($AU$6:AU128,"Yes"),"")</f>
        <v/>
      </c>
      <c r="BA128" s="29"/>
      <c r="BB128" s="38" t="str">
        <f aca="false">IF($C128="","",IF(OR(F128="Completed",F128="Cancelled"),"",IF(AND(OR(F128="On Hold",ISNUMBER(VALUE(LEFT(H128,2)))),BA128=""),"Reason not given","")))</f>
        <v/>
      </c>
      <c r="BC128" s="30"/>
    </row>
    <row r="129" customFormat="false" ht="19.5" hidden="false" customHeight="true" outlineLevel="0" collapsed="false">
      <c r="A129" s="28" t="str">
        <f aca="false">IF($C129="","",COUNTA($C$6:$C129))</f>
        <v/>
      </c>
      <c r="B129" s="29"/>
      <c r="C129" s="30"/>
      <c r="D129" s="29"/>
      <c r="E129" s="31" t="str">
        <f aca="false">IF($C129="","",IF(NOT(OR(M129="Completed",M129="NA",M129="Cancelled")),"S1 Schematic",IF(NOT(OR(R129="Completed",R129="NA",R129="Cancelled")),"S2 PCB Layout",IF(NOT(OR(W129="Completed",W129="NA",W129="Cancelled")),"S3 SI &amp; PI",IF(NOT(OR(AB129="Completed",AB129="NA",AB129="Cancelled")),"S4 Bare-PCB Fab",IF(NOT(OR(AG129="Completed",AG129="NA",AG129="Cancelled")),"S5 Assembly",IF(NOT(OR(AL129="Completed",AL129="NA",AL129="Cancelled")),"S6 Bring-up",IF(NOT(OR(AQ129="Completed",AQ129="NA",AQ129="Cancelled")),"S7 BOM Procurement","All Stages Closed"))))))))</f>
        <v/>
      </c>
      <c r="F129" s="32" t="str">
        <f aca="false">IF($C129="","",IF(COUNTIF(M129,"Cancelled")+COUNTIF(R129,"Cancelled")+COUNTIF(W129,"Cancelled")+COUNTIF(AB129,"Cancelled")+COUNTIF(AG129,"Cancelled")+COUNTIF(AL129,"Cancelled")+COUNTIF(AQ129,"Cancelled")&gt;0,"Cancelled",IF(E129="All Stages Closed","Completed",IF(E129="S1 Schematic",M129,IF(E129="S2 PCB Layout",R129,IF(E129="S3 SI &amp; PI",W129,IF(E129="S4 Bare-PCB Fab",AB129,IF(E129="S5 Assembly",AG129,IF(E129="S6 Bring-up",AL129,AQ129)))))))))</f>
        <v/>
      </c>
      <c r="G129" s="33" t="str">
        <f aca="false">IF($C129="","",IF(E129="All Stages Closed","",IF(E129="S1 Schematic",IF(N129="","Not added",N129),IF(E129="S2 PCB Layout",IF(S129="","Not added",S129),IF(E129="S3 SI &amp; PI",IF(X129="","Not added",X129),IF(E129="S4 Bare-PCB Fab",IF(AC129="","Not added",AC129),IF(E129="S5 Assembly",IF(AH129="","Not added",AH129),IF(E129="S6 Bring-up",IF(AM129="","Not added",AM129),IF(AR129="","Not added",AR129)))))))))</f>
        <v/>
      </c>
      <c r="H129" s="32" t="str">
        <f aca="true">IF($C129="","",IF(OR(F129="Completed",F129="Cancelled"),"",IF(NOT(ISNUMBER(G129)),"No date set",IF(TODAY()&gt;G129,TODAY()-G129&amp;" days late",G129-TODAY()&amp;" days left"))))</f>
        <v/>
      </c>
      <c r="I129" s="31" t="str">
        <f aca="false">IF($C129="","",COUNTIF(M129,"Completed")+COUNTIF(R129,"Completed")+COUNTIF(W129,"Completed")+COUNTIF(AB129,"Completed")+COUNTIF(AG129,"Completed")+COUNTIF(AL129,"Completed")+COUNTIF(AQ129,"Completed"))</f>
        <v/>
      </c>
      <c r="J129" s="31" t="str">
        <f aca="false">IF($C129="","",7-(COUNTIF(M129,"NA")+COUNTIF(R129,"NA")+COUNTIF(W129,"NA")+COUNTIF(AB129,"NA")+COUNTIF(AG129,"NA")+COUNTIF(AL129,"NA")+COUNTIF(AQ129,"NA")))</f>
        <v/>
      </c>
      <c r="K129" s="34" t="str">
        <f aca="false">IFERROR(I129/J129,"")</f>
        <v/>
      </c>
      <c r="L129" s="29"/>
      <c r="M129" s="35"/>
      <c r="N129" s="36"/>
      <c r="O129" s="36"/>
      <c r="P129" s="30"/>
      <c r="Q129" s="29"/>
      <c r="R129" s="35"/>
      <c r="S129" s="36"/>
      <c r="T129" s="36"/>
      <c r="U129" s="30"/>
      <c r="V129" s="29"/>
      <c r="W129" s="35"/>
      <c r="X129" s="36"/>
      <c r="Y129" s="36"/>
      <c r="Z129" s="30"/>
      <c r="AA129" s="29"/>
      <c r="AB129" s="35"/>
      <c r="AC129" s="36"/>
      <c r="AD129" s="36"/>
      <c r="AE129" s="30"/>
      <c r="AF129" s="29"/>
      <c r="AG129" s="35"/>
      <c r="AH129" s="36"/>
      <c r="AI129" s="36"/>
      <c r="AJ129" s="30"/>
      <c r="AK129" s="29"/>
      <c r="AL129" s="35"/>
      <c r="AM129" s="36"/>
      <c r="AN129" s="36"/>
      <c r="AO129" s="30"/>
      <c r="AP129" s="29"/>
      <c r="AQ129" s="35"/>
      <c r="AR129" s="36"/>
      <c r="AS129" s="36"/>
      <c r="AT129" s="30"/>
      <c r="AU129" s="29"/>
      <c r="AV129" s="29"/>
      <c r="AW129" s="29"/>
      <c r="AX129" s="37"/>
      <c r="AY129" s="39" t="str">
        <f aca="false">IF(AU129&lt;&gt;"Yes","",IF(AV129="","SELECT RE-ENTRY STAGE","MOVE TO ACTIVE at "&amp;AV129))</f>
        <v/>
      </c>
      <c r="AZ129" s="40" t="str">
        <f aca="false">IF(AU129="Yes",COUNTIF($AU$6:AU129,"Yes"),"")</f>
        <v/>
      </c>
      <c r="BA129" s="29"/>
      <c r="BB129" s="38" t="str">
        <f aca="false">IF($C129="","",IF(OR(F129="Completed",F129="Cancelled"),"",IF(AND(OR(F129="On Hold",ISNUMBER(VALUE(LEFT(H129,2)))),BA129=""),"Reason not given","")))</f>
        <v/>
      </c>
      <c r="BC129" s="30"/>
    </row>
    <row r="130" customFormat="false" ht="19.5" hidden="false" customHeight="true" outlineLevel="0" collapsed="false">
      <c r="A130" s="28" t="str">
        <f aca="false">IF($C130="","",COUNTA($C$6:$C130))</f>
        <v/>
      </c>
      <c r="B130" s="29"/>
      <c r="C130" s="30"/>
      <c r="D130" s="29"/>
      <c r="E130" s="31" t="str">
        <f aca="false">IF($C130="","",IF(NOT(OR(M130="Completed",M130="NA",M130="Cancelled")),"S1 Schematic",IF(NOT(OR(R130="Completed",R130="NA",R130="Cancelled")),"S2 PCB Layout",IF(NOT(OR(W130="Completed",W130="NA",W130="Cancelled")),"S3 SI &amp; PI",IF(NOT(OR(AB130="Completed",AB130="NA",AB130="Cancelled")),"S4 Bare-PCB Fab",IF(NOT(OR(AG130="Completed",AG130="NA",AG130="Cancelled")),"S5 Assembly",IF(NOT(OR(AL130="Completed",AL130="NA",AL130="Cancelled")),"S6 Bring-up",IF(NOT(OR(AQ130="Completed",AQ130="NA",AQ130="Cancelled")),"S7 BOM Procurement","All Stages Closed"))))))))</f>
        <v/>
      </c>
      <c r="F130" s="32" t="str">
        <f aca="false">IF($C130="","",IF(COUNTIF(M130,"Cancelled")+COUNTIF(R130,"Cancelled")+COUNTIF(W130,"Cancelled")+COUNTIF(AB130,"Cancelled")+COUNTIF(AG130,"Cancelled")+COUNTIF(AL130,"Cancelled")+COUNTIF(AQ130,"Cancelled")&gt;0,"Cancelled",IF(E130="All Stages Closed","Completed",IF(E130="S1 Schematic",M130,IF(E130="S2 PCB Layout",R130,IF(E130="S3 SI &amp; PI",W130,IF(E130="S4 Bare-PCB Fab",AB130,IF(E130="S5 Assembly",AG130,IF(E130="S6 Bring-up",AL130,AQ130)))))))))</f>
        <v/>
      </c>
      <c r="G130" s="33" t="str">
        <f aca="false">IF($C130="","",IF(E130="All Stages Closed","",IF(E130="S1 Schematic",IF(N130="","Not added",N130),IF(E130="S2 PCB Layout",IF(S130="","Not added",S130),IF(E130="S3 SI &amp; PI",IF(X130="","Not added",X130),IF(E130="S4 Bare-PCB Fab",IF(AC130="","Not added",AC130),IF(E130="S5 Assembly",IF(AH130="","Not added",AH130),IF(E130="S6 Bring-up",IF(AM130="","Not added",AM130),IF(AR130="","Not added",AR130)))))))))</f>
        <v/>
      </c>
      <c r="H130" s="32" t="str">
        <f aca="true">IF($C130="","",IF(OR(F130="Completed",F130="Cancelled"),"",IF(NOT(ISNUMBER(G130)),"No date set",IF(TODAY()&gt;G130,TODAY()-G130&amp;" days late",G130-TODAY()&amp;" days left"))))</f>
        <v/>
      </c>
      <c r="I130" s="31" t="str">
        <f aca="false">IF($C130="","",COUNTIF(M130,"Completed")+COUNTIF(R130,"Completed")+COUNTIF(W130,"Completed")+COUNTIF(AB130,"Completed")+COUNTIF(AG130,"Completed")+COUNTIF(AL130,"Completed")+COUNTIF(AQ130,"Completed"))</f>
        <v/>
      </c>
      <c r="J130" s="31" t="str">
        <f aca="false">IF($C130="","",7-(COUNTIF(M130,"NA")+COUNTIF(R130,"NA")+COUNTIF(W130,"NA")+COUNTIF(AB130,"NA")+COUNTIF(AG130,"NA")+COUNTIF(AL130,"NA")+COUNTIF(AQ130,"NA")))</f>
        <v/>
      </c>
      <c r="K130" s="34" t="str">
        <f aca="false">IFERROR(I130/J130,"")</f>
        <v/>
      </c>
      <c r="L130" s="29"/>
      <c r="M130" s="35"/>
      <c r="N130" s="36"/>
      <c r="O130" s="36"/>
      <c r="P130" s="30"/>
      <c r="Q130" s="29"/>
      <c r="R130" s="35"/>
      <c r="S130" s="36"/>
      <c r="T130" s="36"/>
      <c r="U130" s="30"/>
      <c r="V130" s="29"/>
      <c r="W130" s="35"/>
      <c r="X130" s="36"/>
      <c r="Y130" s="36"/>
      <c r="Z130" s="30"/>
      <c r="AA130" s="29"/>
      <c r="AB130" s="35"/>
      <c r="AC130" s="36"/>
      <c r="AD130" s="36"/>
      <c r="AE130" s="30"/>
      <c r="AF130" s="29"/>
      <c r="AG130" s="35"/>
      <c r="AH130" s="36"/>
      <c r="AI130" s="36"/>
      <c r="AJ130" s="30"/>
      <c r="AK130" s="29"/>
      <c r="AL130" s="35"/>
      <c r="AM130" s="36"/>
      <c r="AN130" s="36"/>
      <c r="AO130" s="30"/>
      <c r="AP130" s="29"/>
      <c r="AQ130" s="35"/>
      <c r="AR130" s="36"/>
      <c r="AS130" s="36"/>
      <c r="AT130" s="30"/>
      <c r="AU130" s="29"/>
      <c r="AV130" s="29"/>
      <c r="AW130" s="29"/>
      <c r="AX130" s="37"/>
      <c r="AY130" s="39" t="str">
        <f aca="false">IF(AU130&lt;&gt;"Yes","",IF(AV130="","SELECT RE-ENTRY STAGE","MOVE TO ACTIVE at "&amp;AV130))</f>
        <v/>
      </c>
      <c r="AZ130" s="40" t="str">
        <f aca="false">IF(AU130="Yes",COUNTIF($AU$6:AU130,"Yes"),"")</f>
        <v/>
      </c>
      <c r="BA130" s="29"/>
      <c r="BB130" s="38" t="str">
        <f aca="false">IF($C130="","",IF(OR(F130="Completed",F130="Cancelled"),"",IF(AND(OR(F130="On Hold",ISNUMBER(VALUE(LEFT(H130,2)))),BA130=""),"Reason not given","")))</f>
        <v/>
      </c>
      <c r="BC130" s="30"/>
    </row>
    <row r="131" customFormat="false" ht="19.5" hidden="false" customHeight="true" outlineLevel="0" collapsed="false">
      <c r="A131" s="28" t="str">
        <f aca="false">IF($C131="","",COUNTA($C$6:$C131))</f>
        <v/>
      </c>
      <c r="B131" s="29"/>
      <c r="C131" s="30"/>
      <c r="D131" s="29"/>
      <c r="E131" s="31" t="str">
        <f aca="false">IF($C131="","",IF(NOT(OR(M131="Completed",M131="NA",M131="Cancelled")),"S1 Schematic",IF(NOT(OR(R131="Completed",R131="NA",R131="Cancelled")),"S2 PCB Layout",IF(NOT(OR(W131="Completed",W131="NA",W131="Cancelled")),"S3 SI &amp; PI",IF(NOT(OR(AB131="Completed",AB131="NA",AB131="Cancelled")),"S4 Bare-PCB Fab",IF(NOT(OR(AG131="Completed",AG131="NA",AG131="Cancelled")),"S5 Assembly",IF(NOT(OR(AL131="Completed",AL131="NA",AL131="Cancelled")),"S6 Bring-up",IF(NOT(OR(AQ131="Completed",AQ131="NA",AQ131="Cancelled")),"S7 BOM Procurement","All Stages Closed"))))))))</f>
        <v/>
      </c>
      <c r="F131" s="32" t="str">
        <f aca="false">IF($C131="","",IF(COUNTIF(M131,"Cancelled")+COUNTIF(R131,"Cancelled")+COUNTIF(W131,"Cancelled")+COUNTIF(AB131,"Cancelled")+COUNTIF(AG131,"Cancelled")+COUNTIF(AL131,"Cancelled")+COUNTIF(AQ131,"Cancelled")&gt;0,"Cancelled",IF(E131="All Stages Closed","Completed",IF(E131="S1 Schematic",M131,IF(E131="S2 PCB Layout",R131,IF(E131="S3 SI &amp; PI",W131,IF(E131="S4 Bare-PCB Fab",AB131,IF(E131="S5 Assembly",AG131,IF(E131="S6 Bring-up",AL131,AQ131)))))))))</f>
        <v/>
      </c>
      <c r="G131" s="33" t="str">
        <f aca="false">IF($C131="","",IF(E131="All Stages Closed","",IF(E131="S1 Schematic",IF(N131="","Not added",N131),IF(E131="S2 PCB Layout",IF(S131="","Not added",S131),IF(E131="S3 SI &amp; PI",IF(X131="","Not added",X131),IF(E131="S4 Bare-PCB Fab",IF(AC131="","Not added",AC131),IF(E131="S5 Assembly",IF(AH131="","Not added",AH131),IF(E131="S6 Bring-up",IF(AM131="","Not added",AM131),IF(AR131="","Not added",AR131)))))))))</f>
        <v/>
      </c>
      <c r="H131" s="32" t="str">
        <f aca="true">IF($C131="","",IF(OR(F131="Completed",F131="Cancelled"),"",IF(NOT(ISNUMBER(G131)),"No date set",IF(TODAY()&gt;G131,TODAY()-G131&amp;" days late",G131-TODAY()&amp;" days left"))))</f>
        <v/>
      </c>
      <c r="I131" s="31" t="str">
        <f aca="false">IF($C131="","",COUNTIF(M131,"Completed")+COUNTIF(R131,"Completed")+COUNTIF(W131,"Completed")+COUNTIF(AB131,"Completed")+COUNTIF(AG131,"Completed")+COUNTIF(AL131,"Completed")+COUNTIF(AQ131,"Completed"))</f>
        <v/>
      </c>
      <c r="J131" s="31" t="str">
        <f aca="false">IF($C131="","",7-(COUNTIF(M131,"NA")+COUNTIF(R131,"NA")+COUNTIF(W131,"NA")+COUNTIF(AB131,"NA")+COUNTIF(AG131,"NA")+COUNTIF(AL131,"NA")+COUNTIF(AQ131,"NA")))</f>
        <v/>
      </c>
      <c r="K131" s="34" t="str">
        <f aca="false">IFERROR(I131/J131,"")</f>
        <v/>
      </c>
      <c r="L131" s="29"/>
      <c r="M131" s="35"/>
      <c r="N131" s="36"/>
      <c r="O131" s="36"/>
      <c r="P131" s="30"/>
      <c r="Q131" s="29"/>
      <c r="R131" s="35"/>
      <c r="S131" s="36"/>
      <c r="T131" s="36"/>
      <c r="U131" s="30"/>
      <c r="V131" s="29"/>
      <c r="W131" s="35"/>
      <c r="X131" s="36"/>
      <c r="Y131" s="36"/>
      <c r="Z131" s="30"/>
      <c r="AA131" s="29"/>
      <c r="AB131" s="35"/>
      <c r="AC131" s="36"/>
      <c r="AD131" s="36"/>
      <c r="AE131" s="30"/>
      <c r="AF131" s="29"/>
      <c r="AG131" s="35"/>
      <c r="AH131" s="36"/>
      <c r="AI131" s="36"/>
      <c r="AJ131" s="30"/>
      <c r="AK131" s="29"/>
      <c r="AL131" s="35"/>
      <c r="AM131" s="36"/>
      <c r="AN131" s="36"/>
      <c r="AO131" s="30"/>
      <c r="AP131" s="29"/>
      <c r="AQ131" s="35"/>
      <c r="AR131" s="36"/>
      <c r="AS131" s="36"/>
      <c r="AT131" s="30"/>
      <c r="AU131" s="29"/>
      <c r="AV131" s="29"/>
      <c r="AW131" s="29"/>
      <c r="AX131" s="37"/>
      <c r="AY131" s="39" t="str">
        <f aca="false">IF(AU131&lt;&gt;"Yes","",IF(AV131="","SELECT RE-ENTRY STAGE","MOVE TO ACTIVE at "&amp;AV131))</f>
        <v/>
      </c>
      <c r="AZ131" s="40" t="str">
        <f aca="false">IF(AU131="Yes",COUNTIF($AU$6:AU131,"Yes"),"")</f>
        <v/>
      </c>
      <c r="BA131" s="29"/>
      <c r="BB131" s="38" t="str">
        <f aca="false">IF($C131="","",IF(OR(F131="Completed",F131="Cancelled"),"",IF(AND(OR(F131="On Hold",ISNUMBER(VALUE(LEFT(H131,2)))),BA131=""),"Reason not given","")))</f>
        <v/>
      </c>
      <c r="BC131" s="30"/>
    </row>
    <row r="132" customFormat="false" ht="19.5" hidden="false" customHeight="true" outlineLevel="0" collapsed="false">
      <c r="A132" s="28" t="str">
        <f aca="false">IF($C132="","",COUNTA($C$6:$C132))</f>
        <v/>
      </c>
      <c r="B132" s="29"/>
      <c r="C132" s="30"/>
      <c r="D132" s="29"/>
      <c r="E132" s="31" t="str">
        <f aca="false">IF($C132="","",IF(NOT(OR(M132="Completed",M132="NA",M132="Cancelled")),"S1 Schematic",IF(NOT(OR(R132="Completed",R132="NA",R132="Cancelled")),"S2 PCB Layout",IF(NOT(OR(W132="Completed",W132="NA",W132="Cancelled")),"S3 SI &amp; PI",IF(NOT(OR(AB132="Completed",AB132="NA",AB132="Cancelled")),"S4 Bare-PCB Fab",IF(NOT(OR(AG132="Completed",AG132="NA",AG132="Cancelled")),"S5 Assembly",IF(NOT(OR(AL132="Completed",AL132="NA",AL132="Cancelled")),"S6 Bring-up",IF(NOT(OR(AQ132="Completed",AQ132="NA",AQ132="Cancelled")),"S7 BOM Procurement","All Stages Closed"))))))))</f>
        <v/>
      </c>
      <c r="F132" s="32" t="str">
        <f aca="false">IF($C132="","",IF(COUNTIF(M132,"Cancelled")+COUNTIF(R132,"Cancelled")+COUNTIF(W132,"Cancelled")+COUNTIF(AB132,"Cancelled")+COUNTIF(AG132,"Cancelled")+COUNTIF(AL132,"Cancelled")+COUNTIF(AQ132,"Cancelled")&gt;0,"Cancelled",IF(E132="All Stages Closed","Completed",IF(E132="S1 Schematic",M132,IF(E132="S2 PCB Layout",R132,IF(E132="S3 SI &amp; PI",W132,IF(E132="S4 Bare-PCB Fab",AB132,IF(E132="S5 Assembly",AG132,IF(E132="S6 Bring-up",AL132,AQ132)))))))))</f>
        <v/>
      </c>
      <c r="G132" s="33" t="str">
        <f aca="false">IF($C132="","",IF(E132="All Stages Closed","",IF(E132="S1 Schematic",IF(N132="","Not added",N132),IF(E132="S2 PCB Layout",IF(S132="","Not added",S132),IF(E132="S3 SI &amp; PI",IF(X132="","Not added",X132),IF(E132="S4 Bare-PCB Fab",IF(AC132="","Not added",AC132),IF(E132="S5 Assembly",IF(AH132="","Not added",AH132),IF(E132="S6 Bring-up",IF(AM132="","Not added",AM132),IF(AR132="","Not added",AR132)))))))))</f>
        <v/>
      </c>
      <c r="H132" s="32" t="str">
        <f aca="true">IF($C132="","",IF(OR(F132="Completed",F132="Cancelled"),"",IF(NOT(ISNUMBER(G132)),"No date set",IF(TODAY()&gt;G132,TODAY()-G132&amp;" days late",G132-TODAY()&amp;" days left"))))</f>
        <v/>
      </c>
      <c r="I132" s="31" t="str">
        <f aca="false">IF($C132="","",COUNTIF(M132,"Completed")+COUNTIF(R132,"Completed")+COUNTIF(W132,"Completed")+COUNTIF(AB132,"Completed")+COUNTIF(AG132,"Completed")+COUNTIF(AL132,"Completed")+COUNTIF(AQ132,"Completed"))</f>
        <v/>
      </c>
      <c r="J132" s="31" t="str">
        <f aca="false">IF($C132="","",7-(COUNTIF(M132,"NA")+COUNTIF(R132,"NA")+COUNTIF(W132,"NA")+COUNTIF(AB132,"NA")+COUNTIF(AG132,"NA")+COUNTIF(AL132,"NA")+COUNTIF(AQ132,"NA")))</f>
        <v/>
      </c>
      <c r="K132" s="34" t="str">
        <f aca="false">IFERROR(I132/J132,"")</f>
        <v/>
      </c>
      <c r="L132" s="29"/>
      <c r="M132" s="35"/>
      <c r="N132" s="36"/>
      <c r="O132" s="36"/>
      <c r="P132" s="30"/>
      <c r="Q132" s="29"/>
      <c r="R132" s="35"/>
      <c r="S132" s="36"/>
      <c r="T132" s="36"/>
      <c r="U132" s="30"/>
      <c r="V132" s="29"/>
      <c r="W132" s="35"/>
      <c r="X132" s="36"/>
      <c r="Y132" s="36"/>
      <c r="Z132" s="30"/>
      <c r="AA132" s="29"/>
      <c r="AB132" s="35"/>
      <c r="AC132" s="36"/>
      <c r="AD132" s="36"/>
      <c r="AE132" s="30"/>
      <c r="AF132" s="29"/>
      <c r="AG132" s="35"/>
      <c r="AH132" s="36"/>
      <c r="AI132" s="36"/>
      <c r="AJ132" s="30"/>
      <c r="AK132" s="29"/>
      <c r="AL132" s="35"/>
      <c r="AM132" s="36"/>
      <c r="AN132" s="36"/>
      <c r="AO132" s="30"/>
      <c r="AP132" s="29"/>
      <c r="AQ132" s="35"/>
      <c r="AR132" s="36"/>
      <c r="AS132" s="36"/>
      <c r="AT132" s="30"/>
      <c r="AU132" s="29"/>
      <c r="AV132" s="29"/>
      <c r="AW132" s="29"/>
      <c r="AX132" s="37"/>
      <c r="AY132" s="39" t="str">
        <f aca="false">IF(AU132&lt;&gt;"Yes","",IF(AV132="","SELECT RE-ENTRY STAGE","MOVE TO ACTIVE at "&amp;AV132))</f>
        <v/>
      </c>
      <c r="AZ132" s="40" t="str">
        <f aca="false">IF(AU132="Yes",COUNTIF($AU$6:AU132,"Yes"),"")</f>
        <v/>
      </c>
      <c r="BA132" s="29"/>
      <c r="BB132" s="38" t="str">
        <f aca="false">IF($C132="","",IF(OR(F132="Completed",F132="Cancelled"),"",IF(AND(OR(F132="On Hold",ISNUMBER(VALUE(LEFT(H132,2)))),BA132=""),"Reason not given","")))</f>
        <v/>
      </c>
      <c r="BC132" s="30"/>
    </row>
    <row r="133" customFormat="false" ht="19.5" hidden="false" customHeight="true" outlineLevel="0" collapsed="false">
      <c r="A133" s="28" t="str">
        <f aca="false">IF($C133="","",COUNTA($C$6:$C133))</f>
        <v/>
      </c>
      <c r="B133" s="29"/>
      <c r="C133" s="30"/>
      <c r="D133" s="29"/>
      <c r="E133" s="31" t="str">
        <f aca="false">IF($C133="","",IF(NOT(OR(M133="Completed",M133="NA",M133="Cancelled")),"S1 Schematic",IF(NOT(OR(R133="Completed",R133="NA",R133="Cancelled")),"S2 PCB Layout",IF(NOT(OR(W133="Completed",W133="NA",W133="Cancelled")),"S3 SI &amp; PI",IF(NOT(OR(AB133="Completed",AB133="NA",AB133="Cancelled")),"S4 Bare-PCB Fab",IF(NOT(OR(AG133="Completed",AG133="NA",AG133="Cancelled")),"S5 Assembly",IF(NOT(OR(AL133="Completed",AL133="NA",AL133="Cancelled")),"S6 Bring-up",IF(NOT(OR(AQ133="Completed",AQ133="NA",AQ133="Cancelled")),"S7 BOM Procurement","All Stages Closed"))))))))</f>
        <v/>
      </c>
      <c r="F133" s="32" t="str">
        <f aca="false">IF($C133="","",IF(COUNTIF(M133,"Cancelled")+COUNTIF(R133,"Cancelled")+COUNTIF(W133,"Cancelled")+COUNTIF(AB133,"Cancelled")+COUNTIF(AG133,"Cancelled")+COUNTIF(AL133,"Cancelled")+COUNTIF(AQ133,"Cancelled")&gt;0,"Cancelled",IF(E133="All Stages Closed","Completed",IF(E133="S1 Schematic",M133,IF(E133="S2 PCB Layout",R133,IF(E133="S3 SI &amp; PI",W133,IF(E133="S4 Bare-PCB Fab",AB133,IF(E133="S5 Assembly",AG133,IF(E133="S6 Bring-up",AL133,AQ133)))))))))</f>
        <v/>
      </c>
      <c r="G133" s="33" t="str">
        <f aca="false">IF($C133="","",IF(E133="All Stages Closed","",IF(E133="S1 Schematic",IF(N133="","Not added",N133),IF(E133="S2 PCB Layout",IF(S133="","Not added",S133),IF(E133="S3 SI &amp; PI",IF(X133="","Not added",X133),IF(E133="S4 Bare-PCB Fab",IF(AC133="","Not added",AC133),IF(E133="S5 Assembly",IF(AH133="","Not added",AH133),IF(E133="S6 Bring-up",IF(AM133="","Not added",AM133),IF(AR133="","Not added",AR133)))))))))</f>
        <v/>
      </c>
      <c r="H133" s="32" t="str">
        <f aca="true">IF($C133="","",IF(OR(F133="Completed",F133="Cancelled"),"",IF(NOT(ISNUMBER(G133)),"No date set",IF(TODAY()&gt;G133,TODAY()-G133&amp;" days late",G133-TODAY()&amp;" days left"))))</f>
        <v/>
      </c>
      <c r="I133" s="31" t="str">
        <f aca="false">IF($C133="","",COUNTIF(M133,"Completed")+COUNTIF(R133,"Completed")+COUNTIF(W133,"Completed")+COUNTIF(AB133,"Completed")+COUNTIF(AG133,"Completed")+COUNTIF(AL133,"Completed")+COUNTIF(AQ133,"Completed"))</f>
        <v/>
      </c>
      <c r="J133" s="31" t="str">
        <f aca="false">IF($C133="","",7-(COUNTIF(M133,"NA")+COUNTIF(R133,"NA")+COUNTIF(W133,"NA")+COUNTIF(AB133,"NA")+COUNTIF(AG133,"NA")+COUNTIF(AL133,"NA")+COUNTIF(AQ133,"NA")))</f>
        <v/>
      </c>
      <c r="K133" s="34" t="str">
        <f aca="false">IFERROR(I133/J133,"")</f>
        <v/>
      </c>
      <c r="L133" s="29"/>
      <c r="M133" s="35"/>
      <c r="N133" s="36"/>
      <c r="O133" s="36"/>
      <c r="P133" s="30"/>
      <c r="Q133" s="29"/>
      <c r="R133" s="35"/>
      <c r="S133" s="36"/>
      <c r="T133" s="36"/>
      <c r="U133" s="30"/>
      <c r="V133" s="29"/>
      <c r="W133" s="35"/>
      <c r="X133" s="36"/>
      <c r="Y133" s="36"/>
      <c r="Z133" s="30"/>
      <c r="AA133" s="29"/>
      <c r="AB133" s="35"/>
      <c r="AC133" s="36"/>
      <c r="AD133" s="36"/>
      <c r="AE133" s="30"/>
      <c r="AF133" s="29"/>
      <c r="AG133" s="35"/>
      <c r="AH133" s="36"/>
      <c r="AI133" s="36"/>
      <c r="AJ133" s="30"/>
      <c r="AK133" s="29"/>
      <c r="AL133" s="35"/>
      <c r="AM133" s="36"/>
      <c r="AN133" s="36"/>
      <c r="AO133" s="30"/>
      <c r="AP133" s="29"/>
      <c r="AQ133" s="35"/>
      <c r="AR133" s="36"/>
      <c r="AS133" s="36"/>
      <c r="AT133" s="30"/>
      <c r="AU133" s="29"/>
      <c r="AV133" s="29"/>
      <c r="AW133" s="29"/>
      <c r="AX133" s="37"/>
      <c r="AY133" s="39" t="str">
        <f aca="false">IF(AU133&lt;&gt;"Yes","",IF(AV133="","SELECT RE-ENTRY STAGE","MOVE TO ACTIVE at "&amp;AV133))</f>
        <v/>
      </c>
      <c r="AZ133" s="40" t="str">
        <f aca="false">IF(AU133="Yes",COUNTIF($AU$6:AU133,"Yes"),"")</f>
        <v/>
      </c>
      <c r="BA133" s="29"/>
      <c r="BB133" s="38" t="str">
        <f aca="false">IF($C133="","",IF(OR(F133="Completed",F133="Cancelled"),"",IF(AND(OR(F133="On Hold",ISNUMBER(VALUE(LEFT(H133,2)))),BA133=""),"Reason not given","")))</f>
        <v/>
      </c>
      <c r="BC133" s="30"/>
    </row>
    <row r="134" customFormat="false" ht="19.5" hidden="false" customHeight="true" outlineLevel="0" collapsed="false">
      <c r="A134" s="28" t="str">
        <f aca="false">IF($C134="","",COUNTA($C$6:$C134))</f>
        <v/>
      </c>
      <c r="B134" s="29"/>
      <c r="C134" s="30"/>
      <c r="D134" s="29"/>
      <c r="E134" s="31" t="str">
        <f aca="false">IF($C134="","",IF(NOT(OR(M134="Completed",M134="NA",M134="Cancelled")),"S1 Schematic",IF(NOT(OR(R134="Completed",R134="NA",R134="Cancelled")),"S2 PCB Layout",IF(NOT(OR(W134="Completed",W134="NA",W134="Cancelled")),"S3 SI &amp; PI",IF(NOT(OR(AB134="Completed",AB134="NA",AB134="Cancelled")),"S4 Bare-PCB Fab",IF(NOT(OR(AG134="Completed",AG134="NA",AG134="Cancelled")),"S5 Assembly",IF(NOT(OR(AL134="Completed",AL134="NA",AL134="Cancelled")),"S6 Bring-up",IF(NOT(OR(AQ134="Completed",AQ134="NA",AQ134="Cancelled")),"S7 BOM Procurement","All Stages Closed"))))))))</f>
        <v/>
      </c>
      <c r="F134" s="32" t="str">
        <f aca="false">IF($C134="","",IF(COUNTIF(M134,"Cancelled")+COUNTIF(R134,"Cancelled")+COUNTIF(W134,"Cancelled")+COUNTIF(AB134,"Cancelled")+COUNTIF(AG134,"Cancelled")+COUNTIF(AL134,"Cancelled")+COUNTIF(AQ134,"Cancelled")&gt;0,"Cancelled",IF(E134="All Stages Closed","Completed",IF(E134="S1 Schematic",M134,IF(E134="S2 PCB Layout",R134,IF(E134="S3 SI &amp; PI",W134,IF(E134="S4 Bare-PCB Fab",AB134,IF(E134="S5 Assembly",AG134,IF(E134="S6 Bring-up",AL134,AQ134)))))))))</f>
        <v/>
      </c>
      <c r="G134" s="33" t="str">
        <f aca="false">IF($C134="","",IF(E134="All Stages Closed","",IF(E134="S1 Schematic",IF(N134="","Not added",N134),IF(E134="S2 PCB Layout",IF(S134="","Not added",S134),IF(E134="S3 SI &amp; PI",IF(X134="","Not added",X134),IF(E134="S4 Bare-PCB Fab",IF(AC134="","Not added",AC134),IF(E134="S5 Assembly",IF(AH134="","Not added",AH134),IF(E134="S6 Bring-up",IF(AM134="","Not added",AM134),IF(AR134="","Not added",AR134)))))))))</f>
        <v/>
      </c>
      <c r="H134" s="32" t="str">
        <f aca="true">IF($C134="","",IF(OR(F134="Completed",F134="Cancelled"),"",IF(NOT(ISNUMBER(G134)),"No date set",IF(TODAY()&gt;G134,TODAY()-G134&amp;" days late",G134-TODAY()&amp;" days left"))))</f>
        <v/>
      </c>
      <c r="I134" s="31" t="str">
        <f aca="false">IF($C134="","",COUNTIF(M134,"Completed")+COUNTIF(R134,"Completed")+COUNTIF(W134,"Completed")+COUNTIF(AB134,"Completed")+COUNTIF(AG134,"Completed")+COUNTIF(AL134,"Completed")+COUNTIF(AQ134,"Completed"))</f>
        <v/>
      </c>
      <c r="J134" s="31" t="str">
        <f aca="false">IF($C134="","",7-(COUNTIF(M134,"NA")+COUNTIF(R134,"NA")+COUNTIF(W134,"NA")+COUNTIF(AB134,"NA")+COUNTIF(AG134,"NA")+COUNTIF(AL134,"NA")+COUNTIF(AQ134,"NA")))</f>
        <v/>
      </c>
      <c r="K134" s="34" t="str">
        <f aca="false">IFERROR(I134/J134,"")</f>
        <v/>
      </c>
      <c r="L134" s="29"/>
      <c r="M134" s="35"/>
      <c r="N134" s="36"/>
      <c r="O134" s="36"/>
      <c r="P134" s="30"/>
      <c r="Q134" s="29"/>
      <c r="R134" s="35"/>
      <c r="S134" s="36"/>
      <c r="T134" s="36"/>
      <c r="U134" s="30"/>
      <c r="V134" s="29"/>
      <c r="W134" s="35"/>
      <c r="X134" s="36"/>
      <c r="Y134" s="36"/>
      <c r="Z134" s="30"/>
      <c r="AA134" s="29"/>
      <c r="AB134" s="35"/>
      <c r="AC134" s="36"/>
      <c r="AD134" s="36"/>
      <c r="AE134" s="30"/>
      <c r="AF134" s="29"/>
      <c r="AG134" s="35"/>
      <c r="AH134" s="36"/>
      <c r="AI134" s="36"/>
      <c r="AJ134" s="30"/>
      <c r="AK134" s="29"/>
      <c r="AL134" s="35"/>
      <c r="AM134" s="36"/>
      <c r="AN134" s="36"/>
      <c r="AO134" s="30"/>
      <c r="AP134" s="29"/>
      <c r="AQ134" s="35"/>
      <c r="AR134" s="36"/>
      <c r="AS134" s="36"/>
      <c r="AT134" s="30"/>
      <c r="AU134" s="29"/>
      <c r="AV134" s="29"/>
      <c r="AW134" s="29"/>
      <c r="AX134" s="37"/>
      <c r="AY134" s="39" t="str">
        <f aca="false">IF(AU134&lt;&gt;"Yes","",IF(AV134="","SELECT RE-ENTRY STAGE","MOVE TO ACTIVE at "&amp;AV134))</f>
        <v/>
      </c>
      <c r="AZ134" s="40" t="str">
        <f aca="false">IF(AU134="Yes",COUNTIF($AU$6:AU134,"Yes"),"")</f>
        <v/>
      </c>
      <c r="BA134" s="29"/>
      <c r="BB134" s="38" t="str">
        <f aca="false">IF($C134="","",IF(OR(F134="Completed",F134="Cancelled"),"",IF(AND(OR(F134="On Hold",ISNUMBER(VALUE(LEFT(H134,2)))),BA134=""),"Reason not given","")))</f>
        <v/>
      </c>
      <c r="BC134" s="30"/>
    </row>
    <row r="135" customFormat="false" ht="19.5" hidden="false" customHeight="true" outlineLevel="0" collapsed="false">
      <c r="A135" s="28" t="str">
        <f aca="false">IF($C135="","",COUNTA($C$6:$C135))</f>
        <v/>
      </c>
      <c r="B135" s="29"/>
      <c r="C135" s="30"/>
      <c r="D135" s="29"/>
      <c r="E135" s="31" t="str">
        <f aca="false">IF($C135="","",IF(NOT(OR(M135="Completed",M135="NA",M135="Cancelled")),"S1 Schematic",IF(NOT(OR(R135="Completed",R135="NA",R135="Cancelled")),"S2 PCB Layout",IF(NOT(OR(W135="Completed",W135="NA",W135="Cancelled")),"S3 SI &amp; PI",IF(NOT(OR(AB135="Completed",AB135="NA",AB135="Cancelled")),"S4 Bare-PCB Fab",IF(NOT(OR(AG135="Completed",AG135="NA",AG135="Cancelled")),"S5 Assembly",IF(NOT(OR(AL135="Completed",AL135="NA",AL135="Cancelled")),"S6 Bring-up",IF(NOT(OR(AQ135="Completed",AQ135="NA",AQ135="Cancelled")),"S7 BOM Procurement","All Stages Closed"))))))))</f>
        <v/>
      </c>
      <c r="F135" s="32" t="str">
        <f aca="false">IF($C135="","",IF(COUNTIF(M135,"Cancelled")+COUNTIF(R135,"Cancelled")+COUNTIF(W135,"Cancelled")+COUNTIF(AB135,"Cancelled")+COUNTIF(AG135,"Cancelled")+COUNTIF(AL135,"Cancelled")+COUNTIF(AQ135,"Cancelled")&gt;0,"Cancelled",IF(E135="All Stages Closed","Completed",IF(E135="S1 Schematic",M135,IF(E135="S2 PCB Layout",R135,IF(E135="S3 SI &amp; PI",W135,IF(E135="S4 Bare-PCB Fab",AB135,IF(E135="S5 Assembly",AG135,IF(E135="S6 Bring-up",AL135,AQ135)))))))))</f>
        <v/>
      </c>
      <c r="G135" s="33" t="str">
        <f aca="false">IF($C135="","",IF(E135="All Stages Closed","",IF(E135="S1 Schematic",IF(N135="","Not added",N135),IF(E135="S2 PCB Layout",IF(S135="","Not added",S135),IF(E135="S3 SI &amp; PI",IF(X135="","Not added",X135),IF(E135="S4 Bare-PCB Fab",IF(AC135="","Not added",AC135),IF(E135="S5 Assembly",IF(AH135="","Not added",AH135),IF(E135="S6 Bring-up",IF(AM135="","Not added",AM135),IF(AR135="","Not added",AR135)))))))))</f>
        <v/>
      </c>
      <c r="H135" s="32" t="str">
        <f aca="true">IF($C135="","",IF(OR(F135="Completed",F135="Cancelled"),"",IF(NOT(ISNUMBER(G135)),"No date set",IF(TODAY()&gt;G135,TODAY()-G135&amp;" days late",G135-TODAY()&amp;" days left"))))</f>
        <v/>
      </c>
      <c r="I135" s="31" t="str">
        <f aca="false">IF($C135="","",COUNTIF(M135,"Completed")+COUNTIF(R135,"Completed")+COUNTIF(W135,"Completed")+COUNTIF(AB135,"Completed")+COUNTIF(AG135,"Completed")+COUNTIF(AL135,"Completed")+COUNTIF(AQ135,"Completed"))</f>
        <v/>
      </c>
      <c r="J135" s="31" t="str">
        <f aca="false">IF($C135="","",7-(COUNTIF(M135,"NA")+COUNTIF(R135,"NA")+COUNTIF(W135,"NA")+COUNTIF(AB135,"NA")+COUNTIF(AG135,"NA")+COUNTIF(AL135,"NA")+COUNTIF(AQ135,"NA")))</f>
        <v/>
      </c>
      <c r="K135" s="34" t="str">
        <f aca="false">IFERROR(I135/J135,"")</f>
        <v/>
      </c>
      <c r="L135" s="29"/>
      <c r="M135" s="35"/>
      <c r="N135" s="36"/>
      <c r="O135" s="36"/>
      <c r="P135" s="30"/>
      <c r="Q135" s="29"/>
      <c r="R135" s="35"/>
      <c r="S135" s="36"/>
      <c r="T135" s="36"/>
      <c r="U135" s="30"/>
      <c r="V135" s="29"/>
      <c r="W135" s="35"/>
      <c r="X135" s="36"/>
      <c r="Y135" s="36"/>
      <c r="Z135" s="30"/>
      <c r="AA135" s="29"/>
      <c r="AB135" s="35"/>
      <c r="AC135" s="36"/>
      <c r="AD135" s="36"/>
      <c r="AE135" s="30"/>
      <c r="AF135" s="29"/>
      <c r="AG135" s="35"/>
      <c r="AH135" s="36"/>
      <c r="AI135" s="36"/>
      <c r="AJ135" s="30"/>
      <c r="AK135" s="29"/>
      <c r="AL135" s="35"/>
      <c r="AM135" s="36"/>
      <c r="AN135" s="36"/>
      <c r="AO135" s="30"/>
      <c r="AP135" s="29"/>
      <c r="AQ135" s="35"/>
      <c r="AR135" s="36"/>
      <c r="AS135" s="36"/>
      <c r="AT135" s="30"/>
      <c r="AU135" s="29"/>
      <c r="AV135" s="29"/>
      <c r="AW135" s="29"/>
      <c r="AX135" s="37"/>
      <c r="AY135" s="39" t="str">
        <f aca="false">IF(AU135&lt;&gt;"Yes","",IF(AV135="","SELECT RE-ENTRY STAGE","MOVE TO ACTIVE at "&amp;AV135))</f>
        <v/>
      </c>
      <c r="AZ135" s="40" t="str">
        <f aca="false">IF(AU135="Yes",COUNTIF($AU$6:AU135,"Yes"),"")</f>
        <v/>
      </c>
      <c r="BA135" s="29"/>
      <c r="BB135" s="38" t="str">
        <f aca="false">IF($C135="","",IF(OR(F135="Completed",F135="Cancelled"),"",IF(AND(OR(F135="On Hold",ISNUMBER(VALUE(LEFT(H135,2)))),BA135=""),"Reason not given","")))</f>
        <v/>
      </c>
      <c r="BC135" s="30"/>
    </row>
    <row r="136" customFormat="false" ht="19.5" hidden="false" customHeight="true" outlineLevel="0" collapsed="false">
      <c r="A136" s="28" t="str">
        <f aca="false">IF($C136="","",COUNTA($C$6:$C136))</f>
        <v/>
      </c>
      <c r="B136" s="29"/>
      <c r="C136" s="30"/>
      <c r="D136" s="29"/>
      <c r="E136" s="31" t="str">
        <f aca="false">IF($C136="","",IF(NOT(OR(M136="Completed",M136="NA",M136="Cancelled")),"S1 Schematic",IF(NOT(OR(R136="Completed",R136="NA",R136="Cancelled")),"S2 PCB Layout",IF(NOT(OR(W136="Completed",W136="NA",W136="Cancelled")),"S3 SI &amp; PI",IF(NOT(OR(AB136="Completed",AB136="NA",AB136="Cancelled")),"S4 Bare-PCB Fab",IF(NOT(OR(AG136="Completed",AG136="NA",AG136="Cancelled")),"S5 Assembly",IF(NOT(OR(AL136="Completed",AL136="NA",AL136="Cancelled")),"S6 Bring-up",IF(NOT(OR(AQ136="Completed",AQ136="NA",AQ136="Cancelled")),"S7 BOM Procurement","All Stages Closed"))))))))</f>
        <v/>
      </c>
      <c r="F136" s="32" t="str">
        <f aca="false">IF($C136="","",IF(COUNTIF(M136,"Cancelled")+COUNTIF(R136,"Cancelled")+COUNTIF(W136,"Cancelled")+COUNTIF(AB136,"Cancelled")+COUNTIF(AG136,"Cancelled")+COUNTIF(AL136,"Cancelled")+COUNTIF(AQ136,"Cancelled")&gt;0,"Cancelled",IF(E136="All Stages Closed","Completed",IF(E136="S1 Schematic",M136,IF(E136="S2 PCB Layout",R136,IF(E136="S3 SI &amp; PI",W136,IF(E136="S4 Bare-PCB Fab",AB136,IF(E136="S5 Assembly",AG136,IF(E136="S6 Bring-up",AL136,AQ136)))))))))</f>
        <v/>
      </c>
      <c r="G136" s="33" t="str">
        <f aca="false">IF($C136="","",IF(E136="All Stages Closed","",IF(E136="S1 Schematic",IF(N136="","Not added",N136),IF(E136="S2 PCB Layout",IF(S136="","Not added",S136),IF(E136="S3 SI &amp; PI",IF(X136="","Not added",X136),IF(E136="S4 Bare-PCB Fab",IF(AC136="","Not added",AC136),IF(E136="S5 Assembly",IF(AH136="","Not added",AH136),IF(E136="S6 Bring-up",IF(AM136="","Not added",AM136),IF(AR136="","Not added",AR136)))))))))</f>
        <v/>
      </c>
      <c r="H136" s="32" t="str">
        <f aca="true">IF($C136="","",IF(OR(F136="Completed",F136="Cancelled"),"",IF(NOT(ISNUMBER(G136)),"No date set",IF(TODAY()&gt;G136,TODAY()-G136&amp;" days late",G136-TODAY()&amp;" days left"))))</f>
        <v/>
      </c>
      <c r="I136" s="31" t="str">
        <f aca="false">IF($C136="","",COUNTIF(M136,"Completed")+COUNTIF(R136,"Completed")+COUNTIF(W136,"Completed")+COUNTIF(AB136,"Completed")+COUNTIF(AG136,"Completed")+COUNTIF(AL136,"Completed")+COUNTIF(AQ136,"Completed"))</f>
        <v/>
      </c>
      <c r="J136" s="31" t="str">
        <f aca="false">IF($C136="","",7-(COUNTIF(M136,"NA")+COUNTIF(R136,"NA")+COUNTIF(W136,"NA")+COUNTIF(AB136,"NA")+COUNTIF(AG136,"NA")+COUNTIF(AL136,"NA")+COUNTIF(AQ136,"NA")))</f>
        <v/>
      </c>
      <c r="K136" s="34" t="str">
        <f aca="false">IFERROR(I136/J136,"")</f>
        <v/>
      </c>
      <c r="L136" s="29"/>
      <c r="M136" s="35"/>
      <c r="N136" s="36"/>
      <c r="O136" s="36"/>
      <c r="P136" s="30"/>
      <c r="Q136" s="29"/>
      <c r="R136" s="35"/>
      <c r="S136" s="36"/>
      <c r="T136" s="36"/>
      <c r="U136" s="30"/>
      <c r="V136" s="29"/>
      <c r="W136" s="35"/>
      <c r="X136" s="36"/>
      <c r="Y136" s="36"/>
      <c r="Z136" s="30"/>
      <c r="AA136" s="29"/>
      <c r="AB136" s="35"/>
      <c r="AC136" s="36"/>
      <c r="AD136" s="36"/>
      <c r="AE136" s="30"/>
      <c r="AF136" s="29"/>
      <c r="AG136" s="35"/>
      <c r="AH136" s="36"/>
      <c r="AI136" s="36"/>
      <c r="AJ136" s="30"/>
      <c r="AK136" s="29"/>
      <c r="AL136" s="35"/>
      <c r="AM136" s="36"/>
      <c r="AN136" s="36"/>
      <c r="AO136" s="30"/>
      <c r="AP136" s="29"/>
      <c r="AQ136" s="35"/>
      <c r="AR136" s="36"/>
      <c r="AS136" s="36"/>
      <c r="AT136" s="30"/>
      <c r="AU136" s="29"/>
      <c r="AV136" s="29"/>
      <c r="AW136" s="29"/>
      <c r="AX136" s="37"/>
      <c r="AY136" s="39" t="str">
        <f aca="false">IF(AU136&lt;&gt;"Yes","",IF(AV136="","SELECT RE-ENTRY STAGE","MOVE TO ACTIVE at "&amp;AV136))</f>
        <v/>
      </c>
      <c r="AZ136" s="40" t="str">
        <f aca="false">IF(AU136="Yes",COUNTIF($AU$6:AU136,"Yes"),"")</f>
        <v/>
      </c>
      <c r="BA136" s="29"/>
      <c r="BB136" s="38" t="str">
        <f aca="false">IF($C136="","",IF(OR(F136="Completed",F136="Cancelled"),"",IF(AND(OR(F136="On Hold",ISNUMBER(VALUE(LEFT(H136,2)))),BA136=""),"Reason not given","")))</f>
        <v/>
      </c>
      <c r="BC136" s="30"/>
    </row>
    <row r="137" customFormat="false" ht="19.5" hidden="false" customHeight="true" outlineLevel="0" collapsed="false">
      <c r="A137" s="28" t="str">
        <f aca="false">IF($C137="","",COUNTA($C$6:$C137))</f>
        <v/>
      </c>
      <c r="B137" s="29"/>
      <c r="C137" s="30"/>
      <c r="D137" s="29"/>
      <c r="E137" s="31" t="str">
        <f aca="false">IF($C137="","",IF(NOT(OR(M137="Completed",M137="NA",M137="Cancelled")),"S1 Schematic",IF(NOT(OR(R137="Completed",R137="NA",R137="Cancelled")),"S2 PCB Layout",IF(NOT(OR(W137="Completed",W137="NA",W137="Cancelled")),"S3 SI &amp; PI",IF(NOT(OR(AB137="Completed",AB137="NA",AB137="Cancelled")),"S4 Bare-PCB Fab",IF(NOT(OR(AG137="Completed",AG137="NA",AG137="Cancelled")),"S5 Assembly",IF(NOT(OR(AL137="Completed",AL137="NA",AL137="Cancelled")),"S6 Bring-up",IF(NOT(OR(AQ137="Completed",AQ137="NA",AQ137="Cancelled")),"S7 BOM Procurement","All Stages Closed"))))))))</f>
        <v/>
      </c>
      <c r="F137" s="32" t="str">
        <f aca="false">IF($C137="","",IF(COUNTIF(M137,"Cancelled")+COUNTIF(R137,"Cancelled")+COUNTIF(W137,"Cancelled")+COUNTIF(AB137,"Cancelled")+COUNTIF(AG137,"Cancelled")+COUNTIF(AL137,"Cancelled")+COUNTIF(AQ137,"Cancelled")&gt;0,"Cancelled",IF(E137="All Stages Closed","Completed",IF(E137="S1 Schematic",M137,IF(E137="S2 PCB Layout",R137,IF(E137="S3 SI &amp; PI",W137,IF(E137="S4 Bare-PCB Fab",AB137,IF(E137="S5 Assembly",AG137,IF(E137="S6 Bring-up",AL137,AQ137)))))))))</f>
        <v/>
      </c>
      <c r="G137" s="33" t="str">
        <f aca="false">IF($C137="","",IF(E137="All Stages Closed","",IF(E137="S1 Schematic",IF(N137="","Not added",N137),IF(E137="S2 PCB Layout",IF(S137="","Not added",S137),IF(E137="S3 SI &amp; PI",IF(X137="","Not added",X137),IF(E137="S4 Bare-PCB Fab",IF(AC137="","Not added",AC137),IF(E137="S5 Assembly",IF(AH137="","Not added",AH137),IF(E137="S6 Bring-up",IF(AM137="","Not added",AM137),IF(AR137="","Not added",AR137)))))))))</f>
        <v/>
      </c>
      <c r="H137" s="32" t="str">
        <f aca="true">IF($C137="","",IF(OR(F137="Completed",F137="Cancelled"),"",IF(NOT(ISNUMBER(G137)),"No date set",IF(TODAY()&gt;G137,TODAY()-G137&amp;" days late",G137-TODAY()&amp;" days left"))))</f>
        <v/>
      </c>
      <c r="I137" s="31" t="str">
        <f aca="false">IF($C137="","",COUNTIF(M137,"Completed")+COUNTIF(R137,"Completed")+COUNTIF(W137,"Completed")+COUNTIF(AB137,"Completed")+COUNTIF(AG137,"Completed")+COUNTIF(AL137,"Completed")+COUNTIF(AQ137,"Completed"))</f>
        <v/>
      </c>
      <c r="J137" s="31" t="str">
        <f aca="false">IF($C137="","",7-(COUNTIF(M137,"NA")+COUNTIF(R137,"NA")+COUNTIF(W137,"NA")+COUNTIF(AB137,"NA")+COUNTIF(AG137,"NA")+COUNTIF(AL137,"NA")+COUNTIF(AQ137,"NA")))</f>
        <v/>
      </c>
      <c r="K137" s="34" t="str">
        <f aca="false">IFERROR(I137/J137,"")</f>
        <v/>
      </c>
      <c r="L137" s="29"/>
      <c r="M137" s="35"/>
      <c r="N137" s="36"/>
      <c r="O137" s="36"/>
      <c r="P137" s="30"/>
      <c r="Q137" s="29"/>
      <c r="R137" s="35"/>
      <c r="S137" s="36"/>
      <c r="T137" s="36"/>
      <c r="U137" s="30"/>
      <c r="V137" s="29"/>
      <c r="W137" s="35"/>
      <c r="X137" s="36"/>
      <c r="Y137" s="36"/>
      <c r="Z137" s="30"/>
      <c r="AA137" s="29"/>
      <c r="AB137" s="35"/>
      <c r="AC137" s="36"/>
      <c r="AD137" s="36"/>
      <c r="AE137" s="30"/>
      <c r="AF137" s="29"/>
      <c r="AG137" s="35"/>
      <c r="AH137" s="36"/>
      <c r="AI137" s="36"/>
      <c r="AJ137" s="30"/>
      <c r="AK137" s="29"/>
      <c r="AL137" s="35"/>
      <c r="AM137" s="36"/>
      <c r="AN137" s="36"/>
      <c r="AO137" s="30"/>
      <c r="AP137" s="29"/>
      <c r="AQ137" s="35"/>
      <c r="AR137" s="36"/>
      <c r="AS137" s="36"/>
      <c r="AT137" s="30"/>
      <c r="AU137" s="29"/>
      <c r="AV137" s="29"/>
      <c r="AW137" s="29"/>
      <c r="AX137" s="37"/>
      <c r="AY137" s="39" t="str">
        <f aca="false">IF(AU137&lt;&gt;"Yes","",IF(AV137="","SELECT RE-ENTRY STAGE","MOVE TO ACTIVE at "&amp;AV137))</f>
        <v/>
      </c>
      <c r="AZ137" s="40" t="str">
        <f aca="false">IF(AU137="Yes",COUNTIF($AU$6:AU137,"Yes"),"")</f>
        <v/>
      </c>
      <c r="BA137" s="29"/>
      <c r="BB137" s="38" t="str">
        <f aca="false">IF($C137="","",IF(OR(F137="Completed",F137="Cancelled"),"",IF(AND(OR(F137="On Hold",ISNUMBER(VALUE(LEFT(H137,2)))),BA137=""),"Reason not given","")))</f>
        <v/>
      </c>
      <c r="BC137" s="30"/>
    </row>
    <row r="138" customFormat="false" ht="19.5" hidden="false" customHeight="true" outlineLevel="0" collapsed="false">
      <c r="A138" s="28" t="str">
        <f aca="false">IF($C138="","",COUNTA($C$6:$C138))</f>
        <v/>
      </c>
      <c r="B138" s="29"/>
      <c r="C138" s="30"/>
      <c r="D138" s="29"/>
      <c r="E138" s="31" t="str">
        <f aca="false">IF($C138="","",IF(NOT(OR(M138="Completed",M138="NA",M138="Cancelled")),"S1 Schematic",IF(NOT(OR(R138="Completed",R138="NA",R138="Cancelled")),"S2 PCB Layout",IF(NOT(OR(W138="Completed",W138="NA",W138="Cancelled")),"S3 SI &amp; PI",IF(NOT(OR(AB138="Completed",AB138="NA",AB138="Cancelled")),"S4 Bare-PCB Fab",IF(NOT(OR(AG138="Completed",AG138="NA",AG138="Cancelled")),"S5 Assembly",IF(NOT(OR(AL138="Completed",AL138="NA",AL138="Cancelled")),"S6 Bring-up",IF(NOT(OR(AQ138="Completed",AQ138="NA",AQ138="Cancelled")),"S7 BOM Procurement","All Stages Closed"))))))))</f>
        <v/>
      </c>
      <c r="F138" s="32" t="str">
        <f aca="false">IF($C138="","",IF(COUNTIF(M138,"Cancelled")+COUNTIF(R138,"Cancelled")+COUNTIF(W138,"Cancelled")+COUNTIF(AB138,"Cancelled")+COUNTIF(AG138,"Cancelled")+COUNTIF(AL138,"Cancelled")+COUNTIF(AQ138,"Cancelled")&gt;0,"Cancelled",IF(E138="All Stages Closed","Completed",IF(E138="S1 Schematic",M138,IF(E138="S2 PCB Layout",R138,IF(E138="S3 SI &amp; PI",W138,IF(E138="S4 Bare-PCB Fab",AB138,IF(E138="S5 Assembly",AG138,IF(E138="S6 Bring-up",AL138,AQ138)))))))))</f>
        <v/>
      </c>
      <c r="G138" s="33" t="str">
        <f aca="false">IF($C138="","",IF(E138="All Stages Closed","",IF(E138="S1 Schematic",IF(N138="","Not added",N138),IF(E138="S2 PCB Layout",IF(S138="","Not added",S138),IF(E138="S3 SI &amp; PI",IF(X138="","Not added",X138),IF(E138="S4 Bare-PCB Fab",IF(AC138="","Not added",AC138),IF(E138="S5 Assembly",IF(AH138="","Not added",AH138),IF(E138="S6 Bring-up",IF(AM138="","Not added",AM138),IF(AR138="","Not added",AR138)))))))))</f>
        <v/>
      </c>
      <c r="H138" s="32" t="str">
        <f aca="true">IF($C138="","",IF(OR(F138="Completed",F138="Cancelled"),"",IF(NOT(ISNUMBER(G138)),"No date set",IF(TODAY()&gt;G138,TODAY()-G138&amp;" days late",G138-TODAY()&amp;" days left"))))</f>
        <v/>
      </c>
      <c r="I138" s="31" t="str">
        <f aca="false">IF($C138="","",COUNTIF(M138,"Completed")+COUNTIF(R138,"Completed")+COUNTIF(W138,"Completed")+COUNTIF(AB138,"Completed")+COUNTIF(AG138,"Completed")+COUNTIF(AL138,"Completed")+COUNTIF(AQ138,"Completed"))</f>
        <v/>
      </c>
      <c r="J138" s="31" t="str">
        <f aca="false">IF($C138="","",7-(COUNTIF(M138,"NA")+COUNTIF(R138,"NA")+COUNTIF(W138,"NA")+COUNTIF(AB138,"NA")+COUNTIF(AG138,"NA")+COUNTIF(AL138,"NA")+COUNTIF(AQ138,"NA")))</f>
        <v/>
      </c>
      <c r="K138" s="34" t="str">
        <f aca="false">IFERROR(I138/J138,"")</f>
        <v/>
      </c>
      <c r="L138" s="29"/>
      <c r="M138" s="35"/>
      <c r="N138" s="36"/>
      <c r="O138" s="36"/>
      <c r="P138" s="30"/>
      <c r="Q138" s="29"/>
      <c r="R138" s="35"/>
      <c r="S138" s="36"/>
      <c r="T138" s="36"/>
      <c r="U138" s="30"/>
      <c r="V138" s="29"/>
      <c r="W138" s="35"/>
      <c r="X138" s="36"/>
      <c r="Y138" s="36"/>
      <c r="Z138" s="30"/>
      <c r="AA138" s="29"/>
      <c r="AB138" s="35"/>
      <c r="AC138" s="36"/>
      <c r="AD138" s="36"/>
      <c r="AE138" s="30"/>
      <c r="AF138" s="29"/>
      <c r="AG138" s="35"/>
      <c r="AH138" s="36"/>
      <c r="AI138" s="36"/>
      <c r="AJ138" s="30"/>
      <c r="AK138" s="29"/>
      <c r="AL138" s="35"/>
      <c r="AM138" s="36"/>
      <c r="AN138" s="36"/>
      <c r="AO138" s="30"/>
      <c r="AP138" s="29"/>
      <c r="AQ138" s="35"/>
      <c r="AR138" s="36"/>
      <c r="AS138" s="36"/>
      <c r="AT138" s="30"/>
      <c r="AU138" s="29"/>
      <c r="AV138" s="29"/>
      <c r="AW138" s="29"/>
      <c r="AX138" s="37"/>
      <c r="AY138" s="39" t="str">
        <f aca="false">IF(AU138&lt;&gt;"Yes","",IF(AV138="","SELECT RE-ENTRY STAGE","MOVE TO ACTIVE at "&amp;AV138))</f>
        <v/>
      </c>
      <c r="AZ138" s="40" t="str">
        <f aca="false">IF(AU138="Yes",COUNTIF($AU$6:AU138,"Yes"),"")</f>
        <v/>
      </c>
      <c r="BA138" s="29"/>
      <c r="BB138" s="38" t="str">
        <f aca="false">IF($C138="","",IF(OR(F138="Completed",F138="Cancelled"),"",IF(AND(OR(F138="On Hold",ISNUMBER(VALUE(LEFT(H138,2)))),BA138=""),"Reason not given","")))</f>
        <v/>
      </c>
      <c r="BC138" s="30"/>
    </row>
    <row r="139" customFormat="false" ht="19.5" hidden="false" customHeight="true" outlineLevel="0" collapsed="false">
      <c r="A139" s="28" t="str">
        <f aca="false">IF($C139="","",COUNTA($C$6:$C139))</f>
        <v/>
      </c>
      <c r="B139" s="29"/>
      <c r="C139" s="30"/>
      <c r="D139" s="29"/>
      <c r="E139" s="31" t="str">
        <f aca="false">IF($C139="","",IF(NOT(OR(M139="Completed",M139="NA",M139="Cancelled")),"S1 Schematic",IF(NOT(OR(R139="Completed",R139="NA",R139="Cancelled")),"S2 PCB Layout",IF(NOT(OR(W139="Completed",W139="NA",W139="Cancelled")),"S3 SI &amp; PI",IF(NOT(OR(AB139="Completed",AB139="NA",AB139="Cancelled")),"S4 Bare-PCB Fab",IF(NOT(OR(AG139="Completed",AG139="NA",AG139="Cancelled")),"S5 Assembly",IF(NOT(OR(AL139="Completed",AL139="NA",AL139="Cancelled")),"S6 Bring-up",IF(NOT(OR(AQ139="Completed",AQ139="NA",AQ139="Cancelled")),"S7 BOM Procurement","All Stages Closed"))))))))</f>
        <v/>
      </c>
      <c r="F139" s="32" t="str">
        <f aca="false">IF($C139="","",IF(COUNTIF(M139,"Cancelled")+COUNTIF(R139,"Cancelled")+COUNTIF(W139,"Cancelled")+COUNTIF(AB139,"Cancelled")+COUNTIF(AG139,"Cancelled")+COUNTIF(AL139,"Cancelled")+COUNTIF(AQ139,"Cancelled")&gt;0,"Cancelled",IF(E139="All Stages Closed","Completed",IF(E139="S1 Schematic",M139,IF(E139="S2 PCB Layout",R139,IF(E139="S3 SI &amp; PI",W139,IF(E139="S4 Bare-PCB Fab",AB139,IF(E139="S5 Assembly",AG139,IF(E139="S6 Bring-up",AL139,AQ139)))))))))</f>
        <v/>
      </c>
      <c r="G139" s="33" t="str">
        <f aca="false">IF($C139="","",IF(E139="All Stages Closed","",IF(E139="S1 Schematic",IF(N139="","Not added",N139),IF(E139="S2 PCB Layout",IF(S139="","Not added",S139),IF(E139="S3 SI &amp; PI",IF(X139="","Not added",X139),IF(E139="S4 Bare-PCB Fab",IF(AC139="","Not added",AC139),IF(E139="S5 Assembly",IF(AH139="","Not added",AH139),IF(E139="S6 Bring-up",IF(AM139="","Not added",AM139),IF(AR139="","Not added",AR139)))))))))</f>
        <v/>
      </c>
      <c r="H139" s="32" t="str">
        <f aca="true">IF($C139="","",IF(OR(F139="Completed",F139="Cancelled"),"",IF(NOT(ISNUMBER(G139)),"No date set",IF(TODAY()&gt;G139,TODAY()-G139&amp;" days late",G139-TODAY()&amp;" days left"))))</f>
        <v/>
      </c>
      <c r="I139" s="31" t="str">
        <f aca="false">IF($C139="","",COUNTIF(M139,"Completed")+COUNTIF(R139,"Completed")+COUNTIF(W139,"Completed")+COUNTIF(AB139,"Completed")+COUNTIF(AG139,"Completed")+COUNTIF(AL139,"Completed")+COUNTIF(AQ139,"Completed"))</f>
        <v/>
      </c>
      <c r="J139" s="31" t="str">
        <f aca="false">IF($C139="","",7-(COUNTIF(M139,"NA")+COUNTIF(R139,"NA")+COUNTIF(W139,"NA")+COUNTIF(AB139,"NA")+COUNTIF(AG139,"NA")+COUNTIF(AL139,"NA")+COUNTIF(AQ139,"NA")))</f>
        <v/>
      </c>
      <c r="K139" s="34" t="str">
        <f aca="false">IFERROR(I139/J139,"")</f>
        <v/>
      </c>
      <c r="L139" s="29"/>
      <c r="M139" s="35"/>
      <c r="N139" s="36"/>
      <c r="O139" s="36"/>
      <c r="P139" s="30"/>
      <c r="Q139" s="29"/>
      <c r="R139" s="35"/>
      <c r="S139" s="36"/>
      <c r="T139" s="36"/>
      <c r="U139" s="30"/>
      <c r="V139" s="29"/>
      <c r="W139" s="35"/>
      <c r="X139" s="36"/>
      <c r="Y139" s="36"/>
      <c r="Z139" s="30"/>
      <c r="AA139" s="29"/>
      <c r="AB139" s="35"/>
      <c r="AC139" s="36"/>
      <c r="AD139" s="36"/>
      <c r="AE139" s="30"/>
      <c r="AF139" s="29"/>
      <c r="AG139" s="35"/>
      <c r="AH139" s="36"/>
      <c r="AI139" s="36"/>
      <c r="AJ139" s="30"/>
      <c r="AK139" s="29"/>
      <c r="AL139" s="35"/>
      <c r="AM139" s="36"/>
      <c r="AN139" s="36"/>
      <c r="AO139" s="30"/>
      <c r="AP139" s="29"/>
      <c r="AQ139" s="35"/>
      <c r="AR139" s="36"/>
      <c r="AS139" s="36"/>
      <c r="AT139" s="30"/>
      <c r="AU139" s="29"/>
      <c r="AV139" s="29"/>
      <c r="AW139" s="29"/>
      <c r="AX139" s="37"/>
      <c r="AY139" s="39" t="str">
        <f aca="false">IF(AU139&lt;&gt;"Yes","",IF(AV139="","SELECT RE-ENTRY STAGE","MOVE TO ACTIVE at "&amp;AV139))</f>
        <v/>
      </c>
      <c r="AZ139" s="40" t="str">
        <f aca="false">IF(AU139="Yes",COUNTIF($AU$6:AU139,"Yes"),"")</f>
        <v/>
      </c>
      <c r="BA139" s="29"/>
      <c r="BB139" s="38" t="str">
        <f aca="false">IF($C139="","",IF(OR(F139="Completed",F139="Cancelled"),"",IF(AND(OR(F139="On Hold",ISNUMBER(VALUE(LEFT(H139,2)))),BA139=""),"Reason not given","")))</f>
        <v/>
      </c>
      <c r="BC139" s="30"/>
    </row>
    <row r="140" customFormat="false" ht="19.5" hidden="false" customHeight="true" outlineLevel="0" collapsed="false">
      <c r="A140" s="28" t="str">
        <f aca="false">IF($C140="","",COUNTA($C$6:$C140))</f>
        <v/>
      </c>
      <c r="B140" s="29"/>
      <c r="C140" s="30"/>
      <c r="D140" s="29"/>
      <c r="E140" s="31" t="str">
        <f aca="false">IF($C140="","",IF(NOT(OR(M140="Completed",M140="NA",M140="Cancelled")),"S1 Schematic",IF(NOT(OR(R140="Completed",R140="NA",R140="Cancelled")),"S2 PCB Layout",IF(NOT(OR(W140="Completed",W140="NA",W140="Cancelled")),"S3 SI &amp; PI",IF(NOT(OR(AB140="Completed",AB140="NA",AB140="Cancelled")),"S4 Bare-PCB Fab",IF(NOT(OR(AG140="Completed",AG140="NA",AG140="Cancelled")),"S5 Assembly",IF(NOT(OR(AL140="Completed",AL140="NA",AL140="Cancelled")),"S6 Bring-up",IF(NOT(OR(AQ140="Completed",AQ140="NA",AQ140="Cancelled")),"S7 BOM Procurement","All Stages Closed"))))))))</f>
        <v/>
      </c>
      <c r="F140" s="32" t="str">
        <f aca="false">IF($C140="","",IF(COUNTIF(M140,"Cancelled")+COUNTIF(R140,"Cancelled")+COUNTIF(W140,"Cancelled")+COUNTIF(AB140,"Cancelled")+COUNTIF(AG140,"Cancelled")+COUNTIF(AL140,"Cancelled")+COUNTIF(AQ140,"Cancelled")&gt;0,"Cancelled",IF(E140="All Stages Closed","Completed",IF(E140="S1 Schematic",M140,IF(E140="S2 PCB Layout",R140,IF(E140="S3 SI &amp; PI",W140,IF(E140="S4 Bare-PCB Fab",AB140,IF(E140="S5 Assembly",AG140,IF(E140="S6 Bring-up",AL140,AQ140)))))))))</f>
        <v/>
      </c>
      <c r="G140" s="33" t="str">
        <f aca="false">IF($C140="","",IF(E140="All Stages Closed","",IF(E140="S1 Schematic",IF(N140="","Not added",N140),IF(E140="S2 PCB Layout",IF(S140="","Not added",S140),IF(E140="S3 SI &amp; PI",IF(X140="","Not added",X140),IF(E140="S4 Bare-PCB Fab",IF(AC140="","Not added",AC140),IF(E140="S5 Assembly",IF(AH140="","Not added",AH140),IF(E140="S6 Bring-up",IF(AM140="","Not added",AM140),IF(AR140="","Not added",AR140)))))))))</f>
        <v/>
      </c>
      <c r="H140" s="32" t="str">
        <f aca="true">IF($C140="","",IF(OR(F140="Completed",F140="Cancelled"),"",IF(NOT(ISNUMBER(G140)),"No date set",IF(TODAY()&gt;G140,TODAY()-G140&amp;" days late",G140-TODAY()&amp;" days left"))))</f>
        <v/>
      </c>
      <c r="I140" s="31" t="str">
        <f aca="false">IF($C140="","",COUNTIF(M140,"Completed")+COUNTIF(R140,"Completed")+COUNTIF(W140,"Completed")+COUNTIF(AB140,"Completed")+COUNTIF(AG140,"Completed")+COUNTIF(AL140,"Completed")+COUNTIF(AQ140,"Completed"))</f>
        <v/>
      </c>
      <c r="J140" s="31" t="str">
        <f aca="false">IF($C140="","",7-(COUNTIF(M140,"NA")+COUNTIF(R140,"NA")+COUNTIF(W140,"NA")+COUNTIF(AB140,"NA")+COUNTIF(AG140,"NA")+COUNTIF(AL140,"NA")+COUNTIF(AQ140,"NA")))</f>
        <v/>
      </c>
      <c r="K140" s="34" t="str">
        <f aca="false">IFERROR(I140/J140,"")</f>
        <v/>
      </c>
      <c r="L140" s="29"/>
      <c r="M140" s="35"/>
      <c r="N140" s="36"/>
      <c r="O140" s="36"/>
      <c r="P140" s="30"/>
      <c r="Q140" s="29"/>
      <c r="R140" s="35"/>
      <c r="S140" s="36"/>
      <c r="T140" s="36"/>
      <c r="U140" s="30"/>
      <c r="V140" s="29"/>
      <c r="W140" s="35"/>
      <c r="X140" s="36"/>
      <c r="Y140" s="36"/>
      <c r="Z140" s="30"/>
      <c r="AA140" s="29"/>
      <c r="AB140" s="35"/>
      <c r="AC140" s="36"/>
      <c r="AD140" s="36"/>
      <c r="AE140" s="30"/>
      <c r="AF140" s="29"/>
      <c r="AG140" s="35"/>
      <c r="AH140" s="36"/>
      <c r="AI140" s="36"/>
      <c r="AJ140" s="30"/>
      <c r="AK140" s="29"/>
      <c r="AL140" s="35"/>
      <c r="AM140" s="36"/>
      <c r="AN140" s="36"/>
      <c r="AO140" s="30"/>
      <c r="AP140" s="29"/>
      <c r="AQ140" s="35"/>
      <c r="AR140" s="36"/>
      <c r="AS140" s="36"/>
      <c r="AT140" s="30"/>
      <c r="AU140" s="29"/>
      <c r="AV140" s="29"/>
      <c r="AW140" s="29"/>
      <c r="AX140" s="37"/>
      <c r="AY140" s="39" t="str">
        <f aca="false">IF(AU140&lt;&gt;"Yes","",IF(AV140="","SELECT RE-ENTRY STAGE","MOVE TO ACTIVE at "&amp;AV140))</f>
        <v/>
      </c>
      <c r="AZ140" s="40" t="str">
        <f aca="false">IF(AU140="Yes",COUNTIF($AU$6:AU140,"Yes"),"")</f>
        <v/>
      </c>
      <c r="BA140" s="29"/>
      <c r="BB140" s="38" t="str">
        <f aca="false">IF($C140="","",IF(OR(F140="Completed",F140="Cancelled"),"",IF(AND(OR(F140="On Hold",ISNUMBER(VALUE(LEFT(H140,2)))),BA140=""),"Reason not given","")))</f>
        <v/>
      </c>
      <c r="BC140" s="30"/>
    </row>
    <row r="141" customFormat="false" ht="19.5" hidden="false" customHeight="true" outlineLevel="0" collapsed="false">
      <c r="A141" s="28" t="str">
        <f aca="false">IF($C141="","",COUNTA($C$6:$C141))</f>
        <v/>
      </c>
      <c r="B141" s="29"/>
      <c r="C141" s="30"/>
      <c r="D141" s="29"/>
      <c r="E141" s="31" t="str">
        <f aca="false">IF($C141="","",IF(NOT(OR(M141="Completed",M141="NA",M141="Cancelled")),"S1 Schematic",IF(NOT(OR(R141="Completed",R141="NA",R141="Cancelled")),"S2 PCB Layout",IF(NOT(OR(W141="Completed",W141="NA",W141="Cancelled")),"S3 SI &amp; PI",IF(NOT(OR(AB141="Completed",AB141="NA",AB141="Cancelled")),"S4 Bare-PCB Fab",IF(NOT(OR(AG141="Completed",AG141="NA",AG141="Cancelled")),"S5 Assembly",IF(NOT(OR(AL141="Completed",AL141="NA",AL141="Cancelled")),"S6 Bring-up",IF(NOT(OR(AQ141="Completed",AQ141="NA",AQ141="Cancelled")),"S7 BOM Procurement","All Stages Closed"))))))))</f>
        <v/>
      </c>
      <c r="F141" s="32" t="str">
        <f aca="false">IF($C141="","",IF(COUNTIF(M141,"Cancelled")+COUNTIF(R141,"Cancelled")+COUNTIF(W141,"Cancelled")+COUNTIF(AB141,"Cancelled")+COUNTIF(AG141,"Cancelled")+COUNTIF(AL141,"Cancelled")+COUNTIF(AQ141,"Cancelled")&gt;0,"Cancelled",IF(E141="All Stages Closed","Completed",IF(E141="S1 Schematic",M141,IF(E141="S2 PCB Layout",R141,IF(E141="S3 SI &amp; PI",W141,IF(E141="S4 Bare-PCB Fab",AB141,IF(E141="S5 Assembly",AG141,IF(E141="S6 Bring-up",AL141,AQ141)))))))))</f>
        <v/>
      </c>
      <c r="G141" s="33" t="str">
        <f aca="false">IF($C141="","",IF(E141="All Stages Closed","",IF(E141="S1 Schematic",IF(N141="","Not added",N141),IF(E141="S2 PCB Layout",IF(S141="","Not added",S141),IF(E141="S3 SI &amp; PI",IF(X141="","Not added",X141),IF(E141="S4 Bare-PCB Fab",IF(AC141="","Not added",AC141),IF(E141="S5 Assembly",IF(AH141="","Not added",AH141),IF(E141="S6 Bring-up",IF(AM141="","Not added",AM141),IF(AR141="","Not added",AR141)))))))))</f>
        <v/>
      </c>
      <c r="H141" s="32" t="str">
        <f aca="true">IF($C141="","",IF(OR(F141="Completed",F141="Cancelled"),"",IF(NOT(ISNUMBER(G141)),"No date set",IF(TODAY()&gt;G141,TODAY()-G141&amp;" days late",G141-TODAY()&amp;" days left"))))</f>
        <v/>
      </c>
      <c r="I141" s="31" t="str">
        <f aca="false">IF($C141="","",COUNTIF(M141,"Completed")+COUNTIF(R141,"Completed")+COUNTIF(W141,"Completed")+COUNTIF(AB141,"Completed")+COUNTIF(AG141,"Completed")+COUNTIF(AL141,"Completed")+COUNTIF(AQ141,"Completed"))</f>
        <v/>
      </c>
      <c r="J141" s="31" t="str">
        <f aca="false">IF($C141="","",7-(COUNTIF(M141,"NA")+COUNTIF(R141,"NA")+COUNTIF(W141,"NA")+COUNTIF(AB141,"NA")+COUNTIF(AG141,"NA")+COUNTIF(AL141,"NA")+COUNTIF(AQ141,"NA")))</f>
        <v/>
      </c>
      <c r="K141" s="34" t="str">
        <f aca="false">IFERROR(I141/J141,"")</f>
        <v/>
      </c>
      <c r="L141" s="29"/>
      <c r="M141" s="35"/>
      <c r="N141" s="36"/>
      <c r="O141" s="36"/>
      <c r="P141" s="30"/>
      <c r="Q141" s="29"/>
      <c r="R141" s="35"/>
      <c r="S141" s="36"/>
      <c r="T141" s="36"/>
      <c r="U141" s="30"/>
      <c r="V141" s="29"/>
      <c r="W141" s="35"/>
      <c r="X141" s="36"/>
      <c r="Y141" s="36"/>
      <c r="Z141" s="30"/>
      <c r="AA141" s="29"/>
      <c r="AB141" s="35"/>
      <c r="AC141" s="36"/>
      <c r="AD141" s="36"/>
      <c r="AE141" s="30"/>
      <c r="AF141" s="29"/>
      <c r="AG141" s="35"/>
      <c r="AH141" s="36"/>
      <c r="AI141" s="36"/>
      <c r="AJ141" s="30"/>
      <c r="AK141" s="29"/>
      <c r="AL141" s="35"/>
      <c r="AM141" s="36"/>
      <c r="AN141" s="36"/>
      <c r="AO141" s="30"/>
      <c r="AP141" s="29"/>
      <c r="AQ141" s="35"/>
      <c r="AR141" s="36"/>
      <c r="AS141" s="36"/>
      <c r="AT141" s="30"/>
      <c r="AU141" s="29"/>
      <c r="AV141" s="29"/>
      <c r="AW141" s="29"/>
      <c r="AX141" s="37"/>
      <c r="AY141" s="39" t="str">
        <f aca="false">IF(AU141&lt;&gt;"Yes","",IF(AV141="","SELECT RE-ENTRY STAGE","MOVE TO ACTIVE at "&amp;AV141))</f>
        <v/>
      </c>
      <c r="AZ141" s="40" t="str">
        <f aca="false">IF(AU141="Yes",COUNTIF($AU$6:AU141,"Yes"),"")</f>
        <v/>
      </c>
      <c r="BA141" s="29"/>
      <c r="BB141" s="38" t="str">
        <f aca="false">IF($C141="","",IF(OR(F141="Completed",F141="Cancelled"),"",IF(AND(OR(F141="On Hold",ISNUMBER(VALUE(LEFT(H141,2)))),BA141=""),"Reason not given","")))</f>
        <v/>
      </c>
      <c r="BC141" s="30"/>
    </row>
    <row r="142" customFormat="false" ht="19.5" hidden="false" customHeight="true" outlineLevel="0" collapsed="false">
      <c r="A142" s="28" t="str">
        <f aca="false">IF($C142="","",COUNTA($C$6:$C142))</f>
        <v/>
      </c>
      <c r="B142" s="29"/>
      <c r="C142" s="30"/>
      <c r="D142" s="29"/>
      <c r="E142" s="31" t="str">
        <f aca="false">IF($C142="","",IF(NOT(OR(M142="Completed",M142="NA",M142="Cancelled")),"S1 Schematic",IF(NOT(OR(R142="Completed",R142="NA",R142="Cancelled")),"S2 PCB Layout",IF(NOT(OR(W142="Completed",W142="NA",W142="Cancelled")),"S3 SI &amp; PI",IF(NOT(OR(AB142="Completed",AB142="NA",AB142="Cancelled")),"S4 Bare-PCB Fab",IF(NOT(OR(AG142="Completed",AG142="NA",AG142="Cancelled")),"S5 Assembly",IF(NOT(OR(AL142="Completed",AL142="NA",AL142="Cancelled")),"S6 Bring-up",IF(NOT(OR(AQ142="Completed",AQ142="NA",AQ142="Cancelled")),"S7 BOM Procurement","All Stages Closed"))))))))</f>
        <v/>
      </c>
      <c r="F142" s="32" t="str">
        <f aca="false">IF($C142="","",IF(COUNTIF(M142,"Cancelled")+COUNTIF(R142,"Cancelled")+COUNTIF(W142,"Cancelled")+COUNTIF(AB142,"Cancelled")+COUNTIF(AG142,"Cancelled")+COUNTIF(AL142,"Cancelled")+COUNTIF(AQ142,"Cancelled")&gt;0,"Cancelled",IF(E142="All Stages Closed","Completed",IF(E142="S1 Schematic",M142,IF(E142="S2 PCB Layout",R142,IF(E142="S3 SI &amp; PI",W142,IF(E142="S4 Bare-PCB Fab",AB142,IF(E142="S5 Assembly",AG142,IF(E142="S6 Bring-up",AL142,AQ142)))))))))</f>
        <v/>
      </c>
      <c r="G142" s="33" t="str">
        <f aca="false">IF($C142="","",IF(E142="All Stages Closed","",IF(E142="S1 Schematic",IF(N142="","Not added",N142),IF(E142="S2 PCB Layout",IF(S142="","Not added",S142),IF(E142="S3 SI &amp; PI",IF(X142="","Not added",X142),IF(E142="S4 Bare-PCB Fab",IF(AC142="","Not added",AC142),IF(E142="S5 Assembly",IF(AH142="","Not added",AH142),IF(E142="S6 Bring-up",IF(AM142="","Not added",AM142),IF(AR142="","Not added",AR142)))))))))</f>
        <v/>
      </c>
      <c r="H142" s="32" t="str">
        <f aca="true">IF($C142="","",IF(OR(F142="Completed",F142="Cancelled"),"",IF(NOT(ISNUMBER(G142)),"No date set",IF(TODAY()&gt;G142,TODAY()-G142&amp;" days late",G142-TODAY()&amp;" days left"))))</f>
        <v/>
      </c>
      <c r="I142" s="31" t="str">
        <f aca="false">IF($C142="","",COUNTIF(M142,"Completed")+COUNTIF(R142,"Completed")+COUNTIF(W142,"Completed")+COUNTIF(AB142,"Completed")+COUNTIF(AG142,"Completed")+COUNTIF(AL142,"Completed")+COUNTIF(AQ142,"Completed"))</f>
        <v/>
      </c>
      <c r="J142" s="31" t="str">
        <f aca="false">IF($C142="","",7-(COUNTIF(M142,"NA")+COUNTIF(R142,"NA")+COUNTIF(W142,"NA")+COUNTIF(AB142,"NA")+COUNTIF(AG142,"NA")+COUNTIF(AL142,"NA")+COUNTIF(AQ142,"NA")))</f>
        <v/>
      </c>
      <c r="K142" s="34" t="str">
        <f aca="false">IFERROR(I142/J142,"")</f>
        <v/>
      </c>
      <c r="L142" s="29"/>
      <c r="M142" s="35"/>
      <c r="N142" s="36"/>
      <c r="O142" s="36"/>
      <c r="P142" s="30"/>
      <c r="Q142" s="29"/>
      <c r="R142" s="35"/>
      <c r="S142" s="36"/>
      <c r="T142" s="36"/>
      <c r="U142" s="30"/>
      <c r="V142" s="29"/>
      <c r="W142" s="35"/>
      <c r="X142" s="36"/>
      <c r="Y142" s="36"/>
      <c r="Z142" s="30"/>
      <c r="AA142" s="29"/>
      <c r="AB142" s="35"/>
      <c r="AC142" s="36"/>
      <c r="AD142" s="36"/>
      <c r="AE142" s="30"/>
      <c r="AF142" s="29"/>
      <c r="AG142" s="35"/>
      <c r="AH142" s="36"/>
      <c r="AI142" s="36"/>
      <c r="AJ142" s="30"/>
      <c r="AK142" s="29"/>
      <c r="AL142" s="35"/>
      <c r="AM142" s="36"/>
      <c r="AN142" s="36"/>
      <c r="AO142" s="30"/>
      <c r="AP142" s="29"/>
      <c r="AQ142" s="35"/>
      <c r="AR142" s="36"/>
      <c r="AS142" s="36"/>
      <c r="AT142" s="30"/>
      <c r="AU142" s="29"/>
      <c r="AV142" s="29"/>
      <c r="AW142" s="29"/>
      <c r="AX142" s="37"/>
      <c r="AY142" s="39" t="str">
        <f aca="false">IF(AU142&lt;&gt;"Yes","",IF(AV142="","SELECT RE-ENTRY STAGE","MOVE TO ACTIVE at "&amp;AV142))</f>
        <v/>
      </c>
      <c r="AZ142" s="40" t="str">
        <f aca="false">IF(AU142="Yes",COUNTIF($AU$6:AU142,"Yes"),"")</f>
        <v/>
      </c>
      <c r="BA142" s="29"/>
      <c r="BB142" s="38" t="str">
        <f aca="false">IF($C142="","",IF(OR(F142="Completed",F142="Cancelled"),"",IF(AND(OR(F142="On Hold",ISNUMBER(VALUE(LEFT(H142,2)))),BA142=""),"Reason not given","")))</f>
        <v/>
      </c>
      <c r="BC142" s="30"/>
    </row>
    <row r="143" customFormat="false" ht="19.5" hidden="false" customHeight="true" outlineLevel="0" collapsed="false">
      <c r="A143" s="28" t="str">
        <f aca="false">IF($C143="","",COUNTA($C$6:$C143))</f>
        <v/>
      </c>
      <c r="B143" s="29"/>
      <c r="C143" s="30"/>
      <c r="D143" s="29"/>
      <c r="E143" s="31" t="str">
        <f aca="false">IF($C143="","",IF(NOT(OR(M143="Completed",M143="NA",M143="Cancelled")),"S1 Schematic",IF(NOT(OR(R143="Completed",R143="NA",R143="Cancelled")),"S2 PCB Layout",IF(NOT(OR(W143="Completed",W143="NA",W143="Cancelled")),"S3 SI &amp; PI",IF(NOT(OR(AB143="Completed",AB143="NA",AB143="Cancelled")),"S4 Bare-PCB Fab",IF(NOT(OR(AG143="Completed",AG143="NA",AG143="Cancelled")),"S5 Assembly",IF(NOT(OR(AL143="Completed",AL143="NA",AL143="Cancelled")),"S6 Bring-up",IF(NOT(OR(AQ143="Completed",AQ143="NA",AQ143="Cancelled")),"S7 BOM Procurement","All Stages Closed"))))))))</f>
        <v/>
      </c>
      <c r="F143" s="32" t="str">
        <f aca="false">IF($C143="","",IF(COUNTIF(M143,"Cancelled")+COUNTIF(R143,"Cancelled")+COUNTIF(W143,"Cancelled")+COUNTIF(AB143,"Cancelled")+COUNTIF(AG143,"Cancelled")+COUNTIF(AL143,"Cancelled")+COUNTIF(AQ143,"Cancelled")&gt;0,"Cancelled",IF(E143="All Stages Closed","Completed",IF(E143="S1 Schematic",M143,IF(E143="S2 PCB Layout",R143,IF(E143="S3 SI &amp; PI",W143,IF(E143="S4 Bare-PCB Fab",AB143,IF(E143="S5 Assembly",AG143,IF(E143="S6 Bring-up",AL143,AQ143)))))))))</f>
        <v/>
      </c>
      <c r="G143" s="33" t="str">
        <f aca="false">IF($C143="","",IF(E143="All Stages Closed","",IF(E143="S1 Schematic",IF(N143="","Not added",N143),IF(E143="S2 PCB Layout",IF(S143="","Not added",S143),IF(E143="S3 SI &amp; PI",IF(X143="","Not added",X143),IF(E143="S4 Bare-PCB Fab",IF(AC143="","Not added",AC143),IF(E143="S5 Assembly",IF(AH143="","Not added",AH143),IF(E143="S6 Bring-up",IF(AM143="","Not added",AM143),IF(AR143="","Not added",AR143)))))))))</f>
        <v/>
      </c>
      <c r="H143" s="32" t="str">
        <f aca="true">IF($C143="","",IF(OR(F143="Completed",F143="Cancelled"),"",IF(NOT(ISNUMBER(G143)),"No date set",IF(TODAY()&gt;G143,TODAY()-G143&amp;" days late",G143-TODAY()&amp;" days left"))))</f>
        <v/>
      </c>
      <c r="I143" s="31" t="str">
        <f aca="false">IF($C143="","",COUNTIF(M143,"Completed")+COUNTIF(R143,"Completed")+COUNTIF(W143,"Completed")+COUNTIF(AB143,"Completed")+COUNTIF(AG143,"Completed")+COUNTIF(AL143,"Completed")+COUNTIF(AQ143,"Completed"))</f>
        <v/>
      </c>
      <c r="J143" s="31" t="str">
        <f aca="false">IF($C143="","",7-(COUNTIF(M143,"NA")+COUNTIF(R143,"NA")+COUNTIF(W143,"NA")+COUNTIF(AB143,"NA")+COUNTIF(AG143,"NA")+COUNTIF(AL143,"NA")+COUNTIF(AQ143,"NA")))</f>
        <v/>
      </c>
      <c r="K143" s="34" t="str">
        <f aca="false">IFERROR(I143/J143,"")</f>
        <v/>
      </c>
      <c r="L143" s="29"/>
      <c r="M143" s="35"/>
      <c r="N143" s="36"/>
      <c r="O143" s="36"/>
      <c r="P143" s="30"/>
      <c r="Q143" s="29"/>
      <c r="R143" s="35"/>
      <c r="S143" s="36"/>
      <c r="T143" s="36"/>
      <c r="U143" s="30"/>
      <c r="V143" s="29"/>
      <c r="W143" s="35"/>
      <c r="X143" s="36"/>
      <c r="Y143" s="36"/>
      <c r="Z143" s="30"/>
      <c r="AA143" s="29"/>
      <c r="AB143" s="35"/>
      <c r="AC143" s="36"/>
      <c r="AD143" s="36"/>
      <c r="AE143" s="30"/>
      <c r="AF143" s="29"/>
      <c r="AG143" s="35"/>
      <c r="AH143" s="36"/>
      <c r="AI143" s="36"/>
      <c r="AJ143" s="30"/>
      <c r="AK143" s="29"/>
      <c r="AL143" s="35"/>
      <c r="AM143" s="36"/>
      <c r="AN143" s="36"/>
      <c r="AO143" s="30"/>
      <c r="AP143" s="29"/>
      <c r="AQ143" s="35"/>
      <c r="AR143" s="36"/>
      <c r="AS143" s="36"/>
      <c r="AT143" s="30"/>
      <c r="AU143" s="29"/>
      <c r="AV143" s="29"/>
      <c r="AW143" s="29"/>
      <c r="AX143" s="37"/>
      <c r="AY143" s="39" t="str">
        <f aca="false">IF(AU143&lt;&gt;"Yes","",IF(AV143="","SELECT RE-ENTRY STAGE","MOVE TO ACTIVE at "&amp;AV143))</f>
        <v/>
      </c>
      <c r="AZ143" s="40" t="str">
        <f aca="false">IF(AU143="Yes",COUNTIF($AU$6:AU143,"Yes"),"")</f>
        <v/>
      </c>
      <c r="BA143" s="29"/>
      <c r="BB143" s="38" t="str">
        <f aca="false">IF($C143="","",IF(OR(F143="Completed",F143="Cancelled"),"",IF(AND(OR(F143="On Hold",ISNUMBER(VALUE(LEFT(H143,2)))),BA143=""),"Reason not given","")))</f>
        <v/>
      </c>
      <c r="BC143" s="30"/>
    </row>
    <row r="144" customFormat="false" ht="19.5" hidden="false" customHeight="true" outlineLevel="0" collapsed="false">
      <c r="A144" s="28" t="str">
        <f aca="false">IF($C144="","",COUNTA($C$6:$C144))</f>
        <v/>
      </c>
      <c r="B144" s="29"/>
      <c r="C144" s="30"/>
      <c r="D144" s="29"/>
      <c r="E144" s="31" t="str">
        <f aca="false">IF($C144="","",IF(NOT(OR(M144="Completed",M144="NA",M144="Cancelled")),"S1 Schematic",IF(NOT(OR(R144="Completed",R144="NA",R144="Cancelled")),"S2 PCB Layout",IF(NOT(OR(W144="Completed",W144="NA",W144="Cancelled")),"S3 SI &amp; PI",IF(NOT(OR(AB144="Completed",AB144="NA",AB144="Cancelled")),"S4 Bare-PCB Fab",IF(NOT(OR(AG144="Completed",AG144="NA",AG144="Cancelled")),"S5 Assembly",IF(NOT(OR(AL144="Completed",AL144="NA",AL144="Cancelled")),"S6 Bring-up",IF(NOT(OR(AQ144="Completed",AQ144="NA",AQ144="Cancelled")),"S7 BOM Procurement","All Stages Closed"))))))))</f>
        <v/>
      </c>
      <c r="F144" s="32" t="str">
        <f aca="false">IF($C144="","",IF(COUNTIF(M144,"Cancelled")+COUNTIF(R144,"Cancelled")+COUNTIF(W144,"Cancelled")+COUNTIF(AB144,"Cancelled")+COUNTIF(AG144,"Cancelled")+COUNTIF(AL144,"Cancelled")+COUNTIF(AQ144,"Cancelled")&gt;0,"Cancelled",IF(E144="All Stages Closed","Completed",IF(E144="S1 Schematic",M144,IF(E144="S2 PCB Layout",R144,IF(E144="S3 SI &amp; PI",W144,IF(E144="S4 Bare-PCB Fab",AB144,IF(E144="S5 Assembly",AG144,IF(E144="S6 Bring-up",AL144,AQ144)))))))))</f>
        <v/>
      </c>
      <c r="G144" s="33" t="str">
        <f aca="false">IF($C144="","",IF(E144="All Stages Closed","",IF(E144="S1 Schematic",IF(N144="","Not added",N144),IF(E144="S2 PCB Layout",IF(S144="","Not added",S144),IF(E144="S3 SI &amp; PI",IF(X144="","Not added",X144),IF(E144="S4 Bare-PCB Fab",IF(AC144="","Not added",AC144),IF(E144="S5 Assembly",IF(AH144="","Not added",AH144),IF(E144="S6 Bring-up",IF(AM144="","Not added",AM144),IF(AR144="","Not added",AR144)))))))))</f>
        <v/>
      </c>
      <c r="H144" s="32" t="str">
        <f aca="true">IF($C144="","",IF(OR(F144="Completed",F144="Cancelled"),"",IF(NOT(ISNUMBER(G144)),"No date set",IF(TODAY()&gt;G144,TODAY()-G144&amp;" days late",G144-TODAY()&amp;" days left"))))</f>
        <v/>
      </c>
      <c r="I144" s="31" t="str">
        <f aca="false">IF($C144="","",COUNTIF(M144,"Completed")+COUNTIF(R144,"Completed")+COUNTIF(W144,"Completed")+COUNTIF(AB144,"Completed")+COUNTIF(AG144,"Completed")+COUNTIF(AL144,"Completed")+COUNTIF(AQ144,"Completed"))</f>
        <v/>
      </c>
      <c r="J144" s="31" t="str">
        <f aca="false">IF($C144="","",7-(COUNTIF(M144,"NA")+COUNTIF(R144,"NA")+COUNTIF(W144,"NA")+COUNTIF(AB144,"NA")+COUNTIF(AG144,"NA")+COUNTIF(AL144,"NA")+COUNTIF(AQ144,"NA")))</f>
        <v/>
      </c>
      <c r="K144" s="34" t="str">
        <f aca="false">IFERROR(I144/J144,"")</f>
        <v/>
      </c>
      <c r="L144" s="29"/>
      <c r="M144" s="35"/>
      <c r="N144" s="36"/>
      <c r="O144" s="36"/>
      <c r="P144" s="30"/>
      <c r="Q144" s="29"/>
      <c r="R144" s="35"/>
      <c r="S144" s="36"/>
      <c r="T144" s="36"/>
      <c r="U144" s="30"/>
      <c r="V144" s="29"/>
      <c r="W144" s="35"/>
      <c r="X144" s="36"/>
      <c r="Y144" s="36"/>
      <c r="Z144" s="30"/>
      <c r="AA144" s="29"/>
      <c r="AB144" s="35"/>
      <c r="AC144" s="36"/>
      <c r="AD144" s="36"/>
      <c r="AE144" s="30"/>
      <c r="AF144" s="29"/>
      <c r="AG144" s="35"/>
      <c r="AH144" s="36"/>
      <c r="AI144" s="36"/>
      <c r="AJ144" s="30"/>
      <c r="AK144" s="29"/>
      <c r="AL144" s="35"/>
      <c r="AM144" s="36"/>
      <c r="AN144" s="36"/>
      <c r="AO144" s="30"/>
      <c r="AP144" s="29"/>
      <c r="AQ144" s="35"/>
      <c r="AR144" s="36"/>
      <c r="AS144" s="36"/>
      <c r="AT144" s="30"/>
      <c r="AU144" s="29"/>
      <c r="AV144" s="29"/>
      <c r="AW144" s="29"/>
      <c r="AX144" s="37"/>
      <c r="AY144" s="39" t="str">
        <f aca="false">IF(AU144&lt;&gt;"Yes","",IF(AV144="","SELECT RE-ENTRY STAGE","MOVE TO ACTIVE at "&amp;AV144))</f>
        <v/>
      </c>
      <c r="AZ144" s="40" t="str">
        <f aca="false">IF(AU144="Yes",COUNTIF($AU$6:AU144,"Yes"),"")</f>
        <v/>
      </c>
      <c r="BA144" s="29"/>
      <c r="BB144" s="38" t="str">
        <f aca="false">IF($C144="","",IF(OR(F144="Completed",F144="Cancelled"),"",IF(AND(OR(F144="On Hold",ISNUMBER(VALUE(LEFT(H144,2)))),BA144=""),"Reason not given","")))</f>
        <v/>
      </c>
      <c r="BC144" s="30"/>
    </row>
    <row r="145" customFormat="false" ht="19.5" hidden="false" customHeight="true" outlineLevel="0" collapsed="false">
      <c r="A145" s="28" t="str">
        <f aca="false">IF($C145="","",COUNTA($C$6:$C145))</f>
        <v/>
      </c>
      <c r="B145" s="29"/>
      <c r="C145" s="30"/>
      <c r="D145" s="29"/>
      <c r="E145" s="31" t="str">
        <f aca="false">IF($C145="","",IF(NOT(OR(M145="Completed",M145="NA",M145="Cancelled")),"S1 Schematic",IF(NOT(OR(R145="Completed",R145="NA",R145="Cancelled")),"S2 PCB Layout",IF(NOT(OR(W145="Completed",W145="NA",W145="Cancelled")),"S3 SI &amp; PI",IF(NOT(OR(AB145="Completed",AB145="NA",AB145="Cancelled")),"S4 Bare-PCB Fab",IF(NOT(OR(AG145="Completed",AG145="NA",AG145="Cancelled")),"S5 Assembly",IF(NOT(OR(AL145="Completed",AL145="NA",AL145="Cancelled")),"S6 Bring-up",IF(NOT(OR(AQ145="Completed",AQ145="NA",AQ145="Cancelled")),"S7 BOM Procurement","All Stages Closed"))))))))</f>
        <v/>
      </c>
      <c r="F145" s="32" t="str">
        <f aca="false">IF($C145="","",IF(COUNTIF(M145,"Cancelled")+COUNTIF(R145,"Cancelled")+COUNTIF(W145,"Cancelled")+COUNTIF(AB145,"Cancelled")+COUNTIF(AG145,"Cancelled")+COUNTIF(AL145,"Cancelled")+COUNTIF(AQ145,"Cancelled")&gt;0,"Cancelled",IF(E145="All Stages Closed","Completed",IF(E145="S1 Schematic",M145,IF(E145="S2 PCB Layout",R145,IF(E145="S3 SI &amp; PI",W145,IF(E145="S4 Bare-PCB Fab",AB145,IF(E145="S5 Assembly",AG145,IF(E145="S6 Bring-up",AL145,AQ145)))))))))</f>
        <v/>
      </c>
      <c r="G145" s="33" t="str">
        <f aca="false">IF($C145="","",IF(E145="All Stages Closed","",IF(E145="S1 Schematic",IF(N145="","Not added",N145),IF(E145="S2 PCB Layout",IF(S145="","Not added",S145),IF(E145="S3 SI &amp; PI",IF(X145="","Not added",X145),IF(E145="S4 Bare-PCB Fab",IF(AC145="","Not added",AC145),IF(E145="S5 Assembly",IF(AH145="","Not added",AH145),IF(E145="S6 Bring-up",IF(AM145="","Not added",AM145),IF(AR145="","Not added",AR145)))))))))</f>
        <v/>
      </c>
      <c r="H145" s="32" t="str">
        <f aca="true">IF($C145="","",IF(OR(F145="Completed",F145="Cancelled"),"",IF(NOT(ISNUMBER(G145)),"No date set",IF(TODAY()&gt;G145,TODAY()-G145&amp;" days late",G145-TODAY()&amp;" days left"))))</f>
        <v/>
      </c>
      <c r="I145" s="31" t="str">
        <f aca="false">IF($C145="","",COUNTIF(M145,"Completed")+COUNTIF(R145,"Completed")+COUNTIF(W145,"Completed")+COUNTIF(AB145,"Completed")+COUNTIF(AG145,"Completed")+COUNTIF(AL145,"Completed")+COUNTIF(AQ145,"Completed"))</f>
        <v/>
      </c>
      <c r="J145" s="31" t="str">
        <f aca="false">IF($C145="","",7-(COUNTIF(M145,"NA")+COUNTIF(R145,"NA")+COUNTIF(W145,"NA")+COUNTIF(AB145,"NA")+COUNTIF(AG145,"NA")+COUNTIF(AL145,"NA")+COUNTIF(AQ145,"NA")))</f>
        <v/>
      </c>
      <c r="K145" s="34" t="str">
        <f aca="false">IFERROR(I145/J145,"")</f>
        <v/>
      </c>
      <c r="L145" s="29"/>
      <c r="M145" s="35"/>
      <c r="N145" s="36"/>
      <c r="O145" s="36"/>
      <c r="P145" s="30"/>
      <c r="Q145" s="29"/>
      <c r="R145" s="35"/>
      <c r="S145" s="36"/>
      <c r="T145" s="36"/>
      <c r="U145" s="30"/>
      <c r="V145" s="29"/>
      <c r="W145" s="35"/>
      <c r="X145" s="36"/>
      <c r="Y145" s="36"/>
      <c r="Z145" s="30"/>
      <c r="AA145" s="29"/>
      <c r="AB145" s="35"/>
      <c r="AC145" s="36"/>
      <c r="AD145" s="36"/>
      <c r="AE145" s="30"/>
      <c r="AF145" s="29"/>
      <c r="AG145" s="35"/>
      <c r="AH145" s="36"/>
      <c r="AI145" s="36"/>
      <c r="AJ145" s="30"/>
      <c r="AK145" s="29"/>
      <c r="AL145" s="35"/>
      <c r="AM145" s="36"/>
      <c r="AN145" s="36"/>
      <c r="AO145" s="30"/>
      <c r="AP145" s="29"/>
      <c r="AQ145" s="35"/>
      <c r="AR145" s="36"/>
      <c r="AS145" s="36"/>
      <c r="AT145" s="30"/>
      <c r="AU145" s="29"/>
      <c r="AV145" s="29"/>
      <c r="AW145" s="29"/>
      <c r="AX145" s="37"/>
      <c r="AY145" s="39" t="str">
        <f aca="false">IF(AU145&lt;&gt;"Yes","",IF(AV145="","SELECT RE-ENTRY STAGE","MOVE TO ACTIVE at "&amp;AV145))</f>
        <v/>
      </c>
      <c r="AZ145" s="40" t="str">
        <f aca="false">IF(AU145="Yes",COUNTIF($AU$6:AU145,"Yes"),"")</f>
        <v/>
      </c>
      <c r="BA145" s="29"/>
      <c r="BB145" s="38" t="str">
        <f aca="false">IF($C145="","",IF(OR(F145="Completed",F145="Cancelled"),"",IF(AND(OR(F145="On Hold",ISNUMBER(VALUE(LEFT(H145,2)))),BA145=""),"Reason not given","")))</f>
        <v/>
      </c>
      <c r="BC145" s="30"/>
    </row>
    <row r="146" customFormat="false" ht="19.5" hidden="false" customHeight="true" outlineLevel="0" collapsed="false">
      <c r="A146" s="28" t="str">
        <f aca="false">IF($C146="","",COUNTA($C$6:$C146))</f>
        <v/>
      </c>
      <c r="B146" s="29"/>
      <c r="C146" s="30"/>
      <c r="D146" s="29"/>
      <c r="E146" s="31" t="str">
        <f aca="false">IF($C146="","",IF(NOT(OR(M146="Completed",M146="NA",M146="Cancelled")),"S1 Schematic",IF(NOT(OR(R146="Completed",R146="NA",R146="Cancelled")),"S2 PCB Layout",IF(NOT(OR(W146="Completed",W146="NA",W146="Cancelled")),"S3 SI &amp; PI",IF(NOT(OR(AB146="Completed",AB146="NA",AB146="Cancelled")),"S4 Bare-PCB Fab",IF(NOT(OR(AG146="Completed",AG146="NA",AG146="Cancelled")),"S5 Assembly",IF(NOT(OR(AL146="Completed",AL146="NA",AL146="Cancelled")),"S6 Bring-up",IF(NOT(OR(AQ146="Completed",AQ146="NA",AQ146="Cancelled")),"S7 BOM Procurement","All Stages Closed"))))))))</f>
        <v/>
      </c>
      <c r="F146" s="32" t="str">
        <f aca="false">IF($C146="","",IF(COUNTIF(M146,"Cancelled")+COUNTIF(R146,"Cancelled")+COUNTIF(W146,"Cancelled")+COUNTIF(AB146,"Cancelled")+COUNTIF(AG146,"Cancelled")+COUNTIF(AL146,"Cancelled")+COUNTIF(AQ146,"Cancelled")&gt;0,"Cancelled",IF(E146="All Stages Closed","Completed",IF(E146="S1 Schematic",M146,IF(E146="S2 PCB Layout",R146,IF(E146="S3 SI &amp; PI",W146,IF(E146="S4 Bare-PCB Fab",AB146,IF(E146="S5 Assembly",AG146,IF(E146="S6 Bring-up",AL146,AQ146)))))))))</f>
        <v/>
      </c>
      <c r="G146" s="33" t="str">
        <f aca="false">IF($C146="","",IF(E146="All Stages Closed","",IF(E146="S1 Schematic",IF(N146="","Not added",N146),IF(E146="S2 PCB Layout",IF(S146="","Not added",S146),IF(E146="S3 SI &amp; PI",IF(X146="","Not added",X146),IF(E146="S4 Bare-PCB Fab",IF(AC146="","Not added",AC146),IF(E146="S5 Assembly",IF(AH146="","Not added",AH146),IF(E146="S6 Bring-up",IF(AM146="","Not added",AM146),IF(AR146="","Not added",AR146)))))))))</f>
        <v/>
      </c>
      <c r="H146" s="32" t="str">
        <f aca="true">IF($C146="","",IF(OR(F146="Completed",F146="Cancelled"),"",IF(NOT(ISNUMBER(G146)),"No date set",IF(TODAY()&gt;G146,TODAY()-G146&amp;" days late",G146-TODAY()&amp;" days left"))))</f>
        <v/>
      </c>
      <c r="I146" s="31" t="str">
        <f aca="false">IF($C146="","",COUNTIF(M146,"Completed")+COUNTIF(R146,"Completed")+COUNTIF(W146,"Completed")+COUNTIF(AB146,"Completed")+COUNTIF(AG146,"Completed")+COUNTIF(AL146,"Completed")+COUNTIF(AQ146,"Completed"))</f>
        <v/>
      </c>
      <c r="J146" s="31" t="str">
        <f aca="false">IF($C146="","",7-(COUNTIF(M146,"NA")+COUNTIF(R146,"NA")+COUNTIF(W146,"NA")+COUNTIF(AB146,"NA")+COUNTIF(AG146,"NA")+COUNTIF(AL146,"NA")+COUNTIF(AQ146,"NA")))</f>
        <v/>
      </c>
      <c r="K146" s="34" t="str">
        <f aca="false">IFERROR(I146/J146,"")</f>
        <v/>
      </c>
      <c r="L146" s="29"/>
      <c r="M146" s="35"/>
      <c r="N146" s="36"/>
      <c r="O146" s="36"/>
      <c r="P146" s="30"/>
      <c r="Q146" s="29"/>
      <c r="R146" s="35"/>
      <c r="S146" s="36"/>
      <c r="T146" s="36"/>
      <c r="U146" s="30"/>
      <c r="V146" s="29"/>
      <c r="W146" s="35"/>
      <c r="X146" s="36"/>
      <c r="Y146" s="36"/>
      <c r="Z146" s="30"/>
      <c r="AA146" s="29"/>
      <c r="AB146" s="35"/>
      <c r="AC146" s="36"/>
      <c r="AD146" s="36"/>
      <c r="AE146" s="30"/>
      <c r="AF146" s="29"/>
      <c r="AG146" s="35"/>
      <c r="AH146" s="36"/>
      <c r="AI146" s="36"/>
      <c r="AJ146" s="30"/>
      <c r="AK146" s="29"/>
      <c r="AL146" s="35"/>
      <c r="AM146" s="36"/>
      <c r="AN146" s="36"/>
      <c r="AO146" s="30"/>
      <c r="AP146" s="29"/>
      <c r="AQ146" s="35"/>
      <c r="AR146" s="36"/>
      <c r="AS146" s="36"/>
      <c r="AT146" s="30"/>
      <c r="AU146" s="29"/>
      <c r="AV146" s="29"/>
      <c r="AW146" s="29"/>
      <c r="AX146" s="37"/>
      <c r="AY146" s="39" t="str">
        <f aca="false">IF(AU146&lt;&gt;"Yes","",IF(AV146="","SELECT RE-ENTRY STAGE","MOVE TO ACTIVE at "&amp;AV146))</f>
        <v/>
      </c>
      <c r="AZ146" s="40" t="str">
        <f aca="false">IF(AU146="Yes",COUNTIF($AU$6:AU146,"Yes"),"")</f>
        <v/>
      </c>
      <c r="BA146" s="29"/>
      <c r="BB146" s="38" t="str">
        <f aca="false">IF($C146="","",IF(OR(F146="Completed",F146="Cancelled"),"",IF(AND(OR(F146="On Hold",ISNUMBER(VALUE(LEFT(H146,2)))),BA146=""),"Reason not given","")))</f>
        <v/>
      </c>
      <c r="BC146" s="30"/>
    </row>
    <row r="147" customFormat="false" ht="19.5" hidden="false" customHeight="true" outlineLevel="0" collapsed="false">
      <c r="A147" s="28" t="str">
        <f aca="false">IF($C147="","",COUNTA($C$6:$C147))</f>
        <v/>
      </c>
      <c r="B147" s="29"/>
      <c r="C147" s="30"/>
      <c r="D147" s="29"/>
      <c r="E147" s="31" t="str">
        <f aca="false">IF($C147="","",IF(NOT(OR(M147="Completed",M147="NA",M147="Cancelled")),"S1 Schematic",IF(NOT(OR(R147="Completed",R147="NA",R147="Cancelled")),"S2 PCB Layout",IF(NOT(OR(W147="Completed",W147="NA",W147="Cancelled")),"S3 SI &amp; PI",IF(NOT(OR(AB147="Completed",AB147="NA",AB147="Cancelled")),"S4 Bare-PCB Fab",IF(NOT(OR(AG147="Completed",AG147="NA",AG147="Cancelled")),"S5 Assembly",IF(NOT(OR(AL147="Completed",AL147="NA",AL147="Cancelled")),"S6 Bring-up",IF(NOT(OR(AQ147="Completed",AQ147="NA",AQ147="Cancelled")),"S7 BOM Procurement","All Stages Closed"))))))))</f>
        <v/>
      </c>
      <c r="F147" s="32" t="str">
        <f aca="false">IF($C147="","",IF(COUNTIF(M147,"Cancelled")+COUNTIF(R147,"Cancelled")+COUNTIF(W147,"Cancelled")+COUNTIF(AB147,"Cancelled")+COUNTIF(AG147,"Cancelled")+COUNTIF(AL147,"Cancelled")+COUNTIF(AQ147,"Cancelled")&gt;0,"Cancelled",IF(E147="All Stages Closed","Completed",IF(E147="S1 Schematic",M147,IF(E147="S2 PCB Layout",R147,IF(E147="S3 SI &amp; PI",W147,IF(E147="S4 Bare-PCB Fab",AB147,IF(E147="S5 Assembly",AG147,IF(E147="S6 Bring-up",AL147,AQ147)))))))))</f>
        <v/>
      </c>
      <c r="G147" s="33" t="str">
        <f aca="false">IF($C147="","",IF(E147="All Stages Closed","",IF(E147="S1 Schematic",IF(N147="","Not added",N147),IF(E147="S2 PCB Layout",IF(S147="","Not added",S147),IF(E147="S3 SI &amp; PI",IF(X147="","Not added",X147),IF(E147="S4 Bare-PCB Fab",IF(AC147="","Not added",AC147),IF(E147="S5 Assembly",IF(AH147="","Not added",AH147),IF(E147="S6 Bring-up",IF(AM147="","Not added",AM147),IF(AR147="","Not added",AR147)))))))))</f>
        <v/>
      </c>
      <c r="H147" s="32" t="str">
        <f aca="true">IF($C147="","",IF(OR(F147="Completed",F147="Cancelled"),"",IF(NOT(ISNUMBER(G147)),"No date set",IF(TODAY()&gt;G147,TODAY()-G147&amp;" days late",G147-TODAY()&amp;" days left"))))</f>
        <v/>
      </c>
      <c r="I147" s="31" t="str">
        <f aca="false">IF($C147="","",COUNTIF(M147,"Completed")+COUNTIF(R147,"Completed")+COUNTIF(W147,"Completed")+COUNTIF(AB147,"Completed")+COUNTIF(AG147,"Completed")+COUNTIF(AL147,"Completed")+COUNTIF(AQ147,"Completed"))</f>
        <v/>
      </c>
      <c r="J147" s="31" t="str">
        <f aca="false">IF($C147="","",7-(COUNTIF(M147,"NA")+COUNTIF(R147,"NA")+COUNTIF(W147,"NA")+COUNTIF(AB147,"NA")+COUNTIF(AG147,"NA")+COUNTIF(AL147,"NA")+COUNTIF(AQ147,"NA")))</f>
        <v/>
      </c>
      <c r="K147" s="34" t="str">
        <f aca="false">IFERROR(I147/J147,"")</f>
        <v/>
      </c>
      <c r="L147" s="29"/>
      <c r="M147" s="35"/>
      <c r="N147" s="36"/>
      <c r="O147" s="36"/>
      <c r="P147" s="30"/>
      <c r="Q147" s="29"/>
      <c r="R147" s="35"/>
      <c r="S147" s="36"/>
      <c r="T147" s="36"/>
      <c r="U147" s="30"/>
      <c r="V147" s="29"/>
      <c r="W147" s="35"/>
      <c r="X147" s="36"/>
      <c r="Y147" s="36"/>
      <c r="Z147" s="30"/>
      <c r="AA147" s="29"/>
      <c r="AB147" s="35"/>
      <c r="AC147" s="36"/>
      <c r="AD147" s="36"/>
      <c r="AE147" s="30"/>
      <c r="AF147" s="29"/>
      <c r="AG147" s="35"/>
      <c r="AH147" s="36"/>
      <c r="AI147" s="36"/>
      <c r="AJ147" s="30"/>
      <c r="AK147" s="29"/>
      <c r="AL147" s="35"/>
      <c r="AM147" s="36"/>
      <c r="AN147" s="36"/>
      <c r="AO147" s="30"/>
      <c r="AP147" s="29"/>
      <c r="AQ147" s="35"/>
      <c r="AR147" s="36"/>
      <c r="AS147" s="36"/>
      <c r="AT147" s="30"/>
      <c r="AU147" s="29"/>
      <c r="AV147" s="29"/>
      <c r="AW147" s="29"/>
      <c r="AX147" s="37"/>
      <c r="AY147" s="39" t="str">
        <f aca="false">IF(AU147&lt;&gt;"Yes","",IF(AV147="","SELECT RE-ENTRY STAGE","MOVE TO ACTIVE at "&amp;AV147))</f>
        <v/>
      </c>
      <c r="AZ147" s="40" t="str">
        <f aca="false">IF(AU147="Yes",COUNTIF($AU$6:AU147,"Yes"),"")</f>
        <v/>
      </c>
      <c r="BA147" s="29"/>
      <c r="BB147" s="38" t="str">
        <f aca="false">IF($C147="","",IF(OR(F147="Completed",F147="Cancelled"),"",IF(AND(OR(F147="On Hold",ISNUMBER(VALUE(LEFT(H147,2)))),BA147=""),"Reason not given","")))</f>
        <v/>
      </c>
      <c r="BC147" s="30"/>
    </row>
    <row r="148" customFormat="false" ht="19.5" hidden="false" customHeight="true" outlineLevel="0" collapsed="false">
      <c r="A148" s="28" t="str">
        <f aca="false">IF($C148="","",COUNTA($C$6:$C148))</f>
        <v/>
      </c>
      <c r="B148" s="29"/>
      <c r="C148" s="30"/>
      <c r="D148" s="29"/>
      <c r="E148" s="31" t="str">
        <f aca="false">IF($C148="","",IF(NOT(OR(M148="Completed",M148="NA",M148="Cancelled")),"S1 Schematic",IF(NOT(OR(R148="Completed",R148="NA",R148="Cancelled")),"S2 PCB Layout",IF(NOT(OR(W148="Completed",W148="NA",W148="Cancelled")),"S3 SI &amp; PI",IF(NOT(OR(AB148="Completed",AB148="NA",AB148="Cancelled")),"S4 Bare-PCB Fab",IF(NOT(OR(AG148="Completed",AG148="NA",AG148="Cancelled")),"S5 Assembly",IF(NOT(OR(AL148="Completed",AL148="NA",AL148="Cancelled")),"S6 Bring-up",IF(NOT(OR(AQ148="Completed",AQ148="NA",AQ148="Cancelled")),"S7 BOM Procurement","All Stages Closed"))))))))</f>
        <v/>
      </c>
      <c r="F148" s="32" t="str">
        <f aca="false">IF($C148="","",IF(COUNTIF(M148,"Cancelled")+COUNTIF(R148,"Cancelled")+COUNTIF(W148,"Cancelled")+COUNTIF(AB148,"Cancelled")+COUNTIF(AG148,"Cancelled")+COUNTIF(AL148,"Cancelled")+COUNTIF(AQ148,"Cancelled")&gt;0,"Cancelled",IF(E148="All Stages Closed","Completed",IF(E148="S1 Schematic",M148,IF(E148="S2 PCB Layout",R148,IF(E148="S3 SI &amp; PI",W148,IF(E148="S4 Bare-PCB Fab",AB148,IF(E148="S5 Assembly",AG148,IF(E148="S6 Bring-up",AL148,AQ148)))))))))</f>
        <v/>
      </c>
      <c r="G148" s="33" t="str">
        <f aca="false">IF($C148="","",IF(E148="All Stages Closed","",IF(E148="S1 Schematic",IF(N148="","Not added",N148),IF(E148="S2 PCB Layout",IF(S148="","Not added",S148),IF(E148="S3 SI &amp; PI",IF(X148="","Not added",X148),IF(E148="S4 Bare-PCB Fab",IF(AC148="","Not added",AC148),IF(E148="S5 Assembly",IF(AH148="","Not added",AH148),IF(E148="S6 Bring-up",IF(AM148="","Not added",AM148),IF(AR148="","Not added",AR148)))))))))</f>
        <v/>
      </c>
      <c r="H148" s="32" t="str">
        <f aca="true">IF($C148="","",IF(OR(F148="Completed",F148="Cancelled"),"",IF(NOT(ISNUMBER(G148)),"No date set",IF(TODAY()&gt;G148,TODAY()-G148&amp;" days late",G148-TODAY()&amp;" days left"))))</f>
        <v/>
      </c>
      <c r="I148" s="31" t="str">
        <f aca="false">IF($C148="","",COUNTIF(M148,"Completed")+COUNTIF(R148,"Completed")+COUNTIF(W148,"Completed")+COUNTIF(AB148,"Completed")+COUNTIF(AG148,"Completed")+COUNTIF(AL148,"Completed")+COUNTIF(AQ148,"Completed"))</f>
        <v/>
      </c>
      <c r="J148" s="31" t="str">
        <f aca="false">IF($C148="","",7-(COUNTIF(M148,"NA")+COUNTIF(R148,"NA")+COUNTIF(W148,"NA")+COUNTIF(AB148,"NA")+COUNTIF(AG148,"NA")+COUNTIF(AL148,"NA")+COUNTIF(AQ148,"NA")))</f>
        <v/>
      </c>
      <c r="K148" s="34" t="str">
        <f aca="false">IFERROR(I148/J148,"")</f>
        <v/>
      </c>
      <c r="L148" s="29"/>
      <c r="M148" s="35"/>
      <c r="N148" s="36"/>
      <c r="O148" s="36"/>
      <c r="P148" s="30"/>
      <c r="Q148" s="29"/>
      <c r="R148" s="35"/>
      <c r="S148" s="36"/>
      <c r="T148" s="36"/>
      <c r="U148" s="30"/>
      <c r="V148" s="29"/>
      <c r="W148" s="35"/>
      <c r="X148" s="36"/>
      <c r="Y148" s="36"/>
      <c r="Z148" s="30"/>
      <c r="AA148" s="29"/>
      <c r="AB148" s="35"/>
      <c r="AC148" s="36"/>
      <c r="AD148" s="36"/>
      <c r="AE148" s="30"/>
      <c r="AF148" s="29"/>
      <c r="AG148" s="35"/>
      <c r="AH148" s="36"/>
      <c r="AI148" s="36"/>
      <c r="AJ148" s="30"/>
      <c r="AK148" s="29"/>
      <c r="AL148" s="35"/>
      <c r="AM148" s="36"/>
      <c r="AN148" s="36"/>
      <c r="AO148" s="30"/>
      <c r="AP148" s="29"/>
      <c r="AQ148" s="35"/>
      <c r="AR148" s="36"/>
      <c r="AS148" s="36"/>
      <c r="AT148" s="30"/>
      <c r="AU148" s="29"/>
      <c r="AV148" s="29"/>
      <c r="AW148" s="29"/>
      <c r="AX148" s="37"/>
      <c r="AY148" s="39" t="str">
        <f aca="false">IF(AU148&lt;&gt;"Yes","",IF(AV148="","SELECT RE-ENTRY STAGE","MOVE TO ACTIVE at "&amp;AV148))</f>
        <v/>
      </c>
      <c r="AZ148" s="40" t="str">
        <f aca="false">IF(AU148="Yes",COUNTIF($AU$6:AU148,"Yes"),"")</f>
        <v/>
      </c>
      <c r="BA148" s="29"/>
      <c r="BB148" s="38" t="str">
        <f aca="false">IF($C148="","",IF(OR(F148="Completed",F148="Cancelled"),"",IF(AND(OR(F148="On Hold",ISNUMBER(VALUE(LEFT(H148,2)))),BA148=""),"Reason not given","")))</f>
        <v/>
      </c>
      <c r="BC148" s="30"/>
    </row>
    <row r="149" customFormat="false" ht="19.5" hidden="false" customHeight="true" outlineLevel="0" collapsed="false">
      <c r="A149" s="28" t="str">
        <f aca="false">IF($C149="","",COUNTA($C$6:$C149))</f>
        <v/>
      </c>
      <c r="B149" s="29"/>
      <c r="C149" s="30"/>
      <c r="D149" s="29"/>
      <c r="E149" s="31" t="str">
        <f aca="false">IF($C149="","",IF(NOT(OR(M149="Completed",M149="NA",M149="Cancelled")),"S1 Schematic",IF(NOT(OR(R149="Completed",R149="NA",R149="Cancelled")),"S2 PCB Layout",IF(NOT(OR(W149="Completed",W149="NA",W149="Cancelled")),"S3 SI &amp; PI",IF(NOT(OR(AB149="Completed",AB149="NA",AB149="Cancelled")),"S4 Bare-PCB Fab",IF(NOT(OR(AG149="Completed",AG149="NA",AG149="Cancelled")),"S5 Assembly",IF(NOT(OR(AL149="Completed",AL149="NA",AL149="Cancelled")),"S6 Bring-up",IF(NOT(OR(AQ149="Completed",AQ149="NA",AQ149="Cancelled")),"S7 BOM Procurement","All Stages Closed"))))))))</f>
        <v/>
      </c>
      <c r="F149" s="32" t="str">
        <f aca="false">IF($C149="","",IF(COUNTIF(M149,"Cancelled")+COUNTIF(R149,"Cancelled")+COUNTIF(W149,"Cancelled")+COUNTIF(AB149,"Cancelled")+COUNTIF(AG149,"Cancelled")+COUNTIF(AL149,"Cancelled")+COUNTIF(AQ149,"Cancelled")&gt;0,"Cancelled",IF(E149="All Stages Closed","Completed",IF(E149="S1 Schematic",M149,IF(E149="S2 PCB Layout",R149,IF(E149="S3 SI &amp; PI",W149,IF(E149="S4 Bare-PCB Fab",AB149,IF(E149="S5 Assembly",AG149,IF(E149="S6 Bring-up",AL149,AQ149)))))))))</f>
        <v/>
      </c>
      <c r="G149" s="33" t="str">
        <f aca="false">IF($C149="","",IF(E149="All Stages Closed","",IF(E149="S1 Schematic",IF(N149="","Not added",N149),IF(E149="S2 PCB Layout",IF(S149="","Not added",S149),IF(E149="S3 SI &amp; PI",IF(X149="","Not added",X149),IF(E149="S4 Bare-PCB Fab",IF(AC149="","Not added",AC149),IF(E149="S5 Assembly",IF(AH149="","Not added",AH149),IF(E149="S6 Bring-up",IF(AM149="","Not added",AM149),IF(AR149="","Not added",AR149)))))))))</f>
        <v/>
      </c>
      <c r="H149" s="32" t="str">
        <f aca="true">IF($C149="","",IF(OR(F149="Completed",F149="Cancelled"),"",IF(NOT(ISNUMBER(G149)),"No date set",IF(TODAY()&gt;G149,TODAY()-G149&amp;" days late",G149-TODAY()&amp;" days left"))))</f>
        <v/>
      </c>
      <c r="I149" s="31" t="str">
        <f aca="false">IF($C149="","",COUNTIF(M149,"Completed")+COUNTIF(R149,"Completed")+COUNTIF(W149,"Completed")+COUNTIF(AB149,"Completed")+COUNTIF(AG149,"Completed")+COUNTIF(AL149,"Completed")+COUNTIF(AQ149,"Completed"))</f>
        <v/>
      </c>
      <c r="J149" s="31" t="str">
        <f aca="false">IF($C149="","",7-(COUNTIF(M149,"NA")+COUNTIF(R149,"NA")+COUNTIF(W149,"NA")+COUNTIF(AB149,"NA")+COUNTIF(AG149,"NA")+COUNTIF(AL149,"NA")+COUNTIF(AQ149,"NA")))</f>
        <v/>
      </c>
      <c r="K149" s="34" t="str">
        <f aca="false">IFERROR(I149/J149,"")</f>
        <v/>
      </c>
      <c r="L149" s="29"/>
      <c r="M149" s="35"/>
      <c r="N149" s="36"/>
      <c r="O149" s="36"/>
      <c r="P149" s="30"/>
      <c r="Q149" s="29"/>
      <c r="R149" s="35"/>
      <c r="S149" s="36"/>
      <c r="T149" s="36"/>
      <c r="U149" s="30"/>
      <c r="V149" s="29"/>
      <c r="W149" s="35"/>
      <c r="X149" s="36"/>
      <c r="Y149" s="36"/>
      <c r="Z149" s="30"/>
      <c r="AA149" s="29"/>
      <c r="AB149" s="35"/>
      <c r="AC149" s="36"/>
      <c r="AD149" s="36"/>
      <c r="AE149" s="30"/>
      <c r="AF149" s="29"/>
      <c r="AG149" s="35"/>
      <c r="AH149" s="36"/>
      <c r="AI149" s="36"/>
      <c r="AJ149" s="30"/>
      <c r="AK149" s="29"/>
      <c r="AL149" s="35"/>
      <c r="AM149" s="36"/>
      <c r="AN149" s="36"/>
      <c r="AO149" s="30"/>
      <c r="AP149" s="29"/>
      <c r="AQ149" s="35"/>
      <c r="AR149" s="36"/>
      <c r="AS149" s="36"/>
      <c r="AT149" s="30"/>
      <c r="AU149" s="29"/>
      <c r="AV149" s="29"/>
      <c r="AW149" s="29"/>
      <c r="AX149" s="37"/>
      <c r="AY149" s="39" t="str">
        <f aca="false">IF(AU149&lt;&gt;"Yes","",IF(AV149="","SELECT RE-ENTRY STAGE","MOVE TO ACTIVE at "&amp;AV149))</f>
        <v/>
      </c>
      <c r="AZ149" s="40" t="str">
        <f aca="false">IF(AU149="Yes",COUNTIF($AU$6:AU149,"Yes"),"")</f>
        <v/>
      </c>
      <c r="BA149" s="29"/>
      <c r="BB149" s="38" t="str">
        <f aca="false">IF($C149="","",IF(OR(F149="Completed",F149="Cancelled"),"",IF(AND(OR(F149="On Hold",ISNUMBER(VALUE(LEFT(H149,2)))),BA149=""),"Reason not given","")))</f>
        <v/>
      </c>
      <c r="BC149" s="30"/>
    </row>
    <row r="150" customFormat="false" ht="19.5" hidden="false" customHeight="true" outlineLevel="0" collapsed="false">
      <c r="A150" s="28" t="str">
        <f aca="false">IF($C150="","",COUNTA($C$6:$C150))</f>
        <v/>
      </c>
      <c r="B150" s="29"/>
      <c r="C150" s="30"/>
      <c r="D150" s="29"/>
      <c r="E150" s="31" t="str">
        <f aca="false">IF($C150="","",IF(NOT(OR(M150="Completed",M150="NA",M150="Cancelled")),"S1 Schematic",IF(NOT(OR(R150="Completed",R150="NA",R150="Cancelled")),"S2 PCB Layout",IF(NOT(OR(W150="Completed",W150="NA",W150="Cancelled")),"S3 SI &amp; PI",IF(NOT(OR(AB150="Completed",AB150="NA",AB150="Cancelled")),"S4 Bare-PCB Fab",IF(NOT(OR(AG150="Completed",AG150="NA",AG150="Cancelled")),"S5 Assembly",IF(NOT(OR(AL150="Completed",AL150="NA",AL150="Cancelled")),"S6 Bring-up",IF(NOT(OR(AQ150="Completed",AQ150="NA",AQ150="Cancelled")),"S7 BOM Procurement","All Stages Closed"))))))))</f>
        <v/>
      </c>
      <c r="F150" s="32" t="str">
        <f aca="false">IF($C150="","",IF(COUNTIF(M150,"Cancelled")+COUNTIF(R150,"Cancelled")+COUNTIF(W150,"Cancelled")+COUNTIF(AB150,"Cancelled")+COUNTIF(AG150,"Cancelled")+COUNTIF(AL150,"Cancelled")+COUNTIF(AQ150,"Cancelled")&gt;0,"Cancelled",IF(E150="All Stages Closed","Completed",IF(E150="S1 Schematic",M150,IF(E150="S2 PCB Layout",R150,IF(E150="S3 SI &amp; PI",W150,IF(E150="S4 Bare-PCB Fab",AB150,IF(E150="S5 Assembly",AG150,IF(E150="S6 Bring-up",AL150,AQ150)))))))))</f>
        <v/>
      </c>
      <c r="G150" s="33" t="str">
        <f aca="false">IF($C150="","",IF(E150="All Stages Closed","",IF(E150="S1 Schematic",IF(N150="","Not added",N150),IF(E150="S2 PCB Layout",IF(S150="","Not added",S150),IF(E150="S3 SI &amp; PI",IF(X150="","Not added",X150),IF(E150="S4 Bare-PCB Fab",IF(AC150="","Not added",AC150),IF(E150="S5 Assembly",IF(AH150="","Not added",AH150),IF(E150="S6 Bring-up",IF(AM150="","Not added",AM150),IF(AR150="","Not added",AR150)))))))))</f>
        <v/>
      </c>
      <c r="H150" s="32" t="str">
        <f aca="true">IF($C150="","",IF(OR(F150="Completed",F150="Cancelled"),"",IF(NOT(ISNUMBER(G150)),"No date set",IF(TODAY()&gt;G150,TODAY()-G150&amp;" days late",G150-TODAY()&amp;" days left"))))</f>
        <v/>
      </c>
      <c r="I150" s="31" t="str">
        <f aca="false">IF($C150="","",COUNTIF(M150,"Completed")+COUNTIF(R150,"Completed")+COUNTIF(W150,"Completed")+COUNTIF(AB150,"Completed")+COUNTIF(AG150,"Completed")+COUNTIF(AL150,"Completed")+COUNTIF(AQ150,"Completed"))</f>
        <v/>
      </c>
      <c r="J150" s="31" t="str">
        <f aca="false">IF($C150="","",7-(COUNTIF(M150,"NA")+COUNTIF(R150,"NA")+COUNTIF(W150,"NA")+COUNTIF(AB150,"NA")+COUNTIF(AG150,"NA")+COUNTIF(AL150,"NA")+COUNTIF(AQ150,"NA")))</f>
        <v/>
      </c>
      <c r="K150" s="34" t="str">
        <f aca="false">IFERROR(I150/J150,"")</f>
        <v/>
      </c>
      <c r="L150" s="29"/>
      <c r="M150" s="35"/>
      <c r="N150" s="36"/>
      <c r="O150" s="36"/>
      <c r="P150" s="30"/>
      <c r="Q150" s="29"/>
      <c r="R150" s="35"/>
      <c r="S150" s="36"/>
      <c r="T150" s="36"/>
      <c r="U150" s="30"/>
      <c r="V150" s="29"/>
      <c r="W150" s="35"/>
      <c r="X150" s="36"/>
      <c r="Y150" s="36"/>
      <c r="Z150" s="30"/>
      <c r="AA150" s="29"/>
      <c r="AB150" s="35"/>
      <c r="AC150" s="36"/>
      <c r="AD150" s="36"/>
      <c r="AE150" s="30"/>
      <c r="AF150" s="29"/>
      <c r="AG150" s="35"/>
      <c r="AH150" s="36"/>
      <c r="AI150" s="36"/>
      <c r="AJ150" s="30"/>
      <c r="AK150" s="29"/>
      <c r="AL150" s="35"/>
      <c r="AM150" s="36"/>
      <c r="AN150" s="36"/>
      <c r="AO150" s="30"/>
      <c r="AP150" s="29"/>
      <c r="AQ150" s="35"/>
      <c r="AR150" s="36"/>
      <c r="AS150" s="36"/>
      <c r="AT150" s="30"/>
      <c r="AU150" s="29"/>
      <c r="AV150" s="29"/>
      <c r="AW150" s="29"/>
      <c r="AX150" s="37"/>
      <c r="AY150" s="39" t="str">
        <f aca="false">IF(AU150&lt;&gt;"Yes","",IF(AV150="","SELECT RE-ENTRY STAGE","MOVE TO ACTIVE at "&amp;AV150))</f>
        <v/>
      </c>
      <c r="AZ150" s="40" t="str">
        <f aca="false">IF(AU150="Yes",COUNTIF($AU$6:AU150,"Yes"),"")</f>
        <v/>
      </c>
      <c r="BA150" s="29"/>
      <c r="BB150" s="38" t="str">
        <f aca="false">IF($C150="","",IF(OR(F150="Completed",F150="Cancelled"),"",IF(AND(OR(F150="On Hold",ISNUMBER(VALUE(LEFT(H150,2)))),BA150=""),"Reason not given","")))</f>
        <v/>
      </c>
      <c r="BC150" s="30"/>
    </row>
    <row r="151" customFormat="false" ht="19.5" hidden="false" customHeight="true" outlineLevel="0" collapsed="false">
      <c r="A151" s="28" t="str">
        <f aca="false">IF($C151="","",COUNTA($C$6:$C151))</f>
        <v/>
      </c>
      <c r="B151" s="29"/>
      <c r="C151" s="30"/>
      <c r="D151" s="29"/>
      <c r="E151" s="31" t="str">
        <f aca="false">IF($C151="","",IF(NOT(OR(M151="Completed",M151="NA",M151="Cancelled")),"S1 Schematic",IF(NOT(OR(R151="Completed",R151="NA",R151="Cancelled")),"S2 PCB Layout",IF(NOT(OR(W151="Completed",W151="NA",W151="Cancelled")),"S3 SI &amp; PI",IF(NOT(OR(AB151="Completed",AB151="NA",AB151="Cancelled")),"S4 Bare-PCB Fab",IF(NOT(OR(AG151="Completed",AG151="NA",AG151="Cancelled")),"S5 Assembly",IF(NOT(OR(AL151="Completed",AL151="NA",AL151="Cancelled")),"S6 Bring-up",IF(NOT(OR(AQ151="Completed",AQ151="NA",AQ151="Cancelled")),"S7 BOM Procurement","All Stages Closed"))))))))</f>
        <v/>
      </c>
      <c r="F151" s="32" t="str">
        <f aca="false">IF($C151="","",IF(COUNTIF(M151,"Cancelled")+COUNTIF(R151,"Cancelled")+COUNTIF(W151,"Cancelled")+COUNTIF(AB151,"Cancelled")+COUNTIF(AG151,"Cancelled")+COUNTIF(AL151,"Cancelled")+COUNTIF(AQ151,"Cancelled")&gt;0,"Cancelled",IF(E151="All Stages Closed","Completed",IF(E151="S1 Schematic",M151,IF(E151="S2 PCB Layout",R151,IF(E151="S3 SI &amp; PI",W151,IF(E151="S4 Bare-PCB Fab",AB151,IF(E151="S5 Assembly",AG151,IF(E151="S6 Bring-up",AL151,AQ151)))))))))</f>
        <v/>
      </c>
      <c r="G151" s="33" t="str">
        <f aca="false">IF($C151="","",IF(E151="All Stages Closed","",IF(E151="S1 Schematic",IF(N151="","Not added",N151),IF(E151="S2 PCB Layout",IF(S151="","Not added",S151),IF(E151="S3 SI &amp; PI",IF(X151="","Not added",X151),IF(E151="S4 Bare-PCB Fab",IF(AC151="","Not added",AC151),IF(E151="S5 Assembly",IF(AH151="","Not added",AH151),IF(E151="S6 Bring-up",IF(AM151="","Not added",AM151),IF(AR151="","Not added",AR151)))))))))</f>
        <v/>
      </c>
      <c r="H151" s="32" t="str">
        <f aca="true">IF($C151="","",IF(OR(F151="Completed",F151="Cancelled"),"",IF(NOT(ISNUMBER(G151)),"No date set",IF(TODAY()&gt;G151,TODAY()-G151&amp;" days late",G151-TODAY()&amp;" days left"))))</f>
        <v/>
      </c>
      <c r="I151" s="31" t="str">
        <f aca="false">IF($C151="","",COUNTIF(M151,"Completed")+COUNTIF(R151,"Completed")+COUNTIF(W151,"Completed")+COUNTIF(AB151,"Completed")+COUNTIF(AG151,"Completed")+COUNTIF(AL151,"Completed")+COUNTIF(AQ151,"Completed"))</f>
        <v/>
      </c>
      <c r="J151" s="31" t="str">
        <f aca="false">IF($C151="","",7-(COUNTIF(M151,"NA")+COUNTIF(R151,"NA")+COUNTIF(W151,"NA")+COUNTIF(AB151,"NA")+COUNTIF(AG151,"NA")+COUNTIF(AL151,"NA")+COUNTIF(AQ151,"NA")))</f>
        <v/>
      </c>
      <c r="K151" s="34" t="str">
        <f aca="false">IFERROR(I151/J151,"")</f>
        <v/>
      </c>
      <c r="L151" s="29"/>
      <c r="M151" s="35"/>
      <c r="N151" s="36"/>
      <c r="O151" s="36"/>
      <c r="P151" s="30"/>
      <c r="Q151" s="29"/>
      <c r="R151" s="35"/>
      <c r="S151" s="36"/>
      <c r="T151" s="36"/>
      <c r="U151" s="30"/>
      <c r="V151" s="29"/>
      <c r="W151" s="35"/>
      <c r="X151" s="36"/>
      <c r="Y151" s="36"/>
      <c r="Z151" s="30"/>
      <c r="AA151" s="29"/>
      <c r="AB151" s="35"/>
      <c r="AC151" s="36"/>
      <c r="AD151" s="36"/>
      <c r="AE151" s="30"/>
      <c r="AF151" s="29"/>
      <c r="AG151" s="35"/>
      <c r="AH151" s="36"/>
      <c r="AI151" s="36"/>
      <c r="AJ151" s="30"/>
      <c r="AK151" s="29"/>
      <c r="AL151" s="35"/>
      <c r="AM151" s="36"/>
      <c r="AN151" s="36"/>
      <c r="AO151" s="30"/>
      <c r="AP151" s="29"/>
      <c r="AQ151" s="35"/>
      <c r="AR151" s="36"/>
      <c r="AS151" s="36"/>
      <c r="AT151" s="30"/>
      <c r="AU151" s="29"/>
      <c r="AV151" s="29"/>
      <c r="AW151" s="29"/>
      <c r="AX151" s="37"/>
      <c r="AY151" s="39" t="str">
        <f aca="false">IF(AU151&lt;&gt;"Yes","",IF(AV151="","SELECT RE-ENTRY STAGE","MOVE TO ACTIVE at "&amp;AV151))</f>
        <v/>
      </c>
      <c r="AZ151" s="40" t="str">
        <f aca="false">IF(AU151="Yes",COUNTIF($AU$6:AU151,"Yes"),"")</f>
        <v/>
      </c>
      <c r="BA151" s="29"/>
      <c r="BB151" s="38" t="str">
        <f aca="false">IF($C151="","",IF(OR(F151="Completed",F151="Cancelled"),"",IF(AND(OR(F151="On Hold",ISNUMBER(VALUE(LEFT(H151,2)))),BA151=""),"Reason not given","")))</f>
        <v/>
      </c>
      <c r="BC151" s="30"/>
    </row>
    <row r="152" customFormat="false" ht="19.5" hidden="false" customHeight="true" outlineLevel="0" collapsed="false">
      <c r="A152" s="28" t="str">
        <f aca="false">IF($C152="","",COUNTA($C$6:$C152))</f>
        <v/>
      </c>
      <c r="B152" s="29"/>
      <c r="C152" s="30"/>
      <c r="D152" s="29"/>
      <c r="E152" s="31" t="str">
        <f aca="false">IF($C152="","",IF(NOT(OR(M152="Completed",M152="NA",M152="Cancelled")),"S1 Schematic",IF(NOT(OR(R152="Completed",R152="NA",R152="Cancelled")),"S2 PCB Layout",IF(NOT(OR(W152="Completed",W152="NA",W152="Cancelled")),"S3 SI &amp; PI",IF(NOT(OR(AB152="Completed",AB152="NA",AB152="Cancelled")),"S4 Bare-PCB Fab",IF(NOT(OR(AG152="Completed",AG152="NA",AG152="Cancelled")),"S5 Assembly",IF(NOT(OR(AL152="Completed",AL152="NA",AL152="Cancelled")),"S6 Bring-up",IF(NOT(OR(AQ152="Completed",AQ152="NA",AQ152="Cancelled")),"S7 BOM Procurement","All Stages Closed"))))))))</f>
        <v/>
      </c>
      <c r="F152" s="32" t="str">
        <f aca="false">IF($C152="","",IF(COUNTIF(M152,"Cancelled")+COUNTIF(R152,"Cancelled")+COUNTIF(W152,"Cancelled")+COUNTIF(AB152,"Cancelled")+COUNTIF(AG152,"Cancelled")+COUNTIF(AL152,"Cancelled")+COUNTIF(AQ152,"Cancelled")&gt;0,"Cancelled",IF(E152="All Stages Closed","Completed",IF(E152="S1 Schematic",M152,IF(E152="S2 PCB Layout",R152,IF(E152="S3 SI &amp; PI",W152,IF(E152="S4 Bare-PCB Fab",AB152,IF(E152="S5 Assembly",AG152,IF(E152="S6 Bring-up",AL152,AQ152)))))))))</f>
        <v/>
      </c>
      <c r="G152" s="33" t="str">
        <f aca="false">IF($C152="","",IF(E152="All Stages Closed","",IF(E152="S1 Schematic",IF(N152="","Not added",N152),IF(E152="S2 PCB Layout",IF(S152="","Not added",S152),IF(E152="S3 SI &amp; PI",IF(X152="","Not added",X152),IF(E152="S4 Bare-PCB Fab",IF(AC152="","Not added",AC152),IF(E152="S5 Assembly",IF(AH152="","Not added",AH152),IF(E152="S6 Bring-up",IF(AM152="","Not added",AM152),IF(AR152="","Not added",AR152)))))))))</f>
        <v/>
      </c>
      <c r="H152" s="32" t="str">
        <f aca="true">IF($C152="","",IF(OR(F152="Completed",F152="Cancelled"),"",IF(NOT(ISNUMBER(G152)),"No date set",IF(TODAY()&gt;G152,TODAY()-G152&amp;" days late",G152-TODAY()&amp;" days left"))))</f>
        <v/>
      </c>
      <c r="I152" s="31" t="str">
        <f aca="false">IF($C152="","",COUNTIF(M152,"Completed")+COUNTIF(R152,"Completed")+COUNTIF(W152,"Completed")+COUNTIF(AB152,"Completed")+COUNTIF(AG152,"Completed")+COUNTIF(AL152,"Completed")+COUNTIF(AQ152,"Completed"))</f>
        <v/>
      </c>
      <c r="J152" s="31" t="str">
        <f aca="false">IF($C152="","",7-(COUNTIF(M152,"NA")+COUNTIF(R152,"NA")+COUNTIF(W152,"NA")+COUNTIF(AB152,"NA")+COUNTIF(AG152,"NA")+COUNTIF(AL152,"NA")+COUNTIF(AQ152,"NA")))</f>
        <v/>
      </c>
      <c r="K152" s="34" t="str">
        <f aca="false">IFERROR(I152/J152,"")</f>
        <v/>
      </c>
      <c r="L152" s="29"/>
      <c r="M152" s="35"/>
      <c r="N152" s="36"/>
      <c r="O152" s="36"/>
      <c r="P152" s="30"/>
      <c r="Q152" s="29"/>
      <c r="R152" s="35"/>
      <c r="S152" s="36"/>
      <c r="T152" s="36"/>
      <c r="U152" s="30"/>
      <c r="V152" s="29"/>
      <c r="W152" s="35"/>
      <c r="X152" s="36"/>
      <c r="Y152" s="36"/>
      <c r="Z152" s="30"/>
      <c r="AA152" s="29"/>
      <c r="AB152" s="35"/>
      <c r="AC152" s="36"/>
      <c r="AD152" s="36"/>
      <c r="AE152" s="30"/>
      <c r="AF152" s="29"/>
      <c r="AG152" s="35"/>
      <c r="AH152" s="36"/>
      <c r="AI152" s="36"/>
      <c r="AJ152" s="30"/>
      <c r="AK152" s="29"/>
      <c r="AL152" s="35"/>
      <c r="AM152" s="36"/>
      <c r="AN152" s="36"/>
      <c r="AO152" s="30"/>
      <c r="AP152" s="29"/>
      <c r="AQ152" s="35"/>
      <c r="AR152" s="36"/>
      <c r="AS152" s="36"/>
      <c r="AT152" s="30"/>
      <c r="AU152" s="29"/>
      <c r="AV152" s="29"/>
      <c r="AW152" s="29"/>
      <c r="AX152" s="37"/>
      <c r="AY152" s="39" t="str">
        <f aca="false">IF(AU152&lt;&gt;"Yes","",IF(AV152="","SELECT RE-ENTRY STAGE","MOVE TO ACTIVE at "&amp;AV152))</f>
        <v/>
      </c>
      <c r="AZ152" s="40" t="str">
        <f aca="false">IF(AU152="Yes",COUNTIF($AU$6:AU152,"Yes"),"")</f>
        <v/>
      </c>
      <c r="BA152" s="29"/>
      <c r="BB152" s="38" t="str">
        <f aca="false">IF($C152="","",IF(OR(F152="Completed",F152="Cancelled"),"",IF(AND(OR(F152="On Hold",ISNUMBER(VALUE(LEFT(H152,2)))),BA152=""),"Reason not given","")))</f>
        <v/>
      </c>
      <c r="BC152" s="30"/>
    </row>
    <row r="153" customFormat="false" ht="19.5" hidden="false" customHeight="true" outlineLevel="0" collapsed="false">
      <c r="A153" s="28" t="str">
        <f aca="false">IF($C153="","",COUNTA($C$6:$C153))</f>
        <v/>
      </c>
      <c r="B153" s="29"/>
      <c r="C153" s="30"/>
      <c r="D153" s="29"/>
      <c r="E153" s="31" t="str">
        <f aca="false">IF($C153="","",IF(NOT(OR(M153="Completed",M153="NA",M153="Cancelled")),"S1 Schematic",IF(NOT(OR(R153="Completed",R153="NA",R153="Cancelled")),"S2 PCB Layout",IF(NOT(OR(W153="Completed",W153="NA",W153="Cancelled")),"S3 SI &amp; PI",IF(NOT(OR(AB153="Completed",AB153="NA",AB153="Cancelled")),"S4 Bare-PCB Fab",IF(NOT(OR(AG153="Completed",AG153="NA",AG153="Cancelled")),"S5 Assembly",IF(NOT(OR(AL153="Completed",AL153="NA",AL153="Cancelled")),"S6 Bring-up",IF(NOT(OR(AQ153="Completed",AQ153="NA",AQ153="Cancelled")),"S7 BOM Procurement","All Stages Closed"))))))))</f>
        <v/>
      </c>
      <c r="F153" s="32" t="str">
        <f aca="false">IF($C153="","",IF(COUNTIF(M153,"Cancelled")+COUNTIF(R153,"Cancelled")+COUNTIF(W153,"Cancelled")+COUNTIF(AB153,"Cancelled")+COUNTIF(AG153,"Cancelled")+COUNTIF(AL153,"Cancelled")+COUNTIF(AQ153,"Cancelled")&gt;0,"Cancelled",IF(E153="All Stages Closed","Completed",IF(E153="S1 Schematic",M153,IF(E153="S2 PCB Layout",R153,IF(E153="S3 SI &amp; PI",W153,IF(E153="S4 Bare-PCB Fab",AB153,IF(E153="S5 Assembly",AG153,IF(E153="S6 Bring-up",AL153,AQ153)))))))))</f>
        <v/>
      </c>
      <c r="G153" s="33" t="str">
        <f aca="false">IF($C153="","",IF(E153="All Stages Closed","",IF(E153="S1 Schematic",IF(N153="","Not added",N153),IF(E153="S2 PCB Layout",IF(S153="","Not added",S153),IF(E153="S3 SI &amp; PI",IF(X153="","Not added",X153),IF(E153="S4 Bare-PCB Fab",IF(AC153="","Not added",AC153),IF(E153="S5 Assembly",IF(AH153="","Not added",AH153),IF(E153="S6 Bring-up",IF(AM153="","Not added",AM153),IF(AR153="","Not added",AR153)))))))))</f>
        <v/>
      </c>
      <c r="H153" s="32" t="str">
        <f aca="true">IF($C153="","",IF(OR(F153="Completed",F153="Cancelled"),"",IF(NOT(ISNUMBER(G153)),"No date set",IF(TODAY()&gt;G153,TODAY()-G153&amp;" days late",G153-TODAY()&amp;" days left"))))</f>
        <v/>
      </c>
      <c r="I153" s="31" t="str">
        <f aca="false">IF($C153="","",COUNTIF(M153,"Completed")+COUNTIF(R153,"Completed")+COUNTIF(W153,"Completed")+COUNTIF(AB153,"Completed")+COUNTIF(AG153,"Completed")+COUNTIF(AL153,"Completed")+COUNTIF(AQ153,"Completed"))</f>
        <v/>
      </c>
      <c r="J153" s="31" t="str">
        <f aca="false">IF($C153="","",7-(COUNTIF(M153,"NA")+COUNTIF(R153,"NA")+COUNTIF(W153,"NA")+COUNTIF(AB153,"NA")+COUNTIF(AG153,"NA")+COUNTIF(AL153,"NA")+COUNTIF(AQ153,"NA")))</f>
        <v/>
      </c>
      <c r="K153" s="34" t="str">
        <f aca="false">IFERROR(I153/J153,"")</f>
        <v/>
      </c>
      <c r="L153" s="29"/>
      <c r="M153" s="35"/>
      <c r="N153" s="36"/>
      <c r="O153" s="36"/>
      <c r="P153" s="30"/>
      <c r="Q153" s="29"/>
      <c r="R153" s="35"/>
      <c r="S153" s="36"/>
      <c r="T153" s="36"/>
      <c r="U153" s="30"/>
      <c r="V153" s="29"/>
      <c r="W153" s="35"/>
      <c r="X153" s="36"/>
      <c r="Y153" s="36"/>
      <c r="Z153" s="30"/>
      <c r="AA153" s="29"/>
      <c r="AB153" s="35"/>
      <c r="AC153" s="36"/>
      <c r="AD153" s="36"/>
      <c r="AE153" s="30"/>
      <c r="AF153" s="29"/>
      <c r="AG153" s="35"/>
      <c r="AH153" s="36"/>
      <c r="AI153" s="36"/>
      <c r="AJ153" s="30"/>
      <c r="AK153" s="29"/>
      <c r="AL153" s="35"/>
      <c r="AM153" s="36"/>
      <c r="AN153" s="36"/>
      <c r="AO153" s="30"/>
      <c r="AP153" s="29"/>
      <c r="AQ153" s="35"/>
      <c r="AR153" s="36"/>
      <c r="AS153" s="36"/>
      <c r="AT153" s="30"/>
      <c r="AU153" s="29"/>
      <c r="AV153" s="29"/>
      <c r="AW153" s="29"/>
      <c r="AX153" s="37"/>
      <c r="AY153" s="39" t="str">
        <f aca="false">IF(AU153&lt;&gt;"Yes","",IF(AV153="","SELECT RE-ENTRY STAGE","MOVE TO ACTIVE at "&amp;AV153))</f>
        <v/>
      </c>
      <c r="AZ153" s="40" t="str">
        <f aca="false">IF(AU153="Yes",COUNTIF($AU$6:AU153,"Yes"),"")</f>
        <v/>
      </c>
      <c r="BA153" s="29"/>
      <c r="BB153" s="38" t="str">
        <f aca="false">IF($C153="","",IF(OR(F153="Completed",F153="Cancelled"),"",IF(AND(OR(F153="On Hold",ISNUMBER(VALUE(LEFT(H153,2)))),BA153=""),"Reason not given","")))</f>
        <v/>
      </c>
      <c r="BC153" s="30"/>
    </row>
    <row r="154" customFormat="false" ht="19.5" hidden="false" customHeight="true" outlineLevel="0" collapsed="false">
      <c r="A154" s="28" t="str">
        <f aca="false">IF($C154="","",COUNTA($C$6:$C154))</f>
        <v/>
      </c>
      <c r="B154" s="29"/>
      <c r="C154" s="30"/>
      <c r="D154" s="29"/>
      <c r="E154" s="31" t="str">
        <f aca="false">IF($C154="","",IF(NOT(OR(M154="Completed",M154="NA",M154="Cancelled")),"S1 Schematic",IF(NOT(OR(R154="Completed",R154="NA",R154="Cancelled")),"S2 PCB Layout",IF(NOT(OR(W154="Completed",W154="NA",W154="Cancelled")),"S3 SI &amp; PI",IF(NOT(OR(AB154="Completed",AB154="NA",AB154="Cancelled")),"S4 Bare-PCB Fab",IF(NOT(OR(AG154="Completed",AG154="NA",AG154="Cancelled")),"S5 Assembly",IF(NOT(OR(AL154="Completed",AL154="NA",AL154="Cancelled")),"S6 Bring-up",IF(NOT(OR(AQ154="Completed",AQ154="NA",AQ154="Cancelled")),"S7 BOM Procurement","All Stages Closed"))))))))</f>
        <v/>
      </c>
      <c r="F154" s="32" t="str">
        <f aca="false">IF($C154="","",IF(COUNTIF(M154,"Cancelled")+COUNTIF(R154,"Cancelled")+COUNTIF(W154,"Cancelled")+COUNTIF(AB154,"Cancelled")+COUNTIF(AG154,"Cancelled")+COUNTIF(AL154,"Cancelled")+COUNTIF(AQ154,"Cancelled")&gt;0,"Cancelled",IF(E154="All Stages Closed","Completed",IF(E154="S1 Schematic",M154,IF(E154="S2 PCB Layout",R154,IF(E154="S3 SI &amp; PI",W154,IF(E154="S4 Bare-PCB Fab",AB154,IF(E154="S5 Assembly",AG154,IF(E154="S6 Bring-up",AL154,AQ154)))))))))</f>
        <v/>
      </c>
      <c r="G154" s="33" t="str">
        <f aca="false">IF($C154="","",IF(E154="All Stages Closed","",IF(E154="S1 Schematic",IF(N154="","Not added",N154),IF(E154="S2 PCB Layout",IF(S154="","Not added",S154),IF(E154="S3 SI &amp; PI",IF(X154="","Not added",X154),IF(E154="S4 Bare-PCB Fab",IF(AC154="","Not added",AC154),IF(E154="S5 Assembly",IF(AH154="","Not added",AH154),IF(E154="S6 Bring-up",IF(AM154="","Not added",AM154),IF(AR154="","Not added",AR154)))))))))</f>
        <v/>
      </c>
      <c r="H154" s="32" t="str">
        <f aca="true">IF($C154="","",IF(OR(F154="Completed",F154="Cancelled"),"",IF(NOT(ISNUMBER(G154)),"No date set",IF(TODAY()&gt;G154,TODAY()-G154&amp;" days late",G154-TODAY()&amp;" days left"))))</f>
        <v/>
      </c>
      <c r="I154" s="31" t="str">
        <f aca="false">IF($C154="","",COUNTIF(M154,"Completed")+COUNTIF(R154,"Completed")+COUNTIF(W154,"Completed")+COUNTIF(AB154,"Completed")+COUNTIF(AG154,"Completed")+COUNTIF(AL154,"Completed")+COUNTIF(AQ154,"Completed"))</f>
        <v/>
      </c>
      <c r="J154" s="31" t="str">
        <f aca="false">IF($C154="","",7-(COUNTIF(M154,"NA")+COUNTIF(R154,"NA")+COUNTIF(W154,"NA")+COUNTIF(AB154,"NA")+COUNTIF(AG154,"NA")+COUNTIF(AL154,"NA")+COUNTIF(AQ154,"NA")))</f>
        <v/>
      </c>
      <c r="K154" s="34" t="str">
        <f aca="false">IFERROR(I154/J154,"")</f>
        <v/>
      </c>
      <c r="L154" s="29"/>
      <c r="M154" s="35"/>
      <c r="N154" s="36"/>
      <c r="O154" s="36"/>
      <c r="P154" s="30"/>
      <c r="Q154" s="29"/>
      <c r="R154" s="35"/>
      <c r="S154" s="36"/>
      <c r="T154" s="36"/>
      <c r="U154" s="30"/>
      <c r="V154" s="29"/>
      <c r="W154" s="35"/>
      <c r="X154" s="36"/>
      <c r="Y154" s="36"/>
      <c r="Z154" s="30"/>
      <c r="AA154" s="29"/>
      <c r="AB154" s="35"/>
      <c r="AC154" s="36"/>
      <c r="AD154" s="36"/>
      <c r="AE154" s="30"/>
      <c r="AF154" s="29"/>
      <c r="AG154" s="35"/>
      <c r="AH154" s="36"/>
      <c r="AI154" s="36"/>
      <c r="AJ154" s="30"/>
      <c r="AK154" s="29"/>
      <c r="AL154" s="35"/>
      <c r="AM154" s="36"/>
      <c r="AN154" s="36"/>
      <c r="AO154" s="30"/>
      <c r="AP154" s="29"/>
      <c r="AQ154" s="35"/>
      <c r="AR154" s="36"/>
      <c r="AS154" s="36"/>
      <c r="AT154" s="30"/>
      <c r="AU154" s="29"/>
      <c r="AV154" s="29"/>
      <c r="AW154" s="29"/>
      <c r="AX154" s="37"/>
      <c r="AY154" s="39" t="str">
        <f aca="false">IF(AU154&lt;&gt;"Yes","",IF(AV154="","SELECT RE-ENTRY STAGE","MOVE TO ACTIVE at "&amp;AV154))</f>
        <v/>
      </c>
      <c r="AZ154" s="40" t="str">
        <f aca="false">IF(AU154="Yes",COUNTIF($AU$6:AU154,"Yes"),"")</f>
        <v/>
      </c>
      <c r="BA154" s="29"/>
      <c r="BB154" s="38" t="str">
        <f aca="false">IF($C154="","",IF(OR(F154="Completed",F154="Cancelled"),"",IF(AND(OR(F154="On Hold",ISNUMBER(VALUE(LEFT(H154,2)))),BA154=""),"Reason not given","")))</f>
        <v/>
      </c>
      <c r="BC154" s="30"/>
    </row>
    <row r="155" customFormat="false" ht="19.5" hidden="false" customHeight="true" outlineLevel="0" collapsed="false">
      <c r="A155" s="28" t="str">
        <f aca="false">IF($C155="","",COUNTA($C$6:$C155))</f>
        <v/>
      </c>
      <c r="B155" s="29"/>
      <c r="C155" s="30"/>
      <c r="D155" s="29"/>
      <c r="E155" s="31" t="str">
        <f aca="false">IF($C155="","",IF(NOT(OR(M155="Completed",M155="NA",M155="Cancelled")),"S1 Schematic",IF(NOT(OR(R155="Completed",R155="NA",R155="Cancelled")),"S2 PCB Layout",IF(NOT(OR(W155="Completed",W155="NA",W155="Cancelled")),"S3 SI &amp; PI",IF(NOT(OR(AB155="Completed",AB155="NA",AB155="Cancelled")),"S4 Bare-PCB Fab",IF(NOT(OR(AG155="Completed",AG155="NA",AG155="Cancelled")),"S5 Assembly",IF(NOT(OR(AL155="Completed",AL155="NA",AL155="Cancelled")),"S6 Bring-up",IF(NOT(OR(AQ155="Completed",AQ155="NA",AQ155="Cancelled")),"S7 BOM Procurement","All Stages Closed"))))))))</f>
        <v/>
      </c>
      <c r="F155" s="32" t="str">
        <f aca="false">IF($C155="","",IF(COUNTIF(M155,"Cancelled")+COUNTIF(R155,"Cancelled")+COUNTIF(W155,"Cancelled")+COUNTIF(AB155,"Cancelled")+COUNTIF(AG155,"Cancelled")+COUNTIF(AL155,"Cancelled")+COUNTIF(AQ155,"Cancelled")&gt;0,"Cancelled",IF(E155="All Stages Closed","Completed",IF(E155="S1 Schematic",M155,IF(E155="S2 PCB Layout",R155,IF(E155="S3 SI &amp; PI",W155,IF(E155="S4 Bare-PCB Fab",AB155,IF(E155="S5 Assembly",AG155,IF(E155="S6 Bring-up",AL155,AQ155)))))))))</f>
        <v/>
      </c>
      <c r="G155" s="33" t="str">
        <f aca="false">IF($C155="","",IF(E155="All Stages Closed","",IF(E155="S1 Schematic",IF(N155="","Not added",N155),IF(E155="S2 PCB Layout",IF(S155="","Not added",S155),IF(E155="S3 SI &amp; PI",IF(X155="","Not added",X155),IF(E155="S4 Bare-PCB Fab",IF(AC155="","Not added",AC155),IF(E155="S5 Assembly",IF(AH155="","Not added",AH155),IF(E155="S6 Bring-up",IF(AM155="","Not added",AM155),IF(AR155="","Not added",AR155)))))))))</f>
        <v/>
      </c>
      <c r="H155" s="32" t="str">
        <f aca="true">IF($C155="","",IF(OR(F155="Completed",F155="Cancelled"),"",IF(NOT(ISNUMBER(G155)),"No date set",IF(TODAY()&gt;G155,TODAY()-G155&amp;" days late",G155-TODAY()&amp;" days left"))))</f>
        <v/>
      </c>
      <c r="I155" s="31" t="str">
        <f aca="false">IF($C155="","",COUNTIF(M155,"Completed")+COUNTIF(R155,"Completed")+COUNTIF(W155,"Completed")+COUNTIF(AB155,"Completed")+COUNTIF(AG155,"Completed")+COUNTIF(AL155,"Completed")+COUNTIF(AQ155,"Completed"))</f>
        <v/>
      </c>
      <c r="J155" s="31" t="str">
        <f aca="false">IF($C155="","",7-(COUNTIF(M155,"NA")+COUNTIF(R155,"NA")+COUNTIF(W155,"NA")+COUNTIF(AB155,"NA")+COUNTIF(AG155,"NA")+COUNTIF(AL155,"NA")+COUNTIF(AQ155,"NA")))</f>
        <v/>
      </c>
      <c r="K155" s="34" t="str">
        <f aca="false">IFERROR(I155/J155,"")</f>
        <v/>
      </c>
      <c r="L155" s="29"/>
      <c r="M155" s="35"/>
      <c r="N155" s="36"/>
      <c r="O155" s="36"/>
      <c r="P155" s="30"/>
      <c r="Q155" s="29"/>
      <c r="R155" s="35"/>
      <c r="S155" s="36"/>
      <c r="T155" s="36"/>
      <c r="U155" s="30"/>
      <c r="V155" s="29"/>
      <c r="W155" s="35"/>
      <c r="X155" s="36"/>
      <c r="Y155" s="36"/>
      <c r="Z155" s="30"/>
      <c r="AA155" s="29"/>
      <c r="AB155" s="35"/>
      <c r="AC155" s="36"/>
      <c r="AD155" s="36"/>
      <c r="AE155" s="30"/>
      <c r="AF155" s="29"/>
      <c r="AG155" s="35"/>
      <c r="AH155" s="36"/>
      <c r="AI155" s="36"/>
      <c r="AJ155" s="30"/>
      <c r="AK155" s="29"/>
      <c r="AL155" s="35"/>
      <c r="AM155" s="36"/>
      <c r="AN155" s="36"/>
      <c r="AO155" s="30"/>
      <c r="AP155" s="29"/>
      <c r="AQ155" s="35"/>
      <c r="AR155" s="36"/>
      <c r="AS155" s="36"/>
      <c r="AT155" s="30"/>
      <c r="AU155" s="29"/>
      <c r="AV155" s="29"/>
      <c r="AW155" s="29"/>
      <c r="AX155" s="37"/>
      <c r="AY155" s="39" t="str">
        <f aca="false">IF(AU155&lt;&gt;"Yes","",IF(AV155="","SELECT RE-ENTRY STAGE","MOVE TO ACTIVE at "&amp;AV155))</f>
        <v/>
      </c>
      <c r="AZ155" s="40" t="str">
        <f aca="false">IF(AU155="Yes",COUNTIF($AU$6:AU155,"Yes"),"")</f>
        <v/>
      </c>
      <c r="BA155" s="29"/>
      <c r="BB155" s="38" t="str">
        <f aca="false">IF($C155="","",IF(OR(F155="Completed",F155="Cancelled"),"",IF(AND(OR(F155="On Hold",ISNUMBER(VALUE(LEFT(H155,2)))),BA155=""),"Reason not given","")))</f>
        <v/>
      </c>
      <c r="BC155" s="30"/>
    </row>
    <row r="156" customFormat="false" ht="19.5" hidden="false" customHeight="true" outlineLevel="0" collapsed="false">
      <c r="A156" s="28" t="str">
        <f aca="false">IF($C156="","",COUNTA($C$6:$C156))</f>
        <v/>
      </c>
      <c r="B156" s="29"/>
      <c r="C156" s="30"/>
      <c r="D156" s="29"/>
      <c r="E156" s="31" t="str">
        <f aca="false">IF($C156="","",IF(NOT(OR(M156="Completed",M156="NA",M156="Cancelled")),"S1 Schematic",IF(NOT(OR(R156="Completed",R156="NA",R156="Cancelled")),"S2 PCB Layout",IF(NOT(OR(W156="Completed",W156="NA",W156="Cancelled")),"S3 SI &amp; PI",IF(NOT(OR(AB156="Completed",AB156="NA",AB156="Cancelled")),"S4 Bare-PCB Fab",IF(NOT(OR(AG156="Completed",AG156="NA",AG156="Cancelled")),"S5 Assembly",IF(NOT(OR(AL156="Completed",AL156="NA",AL156="Cancelled")),"S6 Bring-up",IF(NOT(OR(AQ156="Completed",AQ156="NA",AQ156="Cancelled")),"S7 BOM Procurement","All Stages Closed"))))))))</f>
        <v/>
      </c>
      <c r="F156" s="32" t="str">
        <f aca="false">IF($C156="","",IF(COUNTIF(M156,"Cancelled")+COUNTIF(R156,"Cancelled")+COUNTIF(W156,"Cancelled")+COUNTIF(AB156,"Cancelled")+COUNTIF(AG156,"Cancelled")+COUNTIF(AL156,"Cancelled")+COUNTIF(AQ156,"Cancelled")&gt;0,"Cancelled",IF(E156="All Stages Closed","Completed",IF(E156="S1 Schematic",M156,IF(E156="S2 PCB Layout",R156,IF(E156="S3 SI &amp; PI",W156,IF(E156="S4 Bare-PCB Fab",AB156,IF(E156="S5 Assembly",AG156,IF(E156="S6 Bring-up",AL156,AQ156)))))))))</f>
        <v/>
      </c>
      <c r="G156" s="33" t="str">
        <f aca="false">IF($C156="","",IF(E156="All Stages Closed","",IF(E156="S1 Schematic",IF(N156="","Not added",N156),IF(E156="S2 PCB Layout",IF(S156="","Not added",S156),IF(E156="S3 SI &amp; PI",IF(X156="","Not added",X156),IF(E156="S4 Bare-PCB Fab",IF(AC156="","Not added",AC156),IF(E156="S5 Assembly",IF(AH156="","Not added",AH156),IF(E156="S6 Bring-up",IF(AM156="","Not added",AM156),IF(AR156="","Not added",AR156)))))))))</f>
        <v/>
      </c>
      <c r="H156" s="32" t="str">
        <f aca="true">IF($C156="","",IF(OR(F156="Completed",F156="Cancelled"),"",IF(NOT(ISNUMBER(G156)),"No date set",IF(TODAY()&gt;G156,TODAY()-G156&amp;" days late",G156-TODAY()&amp;" days left"))))</f>
        <v/>
      </c>
      <c r="I156" s="31" t="str">
        <f aca="false">IF($C156="","",COUNTIF(M156,"Completed")+COUNTIF(R156,"Completed")+COUNTIF(W156,"Completed")+COUNTIF(AB156,"Completed")+COUNTIF(AG156,"Completed")+COUNTIF(AL156,"Completed")+COUNTIF(AQ156,"Completed"))</f>
        <v/>
      </c>
      <c r="J156" s="31" t="str">
        <f aca="false">IF($C156="","",7-(COUNTIF(M156,"NA")+COUNTIF(R156,"NA")+COUNTIF(W156,"NA")+COUNTIF(AB156,"NA")+COUNTIF(AG156,"NA")+COUNTIF(AL156,"NA")+COUNTIF(AQ156,"NA")))</f>
        <v/>
      </c>
      <c r="K156" s="34" t="str">
        <f aca="false">IFERROR(I156/J156,"")</f>
        <v/>
      </c>
      <c r="L156" s="29"/>
      <c r="M156" s="35"/>
      <c r="N156" s="36"/>
      <c r="O156" s="36"/>
      <c r="P156" s="30"/>
      <c r="Q156" s="29"/>
      <c r="R156" s="35"/>
      <c r="S156" s="36"/>
      <c r="T156" s="36"/>
      <c r="U156" s="30"/>
      <c r="V156" s="29"/>
      <c r="W156" s="35"/>
      <c r="X156" s="36"/>
      <c r="Y156" s="36"/>
      <c r="Z156" s="30"/>
      <c r="AA156" s="29"/>
      <c r="AB156" s="35"/>
      <c r="AC156" s="36"/>
      <c r="AD156" s="36"/>
      <c r="AE156" s="30"/>
      <c r="AF156" s="29"/>
      <c r="AG156" s="35"/>
      <c r="AH156" s="36"/>
      <c r="AI156" s="36"/>
      <c r="AJ156" s="30"/>
      <c r="AK156" s="29"/>
      <c r="AL156" s="35"/>
      <c r="AM156" s="36"/>
      <c r="AN156" s="36"/>
      <c r="AO156" s="30"/>
      <c r="AP156" s="29"/>
      <c r="AQ156" s="35"/>
      <c r="AR156" s="36"/>
      <c r="AS156" s="36"/>
      <c r="AT156" s="30"/>
      <c r="AU156" s="29"/>
      <c r="AV156" s="29"/>
      <c r="AW156" s="29"/>
      <c r="AX156" s="37"/>
      <c r="AY156" s="39" t="str">
        <f aca="false">IF(AU156&lt;&gt;"Yes","",IF(AV156="","SELECT RE-ENTRY STAGE","MOVE TO ACTIVE at "&amp;AV156))</f>
        <v/>
      </c>
      <c r="AZ156" s="40" t="str">
        <f aca="false">IF(AU156="Yes",COUNTIF($AU$6:AU156,"Yes"),"")</f>
        <v/>
      </c>
      <c r="BA156" s="29"/>
      <c r="BB156" s="38" t="str">
        <f aca="false">IF($C156="","",IF(OR(F156="Completed",F156="Cancelled"),"",IF(AND(OR(F156="On Hold",ISNUMBER(VALUE(LEFT(H156,2)))),BA156=""),"Reason not given","")))</f>
        <v/>
      </c>
      <c r="BC156" s="30"/>
    </row>
    <row r="157" customFormat="false" ht="19.5" hidden="false" customHeight="true" outlineLevel="0" collapsed="false">
      <c r="A157" s="28" t="str">
        <f aca="false">IF($C157="","",COUNTA($C$6:$C157))</f>
        <v/>
      </c>
      <c r="B157" s="29"/>
      <c r="C157" s="30"/>
      <c r="D157" s="29"/>
      <c r="E157" s="31" t="str">
        <f aca="false">IF($C157="","",IF(NOT(OR(M157="Completed",M157="NA",M157="Cancelled")),"S1 Schematic",IF(NOT(OR(R157="Completed",R157="NA",R157="Cancelled")),"S2 PCB Layout",IF(NOT(OR(W157="Completed",W157="NA",W157="Cancelled")),"S3 SI &amp; PI",IF(NOT(OR(AB157="Completed",AB157="NA",AB157="Cancelled")),"S4 Bare-PCB Fab",IF(NOT(OR(AG157="Completed",AG157="NA",AG157="Cancelled")),"S5 Assembly",IF(NOT(OR(AL157="Completed",AL157="NA",AL157="Cancelled")),"S6 Bring-up",IF(NOT(OR(AQ157="Completed",AQ157="NA",AQ157="Cancelled")),"S7 BOM Procurement","All Stages Closed"))))))))</f>
        <v/>
      </c>
      <c r="F157" s="32" t="str">
        <f aca="false">IF($C157="","",IF(COUNTIF(M157,"Cancelled")+COUNTIF(R157,"Cancelled")+COUNTIF(W157,"Cancelled")+COUNTIF(AB157,"Cancelled")+COUNTIF(AG157,"Cancelled")+COUNTIF(AL157,"Cancelled")+COUNTIF(AQ157,"Cancelled")&gt;0,"Cancelled",IF(E157="All Stages Closed","Completed",IF(E157="S1 Schematic",M157,IF(E157="S2 PCB Layout",R157,IF(E157="S3 SI &amp; PI",W157,IF(E157="S4 Bare-PCB Fab",AB157,IF(E157="S5 Assembly",AG157,IF(E157="S6 Bring-up",AL157,AQ157)))))))))</f>
        <v/>
      </c>
      <c r="G157" s="33" t="str">
        <f aca="false">IF($C157="","",IF(E157="All Stages Closed","",IF(E157="S1 Schematic",IF(N157="","Not added",N157),IF(E157="S2 PCB Layout",IF(S157="","Not added",S157),IF(E157="S3 SI &amp; PI",IF(X157="","Not added",X157),IF(E157="S4 Bare-PCB Fab",IF(AC157="","Not added",AC157),IF(E157="S5 Assembly",IF(AH157="","Not added",AH157),IF(E157="S6 Bring-up",IF(AM157="","Not added",AM157),IF(AR157="","Not added",AR157)))))))))</f>
        <v/>
      </c>
      <c r="H157" s="32" t="str">
        <f aca="true">IF($C157="","",IF(OR(F157="Completed",F157="Cancelled"),"",IF(NOT(ISNUMBER(G157)),"No date set",IF(TODAY()&gt;G157,TODAY()-G157&amp;" days late",G157-TODAY()&amp;" days left"))))</f>
        <v/>
      </c>
      <c r="I157" s="31" t="str">
        <f aca="false">IF($C157="","",COUNTIF(M157,"Completed")+COUNTIF(R157,"Completed")+COUNTIF(W157,"Completed")+COUNTIF(AB157,"Completed")+COUNTIF(AG157,"Completed")+COUNTIF(AL157,"Completed")+COUNTIF(AQ157,"Completed"))</f>
        <v/>
      </c>
      <c r="J157" s="31" t="str">
        <f aca="false">IF($C157="","",7-(COUNTIF(M157,"NA")+COUNTIF(R157,"NA")+COUNTIF(W157,"NA")+COUNTIF(AB157,"NA")+COUNTIF(AG157,"NA")+COUNTIF(AL157,"NA")+COUNTIF(AQ157,"NA")))</f>
        <v/>
      </c>
      <c r="K157" s="34" t="str">
        <f aca="false">IFERROR(I157/J157,"")</f>
        <v/>
      </c>
      <c r="L157" s="29"/>
      <c r="M157" s="35"/>
      <c r="N157" s="36"/>
      <c r="O157" s="36"/>
      <c r="P157" s="30"/>
      <c r="Q157" s="29"/>
      <c r="R157" s="35"/>
      <c r="S157" s="36"/>
      <c r="T157" s="36"/>
      <c r="U157" s="30"/>
      <c r="V157" s="29"/>
      <c r="W157" s="35"/>
      <c r="X157" s="36"/>
      <c r="Y157" s="36"/>
      <c r="Z157" s="30"/>
      <c r="AA157" s="29"/>
      <c r="AB157" s="35"/>
      <c r="AC157" s="36"/>
      <c r="AD157" s="36"/>
      <c r="AE157" s="30"/>
      <c r="AF157" s="29"/>
      <c r="AG157" s="35"/>
      <c r="AH157" s="36"/>
      <c r="AI157" s="36"/>
      <c r="AJ157" s="30"/>
      <c r="AK157" s="29"/>
      <c r="AL157" s="35"/>
      <c r="AM157" s="36"/>
      <c r="AN157" s="36"/>
      <c r="AO157" s="30"/>
      <c r="AP157" s="29"/>
      <c r="AQ157" s="35"/>
      <c r="AR157" s="36"/>
      <c r="AS157" s="36"/>
      <c r="AT157" s="30"/>
      <c r="AU157" s="29"/>
      <c r="AV157" s="29"/>
      <c r="AW157" s="29"/>
      <c r="AX157" s="37"/>
      <c r="AY157" s="39" t="str">
        <f aca="false">IF(AU157&lt;&gt;"Yes","",IF(AV157="","SELECT RE-ENTRY STAGE","MOVE TO ACTIVE at "&amp;AV157))</f>
        <v/>
      </c>
      <c r="AZ157" s="40" t="str">
        <f aca="false">IF(AU157="Yes",COUNTIF($AU$6:AU157,"Yes"),"")</f>
        <v/>
      </c>
      <c r="BA157" s="29"/>
      <c r="BB157" s="38" t="str">
        <f aca="false">IF($C157="","",IF(OR(F157="Completed",F157="Cancelled"),"",IF(AND(OR(F157="On Hold",ISNUMBER(VALUE(LEFT(H157,2)))),BA157=""),"Reason not given","")))</f>
        <v/>
      </c>
      <c r="BC157" s="30"/>
    </row>
    <row r="158" customFormat="false" ht="19.5" hidden="false" customHeight="true" outlineLevel="0" collapsed="false">
      <c r="A158" s="28" t="str">
        <f aca="false">IF($C158="","",COUNTA($C$6:$C158))</f>
        <v/>
      </c>
      <c r="B158" s="29"/>
      <c r="C158" s="30"/>
      <c r="D158" s="29"/>
      <c r="E158" s="31" t="str">
        <f aca="false">IF($C158="","",IF(NOT(OR(M158="Completed",M158="NA",M158="Cancelled")),"S1 Schematic",IF(NOT(OR(R158="Completed",R158="NA",R158="Cancelled")),"S2 PCB Layout",IF(NOT(OR(W158="Completed",W158="NA",W158="Cancelled")),"S3 SI &amp; PI",IF(NOT(OR(AB158="Completed",AB158="NA",AB158="Cancelled")),"S4 Bare-PCB Fab",IF(NOT(OR(AG158="Completed",AG158="NA",AG158="Cancelled")),"S5 Assembly",IF(NOT(OR(AL158="Completed",AL158="NA",AL158="Cancelled")),"S6 Bring-up",IF(NOT(OR(AQ158="Completed",AQ158="NA",AQ158="Cancelled")),"S7 BOM Procurement","All Stages Closed"))))))))</f>
        <v/>
      </c>
      <c r="F158" s="32" t="str">
        <f aca="false">IF($C158="","",IF(COUNTIF(M158,"Cancelled")+COUNTIF(R158,"Cancelled")+COUNTIF(W158,"Cancelled")+COUNTIF(AB158,"Cancelled")+COUNTIF(AG158,"Cancelled")+COUNTIF(AL158,"Cancelled")+COUNTIF(AQ158,"Cancelled")&gt;0,"Cancelled",IF(E158="All Stages Closed","Completed",IF(E158="S1 Schematic",M158,IF(E158="S2 PCB Layout",R158,IF(E158="S3 SI &amp; PI",W158,IF(E158="S4 Bare-PCB Fab",AB158,IF(E158="S5 Assembly",AG158,IF(E158="S6 Bring-up",AL158,AQ158)))))))))</f>
        <v/>
      </c>
      <c r="G158" s="33" t="str">
        <f aca="false">IF($C158="","",IF(E158="All Stages Closed","",IF(E158="S1 Schematic",IF(N158="","Not added",N158),IF(E158="S2 PCB Layout",IF(S158="","Not added",S158),IF(E158="S3 SI &amp; PI",IF(X158="","Not added",X158),IF(E158="S4 Bare-PCB Fab",IF(AC158="","Not added",AC158),IF(E158="S5 Assembly",IF(AH158="","Not added",AH158),IF(E158="S6 Bring-up",IF(AM158="","Not added",AM158),IF(AR158="","Not added",AR158)))))))))</f>
        <v/>
      </c>
      <c r="H158" s="32" t="str">
        <f aca="true">IF($C158="","",IF(OR(F158="Completed",F158="Cancelled"),"",IF(NOT(ISNUMBER(G158)),"No date set",IF(TODAY()&gt;G158,TODAY()-G158&amp;" days late",G158-TODAY()&amp;" days left"))))</f>
        <v/>
      </c>
      <c r="I158" s="31" t="str">
        <f aca="false">IF($C158="","",COUNTIF(M158,"Completed")+COUNTIF(R158,"Completed")+COUNTIF(W158,"Completed")+COUNTIF(AB158,"Completed")+COUNTIF(AG158,"Completed")+COUNTIF(AL158,"Completed")+COUNTIF(AQ158,"Completed"))</f>
        <v/>
      </c>
      <c r="J158" s="31" t="str">
        <f aca="false">IF($C158="","",7-(COUNTIF(M158,"NA")+COUNTIF(R158,"NA")+COUNTIF(W158,"NA")+COUNTIF(AB158,"NA")+COUNTIF(AG158,"NA")+COUNTIF(AL158,"NA")+COUNTIF(AQ158,"NA")))</f>
        <v/>
      </c>
      <c r="K158" s="34" t="str">
        <f aca="false">IFERROR(I158/J158,"")</f>
        <v/>
      </c>
      <c r="L158" s="29"/>
      <c r="M158" s="35"/>
      <c r="N158" s="36"/>
      <c r="O158" s="36"/>
      <c r="P158" s="30"/>
      <c r="Q158" s="29"/>
      <c r="R158" s="35"/>
      <c r="S158" s="36"/>
      <c r="T158" s="36"/>
      <c r="U158" s="30"/>
      <c r="V158" s="29"/>
      <c r="W158" s="35"/>
      <c r="X158" s="36"/>
      <c r="Y158" s="36"/>
      <c r="Z158" s="30"/>
      <c r="AA158" s="29"/>
      <c r="AB158" s="35"/>
      <c r="AC158" s="36"/>
      <c r="AD158" s="36"/>
      <c r="AE158" s="30"/>
      <c r="AF158" s="29"/>
      <c r="AG158" s="35"/>
      <c r="AH158" s="36"/>
      <c r="AI158" s="36"/>
      <c r="AJ158" s="30"/>
      <c r="AK158" s="29"/>
      <c r="AL158" s="35"/>
      <c r="AM158" s="36"/>
      <c r="AN158" s="36"/>
      <c r="AO158" s="30"/>
      <c r="AP158" s="29"/>
      <c r="AQ158" s="35"/>
      <c r="AR158" s="36"/>
      <c r="AS158" s="36"/>
      <c r="AT158" s="30"/>
      <c r="AU158" s="29"/>
      <c r="AV158" s="29"/>
      <c r="AW158" s="29"/>
      <c r="AX158" s="37"/>
      <c r="AY158" s="39" t="str">
        <f aca="false">IF(AU158&lt;&gt;"Yes","",IF(AV158="","SELECT RE-ENTRY STAGE","MOVE TO ACTIVE at "&amp;AV158))</f>
        <v/>
      </c>
      <c r="AZ158" s="40" t="str">
        <f aca="false">IF(AU158="Yes",COUNTIF($AU$6:AU158,"Yes"),"")</f>
        <v/>
      </c>
      <c r="BA158" s="29"/>
      <c r="BB158" s="38" t="str">
        <f aca="false">IF($C158="","",IF(OR(F158="Completed",F158="Cancelled"),"",IF(AND(OR(F158="On Hold",ISNUMBER(VALUE(LEFT(H158,2)))),BA158=""),"Reason not given","")))</f>
        <v/>
      </c>
      <c r="BC158" s="30"/>
    </row>
    <row r="159" customFormat="false" ht="19.5" hidden="false" customHeight="true" outlineLevel="0" collapsed="false">
      <c r="A159" s="28" t="str">
        <f aca="false">IF($C159="","",COUNTA($C$6:$C159))</f>
        <v/>
      </c>
      <c r="B159" s="29"/>
      <c r="C159" s="30"/>
      <c r="D159" s="29"/>
      <c r="E159" s="31" t="str">
        <f aca="false">IF($C159="","",IF(NOT(OR(M159="Completed",M159="NA",M159="Cancelled")),"S1 Schematic",IF(NOT(OR(R159="Completed",R159="NA",R159="Cancelled")),"S2 PCB Layout",IF(NOT(OR(W159="Completed",W159="NA",W159="Cancelled")),"S3 SI &amp; PI",IF(NOT(OR(AB159="Completed",AB159="NA",AB159="Cancelled")),"S4 Bare-PCB Fab",IF(NOT(OR(AG159="Completed",AG159="NA",AG159="Cancelled")),"S5 Assembly",IF(NOT(OR(AL159="Completed",AL159="NA",AL159="Cancelled")),"S6 Bring-up",IF(NOT(OR(AQ159="Completed",AQ159="NA",AQ159="Cancelled")),"S7 BOM Procurement","All Stages Closed"))))))))</f>
        <v/>
      </c>
      <c r="F159" s="32" t="str">
        <f aca="false">IF($C159="","",IF(COUNTIF(M159,"Cancelled")+COUNTIF(R159,"Cancelled")+COUNTIF(W159,"Cancelled")+COUNTIF(AB159,"Cancelled")+COUNTIF(AG159,"Cancelled")+COUNTIF(AL159,"Cancelled")+COUNTIF(AQ159,"Cancelled")&gt;0,"Cancelled",IF(E159="All Stages Closed","Completed",IF(E159="S1 Schematic",M159,IF(E159="S2 PCB Layout",R159,IF(E159="S3 SI &amp; PI",W159,IF(E159="S4 Bare-PCB Fab",AB159,IF(E159="S5 Assembly",AG159,IF(E159="S6 Bring-up",AL159,AQ159)))))))))</f>
        <v/>
      </c>
      <c r="G159" s="33" t="str">
        <f aca="false">IF($C159="","",IF(E159="All Stages Closed","",IF(E159="S1 Schematic",IF(N159="","Not added",N159),IF(E159="S2 PCB Layout",IF(S159="","Not added",S159),IF(E159="S3 SI &amp; PI",IF(X159="","Not added",X159),IF(E159="S4 Bare-PCB Fab",IF(AC159="","Not added",AC159),IF(E159="S5 Assembly",IF(AH159="","Not added",AH159),IF(E159="S6 Bring-up",IF(AM159="","Not added",AM159),IF(AR159="","Not added",AR159)))))))))</f>
        <v/>
      </c>
      <c r="H159" s="32" t="str">
        <f aca="true">IF($C159="","",IF(OR(F159="Completed",F159="Cancelled"),"",IF(NOT(ISNUMBER(G159)),"No date set",IF(TODAY()&gt;G159,TODAY()-G159&amp;" days late",G159-TODAY()&amp;" days left"))))</f>
        <v/>
      </c>
      <c r="I159" s="31" t="str">
        <f aca="false">IF($C159="","",COUNTIF(M159,"Completed")+COUNTIF(R159,"Completed")+COUNTIF(W159,"Completed")+COUNTIF(AB159,"Completed")+COUNTIF(AG159,"Completed")+COUNTIF(AL159,"Completed")+COUNTIF(AQ159,"Completed"))</f>
        <v/>
      </c>
      <c r="J159" s="31" t="str">
        <f aca="false">IF($C159="","",7-(COUNTIF(M159,"NA")+COUNTIF(R159,"NA")+COUNTIF(W159,"NA")+COUNTIF(AB159,"NA")+COUNTIF(AG159,"NA")+COUNTIF(AL159,"NA")+COUNTIF(AQ159,"NA")))</f>
        <v/>
      </c>
      <c r="K159" s="34" t="str">
        <f aca="false">IFERROR(I159/J159,"")</f>
        <v/>
      </c>
      <c r="L159" s="29"/>
      <c r="M159" s="35"/>
      <c r="N159" s="36"/>
      <c r="O159" s="36"/>
      <c r="P159" s="30"/>
      <c r="Q159" s="29"/>
      <c r="R159" s="35"/>
      <c r="S159" s="36"/>
      <c r="T159" s="36"/>
      <c r="U159" s="30"/>
      <c r="V159" s="29"/>
      <c r="W159" s="35"/>
      <c r="X159" s="36"/>
      <c r="Y159" s="36"/>
      <c r="Z159" s="30"/>
      <c r="AA159" s="29"/>
      <c r="AB159" s="35"/>
      <c r="AC159" s="36"/>
      <c r="AD159" s="36"/>
      <c r="AE159" s="30"/>
      <c r="AF159" s="29"/>
      <c r="AG159" s="35"/>
      <c r="AH159" s="36"/>
      <c r="AI159" s="36"/>
      <c r="AJ159" s="30"/>
      <c r="AK159" s="29"/>
      <c r="AL159" s="35"/>
      <c r="AM159" s="36"/>
      <c r="AN159" s="36"/>
      <c r="AO159" s="30"/>
      <c r="AP159" s="29"/>
      <c r="AQ159" s="35"/>
      <c r="AR159" s="36"/>
      <c r="AS159" s="36"/>
      <c r="AT159" s="30"/>
      <c r="AU159" s="29"/>
      <c r="AV159" s="29"/>
      <c r="AW159" s="29"/>
      <c r="AX159" s="37"/>
      <c r="AY159" s="39" t="str">
        <f aca="false">IF(AU159&lt;&gt;"Yes","",IF(AV159="","SELECT RE-ENTRY STAGE","MOVE TO ACTIVE at "&amp;AV159))</f>
        <v/>
      </c>
      <c r="AZ159" s="40" t="str">
        <f aca="false">IF(AU159="Yes",COUNTIF($AU$6:AU159,"Yes"),"")</f>
        <v/>
      </c>
      <c r="BA159" s="29"/>
      <c r="BB159" s="38" t="str">
        <f aca="false">IF($C159="","",IF(OR(F159="Completed",F159="Cancelled"),"",IF(AND(OR(F159="On Hold",ISNUMBER(VALUE(LEFT(H159,2)))),BA159=""),"Reason not given","")))</f>
        <v/>
      </c>
      <c r="BC159" s="30"/>
    </row>
    <row r="160" customFormat="false" ht="19.5" hidden="false" customHeight="true" outlineLevel="0" collapsed="false">
      <c r="A160" s="28" t="str">
        <f aca="false">IF($C160="","",COUNTA($C$6:$C160))</f>
        <v/>
      </c>
      <c r="B160" s="29"/>
      <c r="C160" s="30"/>
      <c r="D160" s="29"/>
      <c r="E160" s="31" t="str">
        <f aca="false">IF($C160="","",IF(NOT(OR(M160="Completed",M160="NA",M160="Cancelled")),"S1 Schematic",IF(NOT(OR(R160="Completed",R160="NA",R160="Cancelled")),"S2 PCB Layout",IF(NOT(OR(W160="Completed",W160="NA",W160="Cancelled")),"S3 SI &amp; PI",IF(NOT(OR(AB160="Completed",AB160="NA",AB160="Cancelled")),"S4 Bare-PCB Fab",IF(NOT(OR(AG160="Completed",AG160="NA",AG160="Cancelled")),"S5 Assembly",IF(NOT(OR(AL160="Completed",AL160="NA",AL160="Cancelled")),"S6 Bring-up",IF(NOT(OR(AQ160="Completed",AQ160="NA",AQ160="Cancelled")),"S7 BOM Procurement","All Stages Closed"))))))))</f>
        <v/>
      </c>
      <c r="F160" s="32" t="str">
        <f aca="false">IF($C160="","",IF(COUNTIF(M160,"Cancelled")+COUNTIF(R160,"Cancelled")+COUNTIF(W160,"Cancelled")+COUNTIF(AB160,"Cancelled")+COUNTIF(AG160,"Cancelled")+COUNTIF(AL160,"Cancelled")+COUNTIF(AQ160,"Cancelled")&gt;0,"Cancelled",IF(E160="All Stages Closed","Completed",IF(E160="S1 Schematic",M160,IF(E160="S2 PCB Layout",R160,IF(E160="S3 SI &amp; PI",W160,IF(E160="S4 Bare-PCB Fab",AB160,IF(E160="S5 Assembly",AG160,IF(E160="S6 Bring-up",AL160,AQ160)))))))))</f>
        <v/>
      </c>
      <c r="G160" s="33" t="str">
        <f aca="false">IF($C160="","",IF(E160="All Stages Closed","",IF(E160="S1 Schematic",IF(N160="","Not added",N160),IF(E160="S2 PCB Layout",IF(S160="","Not added",S160),IF(E160="S3 SI &amp; PI",IF(X160="","Not added",X160),IF(E160="S4 Bare-PCB Fab",IF(AC160="","Not added",AC160),IF(E160="S5 Assembly",IF(AH160="","Not added",AH160),IF(E160="S6 Bring-up",IF(AM160="","Not added",AM160),IF(AR160="","Not added",AR160)))))))))</f>
        <v/>
      </c>
      <c r="H160" s="32" t="str">
        <f aca="true">IF($C160="","",IF(OR(F160="Completed",F160="Cancelled"),"",IF(NOT(ISNUMBER(G160)),"No date set",IF(TODAY()&gt;G160,TODAY()-G160&amp;" days late",G160-TODAY()&amp;" days left"))))</f>
        <v/>
      </c>
      <c r="I160" s="31" t="str">
        <f aca="false">IF($C160="","",COUNTIF(M160,"Completed")+COUNTIF(R160,"Completed")+COUNTIF(W160,"Completed")+COUNTIF(AB160,"Completed")+COUNTIF(AG160,"Completed")+COUNTIF(AL160,"Completed")+COUNTIF(AQ160,"Completed"))</f>
        <v/>
      </c>
      <c r="J160" s="31" t="str">
        <f aca="false">IF($C160="","",7-(COUNTIF(M160,"NA")+COUNTIF(R160,"NA")+COUNTIF(W160,"NA")+COUNTIF(AB160,"NA")+COUNTIF(AG160,"NA")+COUNTIF(AL160,"NA")+COUNTIF(AQ160,"NA")))</f>
        <v/>
      </c>
      <c r="K160" s="34" t="str">
        <f aca="false">IFERROR(I160/J160,"")</f>
        <v/>
      </c>
      <c r="L160" s="29"/>
      <c r="M160" s="35"/>
      <c r="N160" s="36"/>
      <c r="O160" s="36"/>
      <c r="P160" s="30"/>
      <c r="Q160" s="29"/>
      <c r="R160" s="35"/>
      <c r="S160" s="36"/>
      <c r="T160" s="36"/>
      <c r="U160" s="30"/>
      <c r="V160" s="29"/>
      <c r="W160" s="35"/>
      <c r="X160" s="36"/>
      <c r="Y160" s="36"/>
      <c r="Z160" s="30"/>
      <c r="AA160" s="29"/>
      <c r="AB160" s="35"/>
      <c r="AC160" s="36"/>
      <c r="AD160" s="36"/>
      <c r="AE160" s="30"/>
      <c r="AF160" s="29"/>
      <c r="AG160" s="35"/>
      <c r="AH160" s="36"/>
      <c r="AI160" s="36"/>
      <c r="AJ160" s="30"/>
      <c r="AK160" s="29"/>
      <c r="AL160" s="35"/>
      <c r="AM160" s="36"/>
      <c r="AN160" s="36"/>
      <c r="AO160" s="30"/>
      <c r="AP160" s="29"/>
      <c r="AQ160" s="35"/>
      <c r="AR160" s="36"/>
      <c r="AS160" s="36"/>
      <c r="AT160" s="30"/>
      <c r="AU160" s="29"/>
      <c r="AV160" s="29"/>
      <c r="AW160" s="29"/>
      <c r="AX160" s="37"/>
      <c r="AY160" s="39" t="str">
        <f aca="false">IF(AU160&lt;&gt;"Yes","",IF(AV160="","SELECT RE-ENTRY STAGE","MOVE TO ACTIVE at "&amp;AV160))</f>
        <v/>
      </c>
      <c r="AZ160" s="40" t="str">
        <f aca="false">IF(AU160="Yes",COUNTIF($AU$6:AU160,"Yes"),"")</f>
        <v/>
      </c>
      <c r="BA160" s="29"/>
      <c r="BB160" s="38" t="str">
        <f aca="false">IF($C160="","",IF(OR(F160="Completed",F160="Cancelled"),"",IF(AND(OR(F160="On Hold",ISNUMBER(VALUE(LEFT(H160,2)))),BA160=""),"Reason not given","")))</f>
        <v/>
      </c>
      <c r="BC160" s="30"/>
    </row>
    <row r="161" customFormat="false" ht="19.5" hidden="false" customHeight="true" outlineLevel="0" collapsed="false">
      <c r="A161" s="28" t="str">
        <f aca="false">IF($C161="","",COUNTA($C$6:$C161))</f>
        <v/>
      </c>
      <c r="B161" s="29"/>
      <c r="C161" s="30"/>
      <c r="D161" s="29"/>
      <c r="E161" s="31" t="str">
        <f aca="false">IF($C161="","",IF(NOT(OR(M161="Completed",M161="NA",M161="Cancelled")),"S1 Schematic",IF(NOT(OR(R161="Completed",R161="NA",R161="Cancelled")),"S2 PCB Layout",IF(NOT(OR(W161="Completed",W161="NA",W161="Cancelled")),"S3 SI &amp; PI",IF(NOT(OR(AB161="Completed",AB161="NA",AB161="Cancelled")),"S4 Bare-PCB Fab",IF(NOT(OR(AG161="Completed",AG161="NA",AG161="Cancelled")),"S5 Assembly",IF(NOT(OR(AL161="Completed",AL161="NA",AL161="Cancelled")),"S6 Bring-up",IF(NOT(OR(AQ161="Completed",AQ161="NA",AQ161="Cancelled")),"S7 BOM Procurement","All Stages Closed"))))))))</f>
        <v/>
      </c>
      <c r="F161" s="32" t="str">
        <f aca="false">IF($C161="","",IF(COUNTIF(M161,"Cancelled")+COUNTIF(R161,"Cancelled")+COUNTIF(W161,"Cancelled")+COUNTIF(AB161,"Cancelled")+COUNTIF(AG161,"Cancelled")+COUNTIF(AL161,"Cancelled")+COUNTIF(AQ161,"Cancelled")&gt;0,"Cancelled",IF(E161="All Stages Closed","Completed",IF(E161="S1 Schematic",M161,IF(E161="S2 PCB Layout",R161,IF(E161="S3 SI &amp; PI",W161,IF(E161="S4 Bare-PCB Fab",AB161,IF(E161="S5 Assembly",AG161,IF(E161="S6 Bring-up",AL161,AQ161)))))))))</f>
        <v/>
      </c>
      <c r="G161" s="33" t="str">
        <f aca="false">IF($C161="","",IF(E161="All Stages Closed","",IF(E161="S1 Schematic",IF(N161="","Not added",N161),IF(E161="S2 PCB Layout",IF(S161="","Not added",S161),IF(E161="S3 SI &amp; PI",IF(X161="","Not added",X161),IF(E161="S4 Bare-PCB Fab",IF(AC161="","Not added",AC161),IF(E161="S5 Assembly",IF(AH161="","Not added",AH161),IF(E161="S6 Bring-up",IF(AM161="","Not added",AM161),IF(AR161="","Not added",AR161)))))))))</f>
        <v/>
      </c>
      <c r="H161" s="32" t="str">
        <f aca="true">IF($C161="","",IF(OR(F161="Completed",F161="Cancelled"),"",IF(NOT(ISNUMBER(G161)),"No date set",IF(TODAY()&gt;G161,TODAY()-G161&amp;" days late",G161-TODAY()&amp;" days left"))))</f>
        <v/>
      </c>
      <c r="I161" s="31" t="str">
        <f aca="false">IF($C161="","",COUNTIF(M161,"Completed")+COUNTIF(R161,"Completed")+COUNTIF(W161,"Completed")+COUNTIF(AB161,"Completed")+COUNTIF(AG161,"Completed")+COUNTIF(AL161,"Completed")+COUNTIF(AQ161,"Completed"))</f>
        <v/>
      </c>
      <c r="J161" s="31" t="str">
        <f aca="false">IF($C161="","",7-(COUNTIF(M161,"NA")+COUNTIF(R161,"NA")+COUNTIF(W161,"NA")+COUNTIF(AB161,"NA")+COUNTIF(AG161,"NA")+COUNTIF(AL161,"NA")+COUNTIF(AQ161,"NA")))</f>
        <v/>
      </c>
      <c r="K161" s="34" t="str">
        <f aca="false">IFERROR(I161/J161,"")</f>
        <v/>
      </c>
      <c r="L161" s="29"/>
      <c r="M161" s="35"/>
      <c r="N161" s="36"/>
      <c r="O161" s="36"/>
      <c r="P161" s="30"/>
      <c r="Q161" s="29"/>
      <c r="R161" s="35"/>
      <c r="S161" s="36"/>
      <c r="T161" s="36"/>
      <c r="U161" s="30"/>
      <c r="V161" s="29"/>
      <c r="W161" s="35"/>
      <c r="X161" s="36"/>
      <c r="Y161" s="36"/>
      <c r="Z161" s="30"/>
      <c r="AA161" s="29"/>
      <c r="AB161" s="35"/>
      <c r="AC161" s="36"/>
      <c r="AD161" s="36"/>
      <c r="AE161" s="30"/>
      <c r="AF161" s="29"/>
      <c r="AG161" s="35"/>
      <c r="AH161" s="36"/>
      <c r="AI161" s="36"/>
      <c r="AJ161" s="30"/>
      <c r="AK161" s="29"/>
      <c r="AL161" s="35"/>
      <c r="AM161" s="36"/>
      <c r="AN161" s="36"/>
      <c r="AO161" s="30"/>
      <c r="AP161" s="29"/>
      <c r="AQ161" s="35"/>
      <c r="AR161" s="36"/>
      <c r="AS161" s="36"/>
      <c r="AT161" s="30"/>
      <c r="AU161" s="29"/>
      <c r="AV161" s="29"/>
      <c r="AW161" s="29"/>
      <c r="AX161" s="37"/>
      <c r="AY161" s="39" t="str">
        <f aca="false">IF(AU161&lt;&gt;"Yes","",IF(AV161="","SELECT RE-ENTRY STAGE","MOVE TO ACTIVE at "&amp;AV161))</f>
        <v/>
      </c>
      <c r="AZ161" s="40" t="str">
        <f aca="false">IF(AU161="Yes",COUNTIF($AU$6:AU161,"Yes"),"")</f>
        <v/>
      </c>
      <c r="BA161" s="29"/>
      <c r="BB161" s="38" t="str">
        <f aca="false">IF($C161="","",IF(OR(F161="Completed",F161="Cancelled"),"",IF(AND(OR(F161="On Hold",ISNUMBER(VALUE(LEFT(H161,2)))),BA161=""),"Reason not given","")))</f>
        <v/>
      </c>
      <c r="BC161" s="30"/>
    </row>
    <row r="162" customFormat="false" ht="19.5" hidden="false" customHeight="true" outlineLevel="0" collapsed="false">
      <c r="A162" s="28" t="str">
        <f aca="false">IF($C162="","",COUNTA($C$6:$C162))</f>
        <v/>
      </c>
      <c r="B162" s="29"/>
      <c r="C162" s="30"/>
      <c r="D162" s="29"/>
      <c r="E162" s="31" t="str">
        <f aca="false">IF($C162="","",IF(NOT(OR(M162="Completed",M162="NA",M162="Cancelled")),"S1 Schematic",IF(NOT(OR(R162="Completed",R162="NA",R162="Cancelled")),"S2 PCB Layout",IF(NOT(OR(W162="Completed",W162="NA",W162="Cancelled")),"S3 SI &amp; PI",IF(NOT(OR(AB162="Completed",AB162="NA",AB162="Cancelled")),"S4 Bare-PCB Fab",IF(NOT(OR(AG162="Completed",AG162="NA",AG162="Cancelled")),"S5 Assembly",IF(NOT(OR(AL162="Completed",AL162="NA",AL162="Cancelled")),"S6 Bring-up",IF(NOT(OR(AQ162="Completed",AQ162="NA",AQ162="Cancelled")),"S7 BOM Procurement","All Stages Closed"))))))))</f>
        <v/>
      </c>
      <c r="F162" s="32" t="str">
        <f aca="false">IF($C162="","",IF(COUNTIF(M162,"Cancelled")+COUNTIF(R162,"Cancelled")+COUNTIF(W162,"Cancelled")+COUNTIF(AB162,"Cancelled")+COUNTIF(AG162,"Cancelled")+COUNTIF(AL162,"Cancelled")+COUNTIF(AQ162,"Cancelled")&gt;0,"Cancelled",IF(E162="All Stages Closed","Completed",IF(E162="S1 Schematic",M162,IF(E162="S2 PCB Layout",R162,IF(E162="S3 SI &amp; PI",W162,IF(E162="S4 Bare-PCB Fab",AB162,IF(E162="S5 Assembly",AG162,IF(E162="S6 Bring-up",AL162,AQ162)))))))))</f>
        <v/>
      </c>
      <c r="G162" s="33" t="str">
        <f aca="false">IF($C162="","",IF(E162="All Stages Closed","",IF(E162="S1 Schematic",IF(N162="","Not added",N162),IF(E162="S2 PCB Layout",IF(S162="","Not added",S162),IF(E162="S3 SI &amp; PI",IF(X162="","Not added",X162),IF(E162="S4 Bare-PCB Fab",IF(AC162="","Not added",AC162),IF(E162="S5 Assembly",IF(AH162="","Not added",AH162),IF(E162="S6 Bring-up",IF(AM162="","Not added",AM162),IF(AR162="","Not added",AR162)))))))))</f>
        <v/>
      </c>
      <c r="H162" s="32" t="str">
        <f aca="true">IF($C162="","",IF(OR(F162="Completed",F162="Cancelled"),"",IF(NOT(ISNUMBER(G162)),"No date set",IF(TODAY()&gt;G162,TODAY()-G162&amp;" days late",G162-TODAY()&amp;" days left"))))</f>
        <v/>
      </c>
      <c r="I162" s="31" t="str">
        <f aca="false">IF($C162="","",COUNTIF(M162,"Completed")+COUNTIF(R162,"Completed")+COUNTIF(W162,"Completed")+COUNTIF(AB162,"Completed")+COUNTIF(AG162,"Completed")+COUNTIF(AL162,"Completed")+COUNTIF(AQ162,"Completed"))</f>
        <v/>
      </c>
      <c r="J162" s="31" t="str">
        <f aca="false">IF($C162="","",7-(COUNTIF(M162,"NA")+COUNTIF(R162,"NA")+COUNTIF(W162,"NA")+COUNTIF(AB162,"NA")+COUNTIF(AG162,"NA")+COUNTIF(AL162,"NA")+COUNTIF(AQ162,"NA")))</f>
        <v/>
      </c>
      <c r="K162" s="34" t="str">
        <f aca="false">IFERROR(I162/J162,"")</f>
        <v/>
      </c>
      <c r="L162" s="29"/>
      <c r="M162" s="35"/>
      <c r="N162" s="36"/>
      <c r="O162" s="36"/>
      <c r="P162" s="30"/>
      <c r="Q162" s="29"/>
      <c r="R162" s="35"/>
      <c r="S162" s="36"/>
      <c r="T162" s="36"/>
      <c r="U162" s="30"/>
      <c r="V162" s="29"/>
      <c r="W162" s="35"/>
      <c r="X162" s="36"/>
      <c r="Y162" s="36"/>
      <c r="Z162" s="30"/>
      <c r="AA162" s="29"/>
      <c r="AB162" s="35"/>
      <c r="AC162" s="36"/>
      <c r="AD162" s="36"/>
      <c r="AE162" s="30"/>
      <c r="AF162" s="29"/>
      <c r="AG162" s="35"/>
      <c r="AH162" s="36"/>
      <c r="AI162" s="36"/>
      <c r="AJ162" s="30"/>
      <c r="AK162" s="29"/>
      <c r="AL162" s="35"/>
      <c r="AM162" s="36"/>
      <c r="AN162" s="36"/>
      <c r="AO162" s="30"/>
      <c r="AP162" s="29"/>
      <c r="AQ162" s="35"/>
      <c r="AR162" s="36"/>
      <c r="AS162" s="36"/>
      <c r="AT162" s="30"/>
      <c r="AU162" s="29"/>
      <c r="AV162" s="29"/>
      <c r="AW162" s="29"/>
      <c r="AX162" s="37"/>
      <c r="AY162" s="39" t="str">
        <f aca="false">IF(AU162&lt;&gt;"Yes","",IF(AV162="","SELECT RE-ENTRY STAGE","MOVE TO ACTIVE at "&amp;AV162))</f>
        <v/>
      </c>
      <c r="AZ162" s="40" t="str">
        <f aca="false">IF(AU162="Yes",COUNTIF($AU$6:AU162,"Yes"),"")</f>
        <v/>
      </c>
      <c r="BA162" s="29"/>
      <c r="BB162" s="38" t="str">
        <f aca="false">IF($C162="","",IF(OR(F162="Completed",F162="Cancelled"),"",IF(AND(OR(F162="On Hold",ISNUMBER(VALUE(LEFT(H162,2)))),BA162=""),"Reason not given","")))</f>
        <v/>
      </c>
      <c r="BC162" s="30"/>
    </row>
    <row r="163" customFormat="false" ht="19.5" hidden="false" customHeight="true" outlineLevel="0" collapsed="false">
      <c r="A163" s="28" t="str">
        <f aca="false">IF($C163="","",COUNTA($C$6:$C163))</f>
        <v/>
      </c>
      <c r="B163" s="29"/>
      <c r="C163" s="30"/>
      <c r="D163" s="29"/>
      <c r="E163" s="31" t="str">
        <f aca="false">IF($C163="","",IF(NOT(OR(M163="Completed",M163="NA",M163="Cancelled")),"S1 Schematic",IF(NOT(OR(R163="Completed",R163="NA",R163="Cancelled")),"S2 PCB Layout",IF(NOT(OR(W163="Completed",W163="NA",W163="Cancelled")),"S3 SI &amp; PI",IF(NOT(OR(AB163="Completed",AB163="NA",AB163="Cancelled")),"S4 Bare-PCB Fab",IF(NOT(OR(AG163="Completed",AG163="NA",AG163="Cancelled")),"S5 Assembly",IF(NOT(OR(AL163="Completed",AL163="NA",AL163="Cancelled")),"S6 Bring-up",IF(NOT(OR(AQ163="Completed",AQ163="NA",AQ163="Cancelled")),"S7 BOM Procurement","All Stages Closed"))))))))</f>
        <v/>
      </c>
      <c r="F163" s="32" t="str">
        <f aca="false">IF($C163="","",IF(COUNTIF(M163,"Cancelled")+COUNTIF(R163,"Cancelled")+COUNTIF(W163,"Cancelled")+COUNTIF(AB163,"Cancelled")+COUNTIF(AG163,"Cancelled")+COUNTIF(AL163,"Cancelled")+COUNTIF(AQ163,"Cancelled")&gt;0,"Cancelled",IF(E163="All Stages Closed","Completed",IF(E163="S1 Schematic",M163,IF(E163="S2 PCB Layout",R163,IF(E163="S3 SI &amp; PI",W163,IF(E163="S4 Bare-PCB Fab",AB163,IF(E163="S5 Assembly",AG163,IF(E163="S6 Bring-up",AL163,AQ163)))))))))</f>
        <v/>
      </c>
      <c r="G163" s="33" t="str">
        <f aca="false">IF($C163="","",IF(E163="All Stages Closed","",IF(E163="S1 Schematic",IF(N163="","Not added",N163),IF(E163="S2 PCB Layout",IF(S163="","Not added",S163),IF(E163="S3 SI &amp; PI",IF(X163="","Not added",X163),IF(E163="S4 Bare-PCB Fab",IF(AC163="","Not added",AC163),IF(E163="S5 Assembly",IF(AH163="","Not added",AH163),IF(E163="S6 Bring-up",IF(AM163="","Not added",AM163),IF(AR163="","Not added",AR163)))))))))</f>
        <v/>
      </c>
      <c r="H163" s="32" t="str">
        <f aca="true">IF($C163="","",IF(OR(F163="Completed",F163="Cancelled"),"",IF(NOT(ISNUMBER(G163)),"No date set",IF(TODAY()&gt;G163,TODAY()-G163&amp;" days late",G163-TODAY()&amp;" days left"))))</f>
        <v/>
      </c>
      <c r="I163" s="31" t="str">
        <f aca="false">IF($C163="","",COUNTIF(M163,"Completed")+COUNTIF(R163,"Completed")+COUNTIF(W163,"Completed")+COUNTIF(AB163,"Completed")+COUNTIF(AG163,"Completed")+COUNTIF(AL163,"Completed")+COUNTIF(AQ163,"Completed"))</f>
        <v/>
      </c>
      <c r="J163" s="31" t="str">
        <f aca="false">IF($C163="","",7-(COUNTIF(M163,"NA")+COUNTIF(R163,"NA")+COUNTIF(W163,"NA")+COUNTIF(AB163,"NA")+COUNTIF(AG163,"NA")+COUNTIF(AL163,"NA")+COUNTIF(AQ163,"NA")))</f>
        <v/>
      </c>
      <c r="K163" s="34" t="str">
        <f aca="false">IFERROR(I163/J163,"")</f>
        <v/>
      </c>
      <c r="L163" s="29"/>
      <c r="M163" s="35"/>
      <c r="N163" s="36"/>
      <c r="O163" s="36"/>
      <c r="P163" s="30"/>
      <c r="Q163" s="29"/>
      <c r="R163" s="35"/>
      <c r="S163" s="36"/>
      <c r="T163" s="36"/>
      <c r="U163" s="30"/>
      <c r="V163" s="29"/>
      <c r="W163" s="35"/>
      <c r="X163" s="36"/>
      <c r="Y163" s="36"/>
      <c r="Z163" s="30"/>
      <c r="AA163" s="29"/>
      <c r="AB163" s="35"/>
      <c r="AC163" s="36"/>
      <c r="AD163" s="36"/>
      <c r="AE163" s="30"/>
      <c r="AF163" s="29"/>
      <c r="AG163" s="35"/>
      <c r="AH163" s="36"/>
      <c r="AI163" s="36"/>
      <c r="AJ163" s="30"/>
      <c r="AK163" s="29"/>
      <c r="AL163" s="35"/>
      <c r="AM163" s="36"/>
      <c r="AN163" s="36"/>
      <c r="AO163" s="30"/>
      <c r="AP163" s="29"/>
      <c r="AQ163" s="35"/>
      <c r="AR163" s="36"/>
      <c r="AS163" s="36"/>
      <c r="AT163" s="30"/>
      <c r="AU163" s="29"/>
      <c r="AV163" s="29"/>
      <c r="AW163" s="29"/>
      <c r="AX163" s="37"/>
      <c r="AY163" s="39" t="str">
        <f aca="false">IF(AU163&lt;&gt;"Yes","",IF(AV163="","SELECT RE-ENTRY STAGE","MOVE TO ACTIVE at "&amp;AV163))</f>
        <v/>
      </c>
      <c r="AZ163" s="40" t="str">
        <f aca="false">IF(AU163="Yes",COUNTIF($AU$6:AU163,"Yes"),"")</f>
        <v/>
      </c>
      <c r="BA163" s="29"/>
      <c r="BB163" s="38" t="str">
        <f aca="false">IF($C163="","",IF(OR(F163="Completed",F163="Cancelled"),"",IF(AND(OR(F163="On Hold",ISNUMBER(VALUE(LEFT(H163,2)))),BA163=""),"Reason not given","")))</f>
        <v/>
      </c>
      <c r="BC163" s="30"/>
    </row>
    <row r="164" customFormat="false" ht="19.5" hidden="false" customHeight="true" outlineLevel="0" collapsed="false">
      <c r="A164" s="28" t="str">
        <f aca="false">IF($C164="","",COUNTA($C$6:$C164))</f>
        <v/>
      </c>
      <c r="B164" s="29"/>
      <c r="C164" s="30"/>
      <c r="D164" s="29"/>
      <c r="E164" s="31" t="str">
        <f aca="false">IF($C164="","",IF(NOT(OR(M164="Completed",M164="NA",M164="Cancelled")),"S1 Schematic",IF(NOT(OR(R164="Completed",R164="NA",R164="Cancelled")),"S2 PCB Layout",IF(NOT(OR(W164="Completed",W164="NA",W164="Cancelled")),"S3 SI &amp; PI",IF(NOT(OR(AB164="Completed",AB164="NA",AB164="Cancelled")),"S4 Bare-PCB Fab",IF(NOT(OR(AG164="Completed",AG164="NA",AG164="Cancelled")),"S5 Assembly",IF(NOT(OR(AL164="Completed",AL164="NA",AL164="Cancelled")),"S6 Bring-up",IF(NOT(OR(AQ164="Completed",AQ164="NA",AQ164="Cancelled")),"S7 BOM Procurement","All Stages Closed"))))))))</f>
        <v/>
      </c>
      <c r="F164" s="32" t="str">
        <f aca="false">IF($C164="","",IF(COUNTIF(M164,"Cancelled")+COUNTIF(R164,"Cancelled")+COUNTIF(W164,"Cancelled")+COUNTIF(AB164,"Cancelled")+COUNTIF(AG164,"Cancelled")+COUNTIF(AL164,"Cancelled")+COUNTIF(AQ164,"Cancelled")&gt;0,"Cancelled",IF(E164="All Stages Closed","Completed",IF(E164="S1 Schematic",M164,IF(E164="S2 PCB Layout",R164,IF(E164="S3 SI &amp; PI",W164,IF(E164="S4 Bare-PCB Fab",AB164,IF(E164="S5 Assembly",AG164,IF(E164="S6 Bring-up",AL164,AQ164)))))))))</f>
        <v/>
      </c>
      <c r="G164" s="33" t="str">
        <f aca="false">IF($C164="","",IF(E164="All Stages Closed","",IF(E164="S1 Schematic",IF(N164="","Not added",N164),IF(E164="S2 PCB Layout",IF(S164="","Not added",S164),IF(E164="S3 SI &amp; PI",IF(X164="","Not added",X164),IF(E164="S4 Bare-PCB Fab",IF(AC164="","Not added",AC164),IF(E164="S5 Assembly",IF(AH164="","Not added",AH164),IF(E164="S6 Bring-up",IF(AM164="","Not added",AM164),IF(AR164="","Not added",AR164)))))))))</f>
        <v/>
      </c>
      <c r="H164" s="32" t="str">
        <f aca="true">IF($C164="","",IF(OR(F164="Completed",F164="Cancelled"),"",IF(NOT(ISNUMBER(G164)),"No date set",IF(TODAY()&gt;G164,TODAY()-G164&amp;" days late",G164-TODAY()&amp;" days left"))))</f>
        <v/>
      </c>
      <c r="I164" s="31" t="str">
        <f aca="false">IF($C164="","",COUNTIF(M164,"Completed")+COUNTIF(R164,"Completed")+COUNTIF(W164,"Completed")+COUNTIF(AB164,"Completed")+COUNTIF(AG164,"Completed")+COUNTIF(AL164,"Completed")+COUNTIF(AQ164,"Completed"))</f>
        <v/>
      </c>
      <c r="J164" s="31" t="str">
        <f aca="false">IF($C164="","",7-(COUNTIF(M164,"NA")+COUNTIF(R164,"NA")+COUNTIF(W164,"NA")+COUNTIF(AB164,"NA")+COUNTIF(AG164,"NA")+COUNTIF(AL164,"NA")+COUNTIF(AQ164,"NA")))</f>
        <v/>
      </c>
      <c r="K164" s="34" t="str">
        <f aca="false">IFERROR(I164/J164,"")</f>
        <v/>
      </c>
      <c r="L164" s="29"/>
      <c r="M164" s="35"/>
      <c r="N164" s="36"/>
      <c r="O164" s="36"/>
      <c r="P164" s="30"/>
      <c r="Q164" s="29"/>
      <c r="R164" s="35"/>
      <c r="S164" s="36"/>
      <c r="T164" s="36"/>
      <c r="U164" s="30"/>
      <c r="V164" s="29"/>
      <c r="W164" s="35"/>
      <c r="X164" s="36"/>
      <c r="Y164" s="36"/>
      <c r="Z164" s="30"/>
      <c r="AA164" s="29"/>
      <c r="AB164" s="35"/>
      <c r="AC164" s="36"/>
      <c r="AD164" s="36"/>
      <c r="AE164" s="30"/>
      <c r="AF164" s="29"/>
      <c r="AG164" s="35"/>
      <c r="AH164" s="36"/>
      <c r="AI164" s="36"/>
      <c r="AJ164" s="30"/>
      <c r="AK164" s="29"/>
      <c r="AL164" s="35"/>
      <c r="AM164" s="36"/>
      <c r="AN164" s="36"/>
      <c r="AO164" s="30"/>
      <c r="AP164" s="29"/>
      <c r="AQ164" s="35"/>
      <c r="AR164" s="36"/>
      <c r="AS164" s="36"/>
      <c r="AT164" s="30"/>
      <c r="AU164" s="29"/>
      <c r="AV164" s="29"/>
      <c r="AW164" s="29"/>
      <c r="AX164" s="37"/>
      <c r="AY164" s="39" t="str">
        <f aca="false">IF(AU164&lt;&gt;"Yes","",IF(AV164="","SELECT RE-ENTRY STAGE","MOVE TO ACTIVE at "&amp;AV164))</f>
        <v/>
      </c>
      <c r="AZ164" s="40" t="str">
        <f aca="false">IF(AU164="Yes",COUNTIF($AU$6:AU164,"Yes"),"")</f>
        <v/>
      </c>
      <c r="BA164" s="29"/>
      <c r="BB164" s="38" t="str">
        <f aca="false">IF($C164="","",IF(OR(F164="Completed",F164="Cancelled"),"",IF(AND(OR(F164="On Hold",ISNUMBER(VALUE(LEFT(H164,2)))),BA164=""),"Reason not given","")))</f>
        <v/>
      </c>
      <c r="BC164" s="30"/>
    </row>
    <row r="165" customFormat="false" ht="19.5" hidden="false" customHeight="true" outlineLevel="0" collapsed="false">
      <c r="A165" s="28" t="str">
        <f aca="false">IF($C165="","",COUNTA($C$6:$C165))</f>
        <v/>
      </c>
      <c r="B165" s="29"/>
      <c r="C165" s="30"/>
      <c r="D165" s="29"/>
      <c r="E165" s="31" t="str">
        <f aca="false">IF($C165="","",IF(NOT(OR(M165="Completed",M165="NA",M165="Cancelled")),"S1 Schematic",IF(NOT(OR(R165="Completed",R165="NA",R165="Cancelled")),"S2 PCB Layout",IF(NOT(OR(W165="Completed",W165="NA",W165="Cancelled")),"S3 SI &amp; PI",IF(NOT(OR(AB165="Completed",AB165="NA",AB165="Cancelled")),"S4 Bare-PCB Fab",IF(NOT(OR(AG165="Completed",AG165="NA",AG165="Cancelled")),"S5 Assembly",IF(NOT(OR(AL165="Completed",AL165="NA",AL165="Cancelled")),"S6 Bring-up",IF(NOT(OR(AQ165="Completed",AQ165="NA",AQ165="Cancelled")),"S7 BOM Procurement","All Stages Closed"))))))))</f>
        <v/>
      </c>
      <c r="F165" s="32" t="str">
        <f aca="false">IF($C165="","",IF(COUNTIF(M165,"Cancelled")+COUNTIF(R165,"Cancelled")+COUNTIF(W165,"Cancelled")+COUNTIF(AB165,"Cancelled")+COUNTIF(AG165,"Cancelled")+COUNTIF(AL165,"Cancelled")+COUNTIF(AQ165,"Cancelled")&gt;0,"Cancelled",IF(E165="All Stages Closed","Completed",IF(E165="S1 Schematic",M165,IF(E165="S2 PCB Layout",R165,IF(E165="S3 SI &amp; PI",W165,IF(E165="S4 Bare-PCB Fab",AB165,IF(E165="S5 Assembly",AG165,IF(E165="S6 Bring-up",AL165,AQ165)))))))))</f>
        <v/>
      </c>
      <c r="G165" s="33" t="str">
        <f aca="false">IF($C165="","",IF(E165="All Stages Closed","",IF(E165="S1 Schematic",IF(N165="","Not added",N165),IF(E165="S2 PCB Layout",IF(S165="","Not added",S165),IF(E165="S3 SI &amp; PI",IF(X165="","Not added",X165),IF(E165="S4 Bare-PCB Fab",IF(AC165="","Not added",AC165),IF(E165="S5 Assembly",IF(AH165="","Not added",AH165),IF(E165="S6 Bring-up",IF(AM165="","Not added",AM165),IF(AR165="","Not added",AR165)))))))))</f>
        <v/>
      </c>
      <c r="H165" s="32" t="str">
        <f aca="true">IF($C165="","",IF(OR(F165="Completed",F165="Cancelled"),"",IF(NOT(ISNUMBER(G165)),"No date set",IF(TODAY()&gt;G165,TODAY()-G165&amp;" days late",G165-TODAY()&amp;" days left"))))</f>
        <v/>
      </c>
      <c r="I165" s="31" t="str">
        <f aca="false">IF($C165="","",COUNTIF(M165,"Completed")+COUNTIF(R165,"Completed")+COUNTIF(W165,"Completed")+COUNTIF(AB165,"Completed")+COUNTIF(AG165,"Completed")+COUNTIF(AL165,"Completed")+COUNTIF(AQ165,"Completed"))</f>
        <v/>
      </c>
      <c r="J165" s="31" t="str">
        <f aca="false">IF($C165="","",7-(COUNTIF(M165,"NA")+COUNTIF(R165,"NA")+COUNTIF(W165,"NA")+COUNTIF(AB165,"NA")+COUNTIF(AG165,"NA")+COUNTIF(AL165,"NA")+COUNTIF(AQ165,"NA")))</f>
        <v/>
      </c>
      <c r="K165" s="34" t="str">
        <f aca="false">IFERROR(I165/J165,"")</f>
        <v/>
      </c>
      <c r="L165" s="29"/>
      <c r="M165" s="35"/>
      <c r="N165" s="36"/>
      <c r="O165" s="36"/>
      <c r="P165" s="30"/>
      <c r="Q165" s="29"/>
      <c r="R165" s="35"/>
      <c r="S165" s="36"/>
      <c r="T165" s="36"/>
      <c r="U165" s="30"/>
      <c r="V165" s="29"/>
      <c r="W165" s="35"/>
      <c r="X165" s="36"/>
      <c r="Y165" s="36"/>
      <c r="Z165" s="30"/>
      <c r="AA165" s="29"/>
      <c r="AB165" s="35"/>
      <c r="AC165" s="36"/>
      <c r="AD165" s="36"/>
      <c r="AE165" s="30"/>
      <c r="AF165" s="29"/>
      <c r="AG165" s="35"/>
      <c r="AH165" s="36"/>
      <c r="AI165" s="36"/>
      <c r="AJ165" s="30"/>
      <c r="AK165" s="29"/>
      <c r="AL165" s="35"/>
      <c r="AM165" s="36"/>
      <c r="AN165" s="36"/>
      <c r="AO165" s="30"/>
      <c r="AP165" s="29"/>
      <c r="AQ165" s="35"/>
      <c r="AR165" s="36"/>
      <c r="AS165" s="36"/>
      <c r="AT165" s="30"/>
      <c r="AU165" s="29"/>
      <c r="AV165" s="29"/>
      <c r="AW165" s="29"/>
      <c r="AX165" s="37"/>
      <c r="AY165" s="39" t="str">
        <f aca="false">IF(AU165&lt;&gt;"Yes","",IF(AV165="","SELECT RE-ENTRY STAGE","MOVE TO ACTIVE at "&amp;AV165))</f>
        <v/>
      </c>
      <c r="AZ165" s="40" t="str">
        <f aca="false">IF(AU165="Yes",COUNTIF($AU$6:AU165,"Yes"),"")</f>
        <v/>
      </c>
      <c r="BA165" s="29"/>
      <c r="BB165" s="38" t="str">
        <f aca="false">IF($C165="","",IF(OR(F165="Completed",F165="Cancelled"),"",IF(AND(OR(F165="On Hold",ISNUMBER(VALUE(LEFT(H165,2)))),BA165=""),"Reason not given","")))</f>
        <v/>
      </c>
      <c r="BC165" s="30"/>
    </row>
    <row r="166" customFormat="false" ht="19.5" hidden="false" customHeight="true" outlineLevel="0" collapsed="false">
      <c r="A166" s="28" t="str">
        <f aca="false">IF($C166="","",COUNTA($C$6:$C166))</f>
        <v/>
      </c>
      <c r="B166" s="29"/>
      <c r="C166" s="30"/>
      <c r="D166" s="29"/>
      <c r="E166" s="31" t="str">
        <f aca="false">IF($C166="","",IF(NOT(OR(M166="Completed",M166="NA",M166="Cancelled")),"S1 Schematic",IF(NOT(OR(R166="Completed",R166="NA",R166="Cancelled")),"S2 PCB Layout",IF(NOT(OR(W166="Completed",W166="NA",W166="Cancelled")),"S3 SI &amp; PI",IF(NOT(OR(AB166="Completed",AB166="NA",AB166="Cancelled")),"S4 Bare-PCB Fab",IF(NOT(OR(AG166="Completed",AG166="NA",AG166="Cancelled")),"S5 Assembly",IF(NOT(OR(AL166="Completed",AL166="NA",AL166="Cancelled")),"S6 Bring-up",IF(NOT(OR(AQ166="Completed",AQ166="NA",AQ166="Cancelled")),"S7 BOM Procurement","All Stages Closed"))))))))</f>
        <v/>
      </c>
      <c r="F166" s="32" t="str">
        <f aca="false">IF($C166="","",IF(COUNTIF(M166,"Cancelled")+COUNTIF(R166,"Cancelled")+COUNTIF(W166,"Cancelled")+COUNTIF(AB166,"Cancelled")+COUNTIF(AG166,"Cancelled")+COUNTIF(AL166,"Cancelled")+COUNTIF(AQ166,"Cancelled")&gt;0,"Cancelled",IF(E166="All Stages Closed","Completed",IF(E166="S1 Schematic",M166,IF(E166="S2 PCB Layout",R166,IF(E166="S3 SI &amp; PI",W166,IF(E166="S4 Bare-PCB Fab",AB166,IF(E166="S5 Assembly",AG166,IF(E166="S6 Bring-up",AL166,AQ166)))))))))</f>
        <v/>
      </c>
      <c r="G166" s="33" t="str">
        <f aca="false">IF($C166="","",IF(E166="All Stages Closed","",IF(E166="S1 Schematic",IF(N166="","Not added",N166),IF(E166="S2 PCB Layout",IF(S166="","Not added",S166),IF(E166="S3 SI &amp; PI",IF(X166="","Not added",X166),IF(E166="S4 Bare-PCB Fab",IF(AC166="","Not added",AC166),IF(E166="S5 Assembly",IF(AH166="","Not added",AH166),IF(E166="S6 Bring-up",IF(AM166="","Not added",AM166),IF(AR166="","Not added",AR166)))))))))</f>
        <v/>
      </c>
      <c r="H166" s="32" t="str">
        <f aca="true">IF($C166="","",IF(OR(F166="Completed",F166="Cancelled"),"",IF(NOT(ISNUMBER(G166)),"No date set",IF(TODAY()&gt;G166,TODAY()-G166&amp;" days late",G166-TODAY()&amp;" days left"))))</f>
        <v/>
      </c>
      <c r="I166" s="31" t="str">
        <f aca="false">IF($C166="","",COUNTIF(M166,"Completed")+COUNTIF(R166,"Completed")+COUNTIF(W166,"Completed")+COUNTIF(AB166,"Completed")+COUNTIF(AG166,"Completed")+COUNTIF(AL166,"Completed")+COUNTIF(AQ166,"Completed"))</f>
        <v/>
      </c>
      <c r="J166" s="31" t="str">
        <f aca="false">IF($C166="","",7-(COUNTIF(M166,"NA")+COUNTIF(R166,"NA")+COUNTIF(W166,"NA")+COUNTIF(AB166,"NA")+COUNTIF(AG166,"NA")+COUNTIF(AL166,"NA")+COUNTIF(AQ166,"NA")))</f>
        <v/>
      </c>
      <c r="K166" s="34" t="str">
        <f aca="false">IFERROR(I166/J166,"")</f>
        <v/>
      </c>
      <c r="L166" s="29"/>
      <c r="M166" s="35"/>
      <c r="N166" s="36"/>
      <c r="O166" s="36"/>
      <c r="P166" s="30"/>
      <c r="Q166" s="29"/>
      <c r="R166" s="35"/>
      <c r="S166" s="36"/>
      <c r="T166" s="36"/>
      <c r="U166" s="30"/>
      <c r="V166" s="29"/>
      <c r="W166" s="35"/>
      <c r="X166" s="36"/>
      <c r="Y166" s="36"/>
      <c r="Z166" s="30"/>
      <c r="AA166" s="29"/>
      <c r="AB166" s="35"/>
      <c r="AC166" s="36"/>
      <c r="AD166" s="36"/>
      <c r="AE166" s="30"/>
      <c r="AF166" s="29"/>
      <c r="AG166" s="35"/>
      <c r="AH166" s="36"/>
      <c r="AI166" s="36"/>
      <c r="AJ166" s="30"/>
      <c r="AK166" s="29"/>
      <c r="AL166" s="35"/>
      <c r="AM166" s="36"/>
      <c r="AN166" s="36"/>
      <c r="AO166" s="30"/>
      <c r="AP166" s="29"/>
      <c r="AQ166" s="35"/>
      <c r="AR166" s="36"/>
      <c r="AS166" s="36"/>
      <c r="AT166" s="30"/>
      <c r="AU166" s="29"/>
      <c r="AV166" s="29"/>
      <c r="AW166" s="29"/>
      <c r="AX166" s="37"/>
      <c r="AY166" s="39" t="str">
        <f aca="false">IF(AU166&lt;&gt;"Yes","",IF(AV166="","SELECT RE-ENTRY STAGE","MOVE TO ACTIVE at "&amp;AV166))</f>
        <v/>
      </c>
      <c r="AZ166" s="40" t="str">
        <f aca="false">IF(AU166="Yes",COUNTIF($AU$6:AU166,"Yes"),"")</f>
        <v/>
      </c>
      <c r="BA166" s="29"/>
      <c r="BB166" s="38" t="str">
        <f aca="false">IF($C166="","",IF(OR(F166="Completed",F166="Cancelled"),"",IF(AND(OR(F166="On Hold",ISNUMBER(VALUE(LEFT(H166,2)))),BA166=""),"Reason not given","")))</f>
        <v/>
      </c>
      <c r="BC166" s="30"/>
    </row>
    <row r="167" customFormat="false" ht="19.5" hidden="false" customHeight="true" outlineLevel="0" collapsed="false">
      <c r="A167" s="28" t="str">
        <f aca="false">IF($C167="","",COUNTA($C$6:$C167))</f>
        <v/>
      </c>
      <c r="B167" s="29"/>
      <c r="C167" s="30"/>
      <c r="D167" s="29"/>
      <c r="E167" s="31" t="str">
        <f aca="false">IF($C167="","",IF(NOT(OR(M167="Completed",M167="NA",M167="Cancelled")),"S1 Schematic",IF(NOT(OR(R167="Completed",R167="NA",R167="Cancelled")),"S2 PCB Layout",IF(NOT(OR(W167="Completed",W167="NA",W167="Cancelled")),"S3 SI &amp; PI",IF(NOT(OR(AB167="Completed",AB167="NA",AB167="Cancelled")),"S4 Bare-PCB Fab",IF(NOT(OR(AG167="Completed",AG167="NA",AG167="Cancelled")),"S5 Assembly",IF(NOT(OR(AL167="Completed",AL167="NA",AL167="Cancelled")),"S6 Bring-up",IF(NOT(OR(AQ167="Completed",AQ167="NA",AQ167="Cancelled")),"S7 BOM Procurement","All Stages Closed"))))))))</f>
        <v/>
      </c>
      <c r="F167" s="32" t="str">
        <f aca="false">IF($C167="","",IF(COUNTIF(M167,"Cancelled")+COUNTIF(R167,"Cancelled")+COUNTIF(W167,"Cancelled")+COUNTIF(AB167,"Cancelled")+COUNTIF(AG167,"Cancelled")+COUNTIF(AL167,"Cancelled")+COUNTIF(AQ167,"Cancelled")&gt;0,"Cancelled",IF(E167="All Stages Closed","Completed",IF(E167="S1 Schematic",M167,IF(E167="S2 PCB Layout",R167,IF(E167="S3 SI &amp; PI",W167,IF(E167="S4 Bare-PCB Fab",AB167,IF(E167="S5 Assembly",AG167,IF(E167="S6 Bring-up",AL167,AQ167)))))))))</f>
        <v/>
      </c>
      <c r="G167" s="33" t="str">
        <f aca="false">IF($C167="","",IF(E167="All Stages Closed","",IF(E167="S1 Schematic",IF(N167="","Not added",N167),IF(E167="S2 PCB Layout",IF(S167="","Not added",S167),IF(E167="S3 SI &amp; PI",IF(X167="","Not added",X167),IF(E167="S4 Bare-PCB Fab",IF(AC167="","Not added",AC167),IF(E167="S5 Assembly",IF(AH167="","Not added",AH167),IF(E167="S6 Bring-up",IF(AM167="","Not added",AM167),IF(AR167="","Not added",AR167)))))))))</f>
        <v/>
      </c>
      <c r="H167" s="32" t="str">
        <f aca="true">IF($C167="","",IF(OR(F167="Completed",F167="Cancelled"),"",IF(NOT(ISNUMBER(G167)),"No date set",IF(TODAY()&gt;G167,TODAY()-G167&amp;" days late",G167-TODAY()&amp;" days left"))))</f>
        <v/>
      </c>
      <c r="I167" s="31" t="str">
        <f aca="false">IF($C167="","",COUNTIF(M167,"Completed")+COUNTIF(R167,"Completed")+COUNTIF(W167,"Completed")+COUNTIF(AB167,"Completed")+COUNTIF(AG167,"Completed")+COUNTIF(AL167,"Completed")+COUNTIF(AQ167,"Completed"))</f>
        <v/>
      </c>
      <c r="J167" s="31" t="str">
        <f aca="false">IF($C167="","",7-(COUNTIF(M167,"NA")+COUNTIF(R167,"NA")+COUNTIF(W167,"NA")+COUNTIF(AB167,"NA")+COUNTIF(AG167,"NA")+COUNTIF(AL167,"NA")+COUNTIF(AQ167,"NA")))</f>
        <v/>
      </c>
      <c r="K167" s="34" t="str">
        <f aca="false">IFERROR(I167/J167,"")</f>
        <v/>
      </c>
      <c r="L167" s="29"/>
      <c r="M167" s="35"/>
      <c r="N167" s="36"/>
      <c r="O167" s="36"/>
      <c r="P167" s="30"/>
      <c r="Q167" s="29"/>
      <c r="R167" s="35"/>
      <c r="S167" s="36"/>
      <c r="T167" s="36"/>
      <c r="U167" s="30"/>
      <c r="V167" s="29"/>
      <c r="W167" s="35"/>
      <c r="X167" s="36"/>
      <c r="Y167" s="36"/>
      <c r="Z167" s="30"/>
      <c r="AA167" s="29"/>
      <c r="AB167" s="35"/>
      <c r="AC167" s="36"/>
      <c r="AD167" s="36"/>
      <c r="AE167" s="30"/>
      <c r="AF167" s="29"/>
      <c r="AG167" s="35"/>
      <c r="AH167" s="36"/>
      <c r="AI167" s="36"/>
      <c r="AJ167" s="30"/>
      <c r="AK167" s="29"/>
      <c r="AL167" s="35"/>
      <c r="AM167" s="36"/>
      <c r="AN167" s="36"/>
      <c r="AO167" s="30"/>
      <c r="AP167" s="29"/>
      <c r="AQ167" s="35"/>
      <c r="AR167" s="36"/>
      <c r="AS167" s="36"/>
      <c r="AT167" s="30"/>
      <c r="AU167" s="29"/>
      <c r="AV167" s="29"/>
      <c r="AW167" s="29"/>
      <c r="AX167" s="37"/>
      <c r="AY167" s="39" t="str">
        <f aca="false">IF(AU167&lt;&gt;"Yes","",IF(AV167="","SELECT RE-ENTRY STAGE","MOVE TO ACTIVE at "&amp;AV167))</f>
        <v/>
      </c>
      <c r="AZ167" s="40" t="str">
        <f aca="false">IF(AU167="Yes",COUNTIF($AU$6:AU167,"Yes"),"")</f>
        <v/>
      </c>
      <c r="BA167" s="29"/>
      <c r="BB167" s="38" t="str">
        <f aca="false">IF($C167="","",IF(OR(F167="Completed",F167="Cancelled"),"",IF(AND(OR(F167="On Hold",ISNUMBER(VALUE(LEFT(H167,2)))),BA167=""),"Reason not given","")))</f>
        <v/>
      </c>
      <c r="BC167" s="30"/>
    </row>
    <row r="168" customFormat="false" ht="19.5" hidden="false" customHeight="true" outlineLevel="0" collapsed="false">
      <c r="A168" s="28" t="str">
        <f aca="false">IF($C168="","",COUNTA($C$6:$C168))</f>
        <v/>
      </c>
      <c r="B168" s="29"/>
      <c r="C168" s="30"/>
      <c r="D168" s="29"/>
      <c r="E168" s="31" t="str">
        <f aca="false">IF($C168="","",IF(NOT(OR(M168="Completed",M168="NA",M168="Cancelled")),"S1 Schematic",IF(NOT(OR(R168="Completed",R168="NA",R168="Cancelled")),"S2 PCB Layout",IF(NOT(OR(W168="Completed",W168="NA",W168="Cancelled")),"S3 SI &amp; PI",IF(NOT(OR(AB168="Completed",AB168="NA",AB168="Cancelled")),"S4 Bare-PCB Fab",IF(NOT(OR(AG168="Completed",AG168="NA",AG168="Cancelled")),"S5 Assembly",IF(NOT(OR(AL168="Completed",AL168="NA",AL168="Cancelled")),"S6 Bring-up",IF(NOT(OR(AQ168="Completed",AQ168="NA",AQ168="Cancelled")),"S7 BOM Procurement","All Stages Closed"))))))))</f>
        <v/>
      </c>
      <c r="F168" s="32" t="str">
        <f aca="false">IF($C168="","",IF(COUNTIF(M168,"Cancelled")+COUNTIF(R168,"Cancelled")+COUNTIF(W168,"Cancelled")+COUNTIF(AB168,"Cancelled")+COUNTIF(AG168,"Cancelled")+COUNTIF(AL168,"Cancelled")+COUNTIF(AQ168,"Cancelled")&gt;0,"Cancelled",IF(E168="All Stages Closed","Completed",IF(E168="S1 Schematic",M168,IF(E168="S2 PCB Layout",R168,IF(E168="S3 SI &amp; PI",W168,IF(E168="S4 Bare-PCB Fab",AB168,IF(E168="S5 Assembly",AG168,IF(E168="S6 Bring-up",AL168,AQ168)))))))))</f>
        <v/>
      </c>
      <c r="G168" s="33" t="str">
        <f aca="false">IF($C168="","",IF(E168="All Stages Closed","",IF(E168="S1 Schematic",IF(N168="","Not added",N168),IF(E168="S2 PCB Layout",IF(S168="","Not added",S168),IF(E168="S3 SI &amp; PI",IF(X168="","Not added",X168),IF(E168="S4 Bare-PCB Fab",IF(AC168="","Not added",AC168),IF(E168="S5 Assembly",IF(AH168="","Not added",AH168),IF(E168="S6 Bring-up",IF(AM168="","Not added",AM168),IF(AR168="","Not added",AR168)))))))))</f>
        <v/>
      </c>
      <c r="H168" s="32" t="str">
        <f aca="true">IF($C168="","",IF(OR(F168="Completed",F168="Cancelled"),"",IF(NOT(ISNUMBER(G168)),"No date set",IF(TODAY()&gt;G168,TODAY()-G168&amp;" days late",G168-TODAY()&amp;" days left"))))</f>
        <v/>
      </c>
      <c r="I168" s="31" t="str">
        <f aca="false">IF($C168="","",COUNTIF(M168,"Completed")+COUNTIF(R168,"Completed")+COUNTIF(W168,"Completed")+COUNTIF(AB168,"Completed")+COUNTIF(AG168,"Completed")+COUNTIF(AL168,"Completed")+COUNTIF(AQ168,"Completed"))</f>
        <v/>
      </c>
      <c r="J168" s="31" t="str">
        <f aca="false">IF($C168="","",7-(COUNTIF(M168,"NA")+COUNTIF(R168,"NA")+COUNTIF(W168,"NA")+COUNTIF(AB168,"NA")+COUNTIF(AG168,"NA")+COUNTIF(AL168,"NA")+COUNTIF(AQ168,"NA")))</f>
        <v/>
      </c>
      <c r="K168" s="34" t="str">
        <f aca="false">IFERROR(I168/J168,"")</f>
        <v/>
      </c>
      <c r="L168" s="29"/>
      <c r="M168" s="35"/>
      <c r="N168" s="36"/>
      <c r="O168" s="36"/>
      <c r="P168" s="30"/>
      <c r="Q168" s="29"/>
      <c r="R168" s="35"/>
      <c r="S168" s="36"/>
      <c r="T168" s="36"/>
      <c r="U168" s="30"/>
      <c r="V168" s="29"/>
      <c r="W168" s="35"/>
      <c r="X168" s="36"/>
      <c r="Y168" s="36"/>
      <c r="Z168" s="30"/>
      <c r="AA168" s="29"/>
      <c r="AB168" s="35"/>
      <c r="AC168" s="36"/>
      <c r="AD168" s="36"/>
      <c r="AE168" s="30"/>
      <c r="AF168" s="29"/>
      <c r="AG168" s="35"/>
      <c r="AH168" s="36"/>
      <c r="AI168" s="36"/>
      <c r="AJ168" s="30"/>
      <c r="AK168" s="29"/>
      <c r="AL168" s="35"/>
      <c r="AM168" s="36"/>
      <c r="AN168" s="36"/>
      <c r="AO168" s="30"/>
      <c r="AP168" s="29"/>
      <c r="AQ168" s="35"/>
      <c r="AR168" s="36"/>
      <c r="AS168" s="36"/>
      <c r="AT168" s="30"/>
      <c r="AU168" s="29"/>
      <c r="AV168" s="29"/>
      <c r="AW168" s="29"/>
      <c r="AX168" s="37"/>
      <c r="AY168" s="39" t="str">
        <f aca="false">IF(AU168&lt;&gt;"Yes","",IF(AV168="","SELECT RE-ENTRY STAGE","MOVE TO ACTIVE at "&amp;AV168))</f>
        <v/>
      </c>
      <c r="AZ168" s="40" t="str">
        <f aca="false">IF(AU168="Yes",COUNTIF($AU$6:AU168,"Yes"),"")</f>
        <v/>
      </c>
      <c r="BA168" s="29"/>
      <c r="BB168" s="38" t="str">
        <f aca="false">IF($C168="","",IF(OR(F168="Completed",F168="Cancelled"),"",IF(AND(OR(F168="On Hold",ISNUMBER(VALUE(LEFT(H168,2)))),BA168=""),"Reason not given","")))</f>
        <v/>
      </c>
      <c r="BC168" s="30"/>
    </row>
    <row r="169" customFormat="false" ht="19.5" hidden="false" customHeight="true" outlineLevel="0" collapsed="false">
      <c r="A169" s="28" t="str">
        <f aca="false">IF($C169="","",COUNTA($C$6:$C169))</f>
        <v/>
      </c>
      <c r="B169" s="29"/>
      <c r="C169" s="30"/>
      <c r="D169" s="29"/>
      <c r="E169" s="31" t="str">
        <f aca="false">IF($C169="","",IF(NOT(OR(M169="Completed",M169="NA",M169="Cancelled")),"S1 Schematic",IF(NOT(OR(R169="Completed",R169="NA",R169="Cancelled")),"S2 PCB Layout",IF(NOT(OR(W169="Completed",W169="NA",W169="Cancelled")),"S3 SI &amp; PI",IF(NOT(OR(AB169="Completed",AB169="NA",AB169="Cancelled")),"S4 Bare-PCB Fab",IF(NOT(OR(AG169="Completed",AG169="NA",AG169="Cancelled")),"S5 Assembly",IF(NOT(OR(AL169="Completed",AL169="NA",AL169="Cancelled")),"S6 Bring-up",IF(NOT(OR(AQ169="Completed",AQ169="NA",AQ169="Cancelled")),"S7 BOM Procurement","All Stages Closed"))))))))</f>
        <v/>
      </c>
      <c r="F169" s="32" t="str">
        <f aca="false">IF($C169="","",IF(COUNTIF(M169,"Cancelled")+COUNTIF(R169,"Cancelled")+COUNTIF(W169,"Cancelled")+COUNTIF(AB169,"Cancelled")+COUNTIF(AG169,"Cancelled")+COUNTIF(AL169,"Cancelled")+COUNTIF(AQ169,"Cancelled")&gt;0,"Cancelled",IF(E169="All Stages Closed","Completed",IF(E169="S1 Schematic",M169,IF(E169="S2 PCB Layout",R169,IF(E169="S3 SI &amp; PI",W169,IF(E169="S4 Bare-PCB Fab",AB169,IF(E169="S5 Assembly",AG169,IF(E169="S6 Bring-up",AL169,AQ169)))))))))</f>
        <v/>
      </c>
      <c r="G169" s="33" t="str">
        <f aca="false">IF($C169="","",IF(E169="All Stages Closed","",IF(E169="S1 Schematic",IF(N169="","Not added",N169),IF(E169="S2 PCB Layout",IF(S169="","Not added",S169),IF(E169="S3 SI &amp; PI",IF(X169="","Not added",X169),IF(E169="S4 Bare-PCB Fab",IF(AC169="","Not added",AC169),IF(E169="S5 Assembly",IF(AH169="","Not added",AH169),IF(E169="S6 Bring-up",IF(AM169="","Not added",AM169),IF(AR169="","Not added",AR169)))))))))</f>
        <v/>
      </c>
      <c r="H169" s="32" t="str">
        <f aca="true">IF($C169="","",IF(OR(F169="Completed",F169="Cancelled"),"",IF(NOT(ISNUMBER(G169)),"No date set",IF(TODAY()&gt;G169,TODAY()-G169&amp;" days late",G169-TODAY()&amp;" days left"))))</f>
        <v/>
      </c>
      <c r="I169" s="31" t="str">
        <f aca="false">IF($C169="","",COUNTIF(M169,"Completed")+COUNTIF(R169,"Completed")+COUNTIF(W169,"Completed")+COUNTIF(AB169,"Completed")+COUNTIF(AG169,"Completed")+COUNTIF(AL169,"Completed")+COUNTIF(AQ169,"Completed"))</f>
        <v/>
      </c>
      <c r="J169" s="31" t="str">
        <f aca="false">IF($C169="","",7-(COUNTIF(M169,"NA")+COUNTIF(R169,"NA")+COUNTIF(W169,"NA")+COUNTIF(AB169,"NA")+COUNTIF(AG169,"NA")+COUNTIF(AL169,"NA")+COUNTIF(AQ169,"NA")))</f>
        <v/>
      </c>
      <c r="K169" s="34" t="str">
        <f aca="false">IFERROR(I169/J169,"")</f>
        <v/>
      </c>
      <c r="L169" s="29"/>
      <c r="M169" s="35"/>
      <c r="N169" s="36"/>
      <c r="O169" s="36"/>
      <c r="P169" s="30"/>
      <c r="Q169" s="29"/>
      <c r="R169" s="35"/>
      <c r="S169" s="36"/>
      <c r="T169" s="36"/>
      <c r="U169" s="30"/>
      <c r="V169" s="29"/>
      <c r="W169" s="35"/>
      <c r="X169" s="36"/>
      <c r="Y169" s="36"/>
      <c r="Z169" s="30"/>
      <c r="AA169" s="29"/>
      <c r="AB169" s="35"/>
      <c r="AC169" s="36"/>
      <c r="AD169" s="36"/>
      <c r="AE169" s="30"/>
      <c r="AF169" s="29"/>
      <c r="AG169" s="35"/>
      <c r="AH169" s="36"/>
      <c r="AI169" s="36"/>
      <c r="AJ169" s="30"/>
      <c r="AK169" s="29"/>
      <c r="AL169" s="35"/>
      <c r="AM169" s="36"/>
      <c r="AN169" s="36"/>
      <c r="AO169" s="30"/>
      <c r="AP169" s="29"/>
      <c r="AQ169" s="35"/>
      <c r="AR169" s="36"/>
      <c r="AS169" s="36"/>
      <c r="AT169" s="30"/>
      <c r="AU169" s="29"/>
      <c r="AV169" s="29"/>
      <c r="AW169" s="29"/>
      <c r="AX169" s="37"/>
      <c r="AY169" s="39" t="str">
        <f aca="false">IF(AU169&lt;&gt;"Yes","",IF(AV169="","SELECT RE-ENTRY STAGE","MOVE TO ACTIVE at "&amp;AV169))</f>
        <v/>
      </c>
      <c r="AZ169" s="40" t="str">
        <f aca="false">IF(AU169="Yes",COUNTIF($AU$6:AU169,"Yes"),"")</f>
        <v/>
      </c>
      <c r="BA169" s="29"/>
      <c r="BB169" s="38" t="str">
        <f aca="false">IF($C169="","",IF(OR(F169="Completed",F169="Cancelled"),"",IF(AND(OR(F169="On Hold",ISNUMBER(VALUE(LEFT(H169,2)))),BA169=""),"Reason not given","")))</f>
        <v/>
      </c>
      <c r="BC169" s="30"/>
    </row>
    <row r="170" customFormat="false" ht="19.5" hidden="false" customHeight="true" outlineLevel="0" collapsed="false">
      <c r="A170" s="28" t="str">
        <f aca="false">IF($C170="","",COUNTA($C$6:$C170))</f>
        <v/>
      </c>
      <c r="B170" s="29"/>
      <c r="C170" s="30"/>
      <c r="D170" s="29"/>
      <c r="E170" s="31" t="str">
        <f aca="false">IF($C170="","",IF(NOT(OR(M170="Completed",M170="NA",M170="Cancelled")),"S1 Schematic",IF(NOT(OR(R170="Completed",R170="NA",R170="Cancelled")),"S2 PCB Layout",IF(NOT(OR(W170="Completed",W170="NA",W170="Cancelled")),"S3 SI &amp; PI",IF(NOT(OR(AB170="Completed",AB170="NA",AB170="Cancelled")),"S4 Bare-PCB Fab",IF(NOT(OR(AG170="Completed",AG170="NA",AG170="Cancelled")),"S5 Assembly",IF(NOT(OR(AL170="Completed",AL170="NA",AL170="Cancelled")),"S6 Bring-up",IF(NOT(OR(AQ170="Completed",AQ170="NA",AQ170="Cancelled")),"S7 BOM Procurement","All Stages Closed"))))))))</f>
        <v/>
      </c>
      <c r="F170" s="32" t="str">
        <f aca="false">IF($C170="","",IF(COUNTIF(M170,"Cancelled")+COUNTIF(R170,"Cancelled")+COUNTIF(W170,"Cancelled")+COUNTIF(AB170,"Cancelled")+COUNTIF(AG170,"Cancelled")+COUNTIF(AL170,"Cancelled")+COUNTIF(AQ170,"Cancelled")&gt;0,"Cancelled",IF(E170="All Stages Closed","Completed",IF(E170="S1 Schematic",M170,IF(E170="S2 PCB Layout",R170,IF(E170="S3 SI &amp; PI",W170,IF(E170="S4 Bare-PCB Fab",AB170,IF(E170="S5 Assembly",AG170,IF(E170="S6 Bring-up",AL170,AQ170)))))))))</f>
        <v/>
      </c>
      <c r="G170" s="33" t="str">
        <f aca="false">IF($C170="","",IF(E170="All Stages Closed","",IF(E170="S1 Schematic",IF(N170="","Not added",N170),IF(E170="S2 PCB Layout",IF(S170="","Not added",S170),IF(E170="S3 SI &amp; PI",IF(X170="","Not added",X170),IF(E170="S4 Bare-PCB Fab",IF(AC170="","Not added",AC170),IF(E170="S5 Assembly",IF(AH170="","Not added",AH170),IF(E170="S6 Bring-up",IF(AM170="","Not added",AM170),IF(AR170="","Not added",AR170)))))))))</f>
        <v/>
      </c>
      <c r="H170" s="32" t="str">
        <f aca="true">IF($C170="","",IF(OR(F170="Completed",F170="Cancelled"),"",IF(NOT(ISNUMBER(G170)),"No date set",IF(TODAY()&gt;G170,TODAY()-G170&amp;" days late",G170-TODAY()&amp;" days left"))))</f>
        <v/>
      </c>
      <c r="I170" s="31" t="str">
        <f aca="false">IF($C170="","",COUNTIF(M170,"Completed")+COUNTIF(R170,"Completed")+COUNTIF(W170,"Completed")+COUNTIF(AB170,"Completed")+COUNTIF(AG170,"Completed")+COUNTIF(AL170,"Completed")+COUNTIF(AQ170,"Completed"))</f>
        <v/>
      </c>
      <c r="J170" s="31" t="str">
        <f aca="false">IF($C170="","",7-(COUNTIF(M170,"NA")+COUNTIF(R170,"NA")+COUNTIF(W170,"NA")+COUNTIF(AB170,"NA")+COUNTIF(AG170,"NA")+COUNTIF(AL170,"NA")+COUNTIF(AQ170,"NA")))</f>
        <v/>
      </c>
      <c r="K170" s="34" t="str">
        <f aca="false">IFERROR(I170/J170,"")</f>
        <v/>
      </c>
      <c r="L170" s="29"/>
      <c r="M170" s="35"/>
      <c r="N170" s="36"/>
      <c r="O170" s="36"/>
      <c r="P170" s="30"/>
      <c r="Q170" s="29"/>
      <c r="R170" s="35"/>
      <c r="S170" s="36"/>
      <c r="T170" s="36"/>
      <c r="U170" s="30"/>
      <c r="V170" s="29"/>
      <c r="W170" s="35"/>
      <c r="X170" s="36"/>
      <c r="Y170" s="36"/>
      <c r="Z170" s="30"/>
      <c r="AA170" s="29"/>
      <c r="AB170" s="35"/>
      <c r="AC170" s="36"/>
      <c r="AD170" s="36"/>
      <c r="AE170" s="30"/>
      <c r="AF170" s="29"/>
      <c r="AG170" s="35"/>
      <c r="AH170" s="36"/>
      <c r="AI170" s="36"/>
      <c r="AJ170" s="30"/>
      <c r="AK170" s="29"/>
      <c r="AL170" s="35"/>
      <c r="AM170" s="36"/>
      <c r="AN170" s="36"/>
      <c r="AO170" s="30"/>
      <c r="AP170" s="29"/>
      <c r="AQ170" s="35"/>
      <c r="AR170" s="36"/>
      <c r="AS170" s="36"/>
      <c r="AT170" s="30"/>
      <c r="AU170" s="29"/>
      <c r="AV170" s="29"/>
      <c r="AW170" s="29"/>
      <c r="AX170" s="37"/>
      <c r="AY170" s="39" t="str">
        <f aca="false">IF(AU170&lt;&gt;"Yes","",IF(AV170="","SELECT RE-ENTRY STAGE","MOVE TO ACTIVE at "&amp;AV170))</f>
        <v/>
      </c>
      <c r="AZ170" s="40" t="str">
        <f aca="false">IF(AU170="Yes",COUNTIF($AU$6:AU170,"Yes"),"")</f>
        <v/>
      </c>
      <c r="BA170" s="29"/>
      <c r="BB170" s="38" t="str">
        <f aca="false">IF($C170="","",IF(OR(F170="Completed",F170="Cancelled"),"",IF(AND(OR(F170="On Hold",ISNUMBER(VALUE(LEFT(H170,2)))),BA170=""),"Reason not given","")))</f>
        <v/>
      </c>
      <c r="BC170" s="30"/>
    </row>
    <row r="171" customFormat="false" ht="19.5" hidden="false" customHeight="true" outlineLevel="0" collapsed="false">
      <c r="A171" s="28" t="str">
        <f aca="false">IF($C171="","",COUNTA($C$6:$C171))</f>
        <v/>
      </c>
      <c r="B171" s="29"/>
      <c r="C171" s="30"/>
      <c r="D171" s="29"/>
      <c r="E171" s="31" t="str">
        <f aca="false">IF($C171="","",IF(NOT(OR(M171="Completed",M171="NA",M171="Cancelled")),"S1 Schematic",IF(NOT(OR(R171="Completed",R171="NA",R171="Cancelled")),"S2 PCB Layout",IF(NOT(OR(W171="Completed",W171="NA",W171="Cancelled")),"S3 SI &amp; PI",IF(NOT(OR(AB171="Completed",AB171="NA",AB171="Cancelled")),"S4 Bare-PCB Fab",IF(NOT(OR(AG171="Completed",AG171="NA",AG171="Cancelled")),"S5 Assembly",IF(NOT(OR(AL171="Completed",AL171="NA",AL171="Cancelled")),"S6 Bring-up",IF(NOT(OR(AQ171="Completed",AQ171="NA",AQ171="Cancelled")),"S7 BOM Procurement","All Stages Closed"))))))))</f>
        <v/>
      </c>
      <c r="F171" s="32" t="str">
        <f aca="false">IF($C171="","",IF(COUNTIF(M171,"Cancelled")+COUNTIF(R171,"Cancelled")+COUNTIF(W171,"Cancelled")+COUNTIF(AB171,"Cancelled")+COUNTIF(AG171,"Cancelled")+COUNTIF(AL171,"Cancelled")+COUNTIF(AQ171,"Cancelled")&gt;0,"Cancelled",IF(E171="All Stages Closed","Completed",IF(E171="S1 Schematic",M171,IF(E171="S2 PCB Layout",R171,IF(E171="S3 SI &amp; PI",W171,IF(E171="S4 Bare-PCB Fab",AB171,IF(E171="S5 Assembly",AG171,IF(E171="S6 Bring-up",AL171,AQ171)))))))))</f>
        <v/>
      </c>
      <c r="G171" s="33" t="str">
        <f aca="false">IF($C171="","",IF(E171="All Stages Closed","",IF(E171="S1 Schematic",IF(N171="","Not added",N171),IF(E171="S2 PCB Layout",IF(S171="","Not added",S171),IF(E171="S3 SI &amp; PI",IF(X171="","Not added",X171),IF(E171="S4 Bare-PCB Fab",IF(AC171="","Not added",AC171),IF(E171="S5 Assembly",IF(AH171="","Not added",AH171),IF(E171="S6 Bring-up",IF(AM171="","Not added",AM171),IF(AR171="","Not added",AR171)))))))))</f>
        <v/>
      </c>
      <c r="H171" s="32" t="str">
        <f aca="true">IF($C171="","",IF(OR(F171="Completed",F171="Cancelled"),"",IF(NOT(ISNUMBER(G171)),"No date set",IF(TODAY()&gt;G171,TODAY()-G171&amp;" days late",G171-TODAY()&amp;" days left"))))</f>
        <v/>
      </c>
      <c r="I171" s="31" t="str">
        <f aca="false">IF($C171="","",COUNTIF(M171,"Completed")+COUNTIF(R171,"Completed")+COUNTIF(W171,"Completed")+COUNTIF(AB171,"Completed")+COUNTIF(AG171,"Completed")+COUNTIF(AL171,"Completed")+COUNTIF(AQ171,"Completed"))</f>
        <v/>
      </c>
      <c r="J171" s="31" t="str">
        <f aca="false">IF($C171="","",7-(COUNTIF(M171,"NA")+COUNTIF(R171,"NA")+COUNTIF(W171,"NA")+COUNTIF(AB171,"NA")+COUNTIF(AG171,"NA")+COUNTIF(AL171,"NA")+COUNTIF(AQ171,"NA")))</f>
        <v/>
      </c>
      <c r="K171" s="34" t="str">
        <f aca="false">IFERROR(I171/J171,"")</f>
        <v/>
      </c>
      <c r="L171" s="29"/>
      <c r="M171" s="35"/>
      <c r="N171" s="36"/>
      <c r="O171" s="36"/>
      <c r="P171" s="30"/>
      <c r="Q171" s="29"/>
      <c r="R171" s="35"/>
      <c r="S171" s="36"/>
      <c r="T171" s="36"/>
      <c r="U171" s="30"/>
      <c r="V171" s="29"/>
      <c r="W171" s="35"/>
      <c r="X171" s="36"/>
      <c r="Y171" s="36"/>
      <c r="Z171" s="30"/>
      <c r="AA171" s="29"/>
      <c r="AB171" s="35"/>
      <c r="AC171" s="36"/>
      <c r="AD171" s="36"/>
      <c r="AE171" s="30"/>
      <c r="AF171" s="29"/>
      <c r="AG171" s="35"/>
      <c r="AH171" s="36"/>
      <c r="AI171" s="36"/>
      <c r="AJ171" s="30"/>
      <c r="AK171" s="29"/>
      <c r="AL171" s="35"/>
      <c r="AM171" s="36"/>
      <c r="AN171" s="36"/>
      <c r="AO171" s="30"/>
      <c r="AP171" s="29"/>
      <c r="AQ171" s="35"/>
      <c r="AR171" s="36"/>
      <c r="AS171" s="36"/>
      <c r="AT171" s="30"/>
      <c r="AU171" s="29"/>
      <c r="AV171" s="29"/>
      <c r="AW171" s="29"/>
      <c r="AX171" s="37"/>
      <c r="AY171" s="39" t="str">
        <f aca="false">IF(AU171&lt;&gt;"Yes","",IF(AV171="","SELECT RE-ENTRY STAGE","MOVE TO ACTIVE at "&amp;AV171))</f>
        <v/>
      </c>
      <c r="AZ171" s="40" t="str">
        <f aca="false">IF(AU171="Yes",COUNTIF($AU$6:AU171,"Yes"),"")</f>
        <v/>
      </c>
      <c r="BA171" s="29"/>
      <c r="BB171" s="38" t="str">
        <f aca="false">IF($C171="","",IF(OR(F171="Completed",F171="Cancelled"),"",IF(AND(OR(F171="On Hold",ISNUMBER(VALUE(LEFT(H171,2)))),BA171=""),"Reason not given","")))</f>
        <v/>
      </c>
      <c r="BC171" s="30"/>
    </row>
    <row r="172" customFormat="false" ht="19.5" hidden="false" customHeight="true" outlineLevel="0" collapsed="false">
      <c r="A172" s="28" t="str">
        <f aca="false">IF($C172="","",COUNTA($C$6:$C172))</f>
        <v/>
      </c>
      <c r="B172" s="29"/>
      <c r="C172" s="30"/>
      <c r="D172" s="29"/>
      <c r="E172" s="31" t="str">
        <f aca="false">IF($C172="","",IF(NOT(OR(M172="Completed",M172="NA",M172="Cancelled")),"S1 Schematic",IF(NOT(OR(R172="Completed",R172="NA",R172="Cancelled")),"S2 PCB Layout",IF(NOT(OR(W172="Completed",W172="NA",W172="Cancelled")),"S3 SI &amp; PI",IF(NOT(OR(AB172="Completed",AB172="NA",AB172="Cancelled")),"S4 Bare-PCB Fab",IF(NOT(OR(AG172="Completed",AG172="NA",AG172="Cancelled")),"S5 Assembly",IF(NOT(OR(AL172="Completed",AL172="NA",AL172="Cancelled")),"S6 Bring-up",IF(NOT(OR(AQ172="Completed",AQ172="NA",AQ172="Cancelled")),"S7 BOM Procurement","All Stages Closed"))))))))</f>
        <v/>
      </c>
      <c r="F172" s="32" t="str">
        <f aca="false">IF($C172="","",IF(COUNTIF(M172,"Cancelled")+COUNTIF(R172,"Cancelled")+COUNTIF(W172,"Cancelled")+COUNTIF(AB172,"Cancelled")+COUNTIF(AG172,"Cancelled")+COUNTIF(AL172,"Cancelled")+COUNTIF(AQ172,"Cancelled")&gt;0,"Cancelled",IF(E172="All Stages Closed","Completed",IF(E172="S1 Schematic",M172,IF(E172="S2 PCB Layout",R172,IF(E172="S3 SI &amp; PI",W172,IF(E172="S4 Bare-PCB Fab",AB172,IF(E172="S5 Assembly",AG172,IF(E172="S6 Bring-up",AL172,AQ172)))))))))</f>
        <v/>
      </c>
      <c r="G172" s="33" t="str">
        <f aca="false">IF($C172="","",IF(E172="All Stages Closed","",IF(E172="S1 Schematic",IF(N172="","Not added",N172),IF(E172="S2 PCB Layout",IF(S172="","Not added",S172),IF(E172="S3 SI &amp; PI",IF(X172="","Not added",X172),IF(E172="S4 Bare-PCB Fab",IF(AC172="","Not added",AC172),IF(E172="S5 Assembly",IF(AH172="","Not added",AH172),IF(E172="S6 Bring-up",IF(AM172="","Not added",AM172),IF(AR172="","Not added",AR172)))))))))</f>
        <v/>
      </c>
      <c r="H172" s="32" t="str">
        <f aca="true">IF($C172="","",IF(OR(F172="Completed",F172="Cancelled"),"",IF(NOT(ISNUMBER(G172)),"No date set",IF(TODAY()&gt;G172,TODAY()-G172&amp;" days late",G172-TODAY()&amp;" days left"))))</f>
        <v/>
      </c>
      <c r="I172" s="31" t="str">
        <f aca="false">IF($C172="","",COUNTIF(M172,"Completed")+COUNTIF(R172,"Completed")+COUNTIF(W172,"Completed")+COUNTIF(AB172,"Completed")+COUNTIF(AG172,"Completed")+COUNTIF(AL172,"Completed")+COUNTIF(AQ172,"Completed"))</f>
        <v/>
      </c>
      <c r="J172" s="31" t="str">
        <f aca="false">IF($C172="","",7-(COUNTIF(M172,"NA")+COUNTIF(R172,"NA")+COUNTIF(W172,"NA")+COUNTIF(AB172,"NA")+COUNTIF(AG172,"NA")+COUNTIF(AL172,"NA")+COUNTIF(AQ172,"NA")))</f>
        <v/>
      </c>
      <c r="K172" s="34" t="str">
        <f aca="false">IFERROR(I172/J172,"")</f>
        <v/>
      </c>
      <c r="L172" s="29"/>
      <c r="M172" s="35"/>
      <c r="N172" s="36"/>
      <c r="O172" s="36"/>
      <c r="P172" s="30"/>
      <c r="Q172" s="29"/>
      <c r="R172" s="35"/>
      <c r="S172" s="36"/>
      <c r="T172" s="36"/>
      <c r="U172" s="30"/>
      <c r="V172" s="29"/>
      <c r="W172" s="35"/>
      <c r="X172" s="36"/>
      <c r="Y172" s="36"/>
      <c r="Z172" s="30"/>
      <c r="AA172" s="29"/>
      <c r="AB172" s="35"/>
      <c r="AC172" s="36"/>
      <c r="AD172" s="36"/>
      <c r="AE172" s="30"/>
      <c r="AF172" s="29"/>
      <c r="AG172" s="35"/>
      <c r="AH172" s="36"/>
      <c r="AI172" s="36"/>
      <c r="AJ172" s="30"/>
      <c r="AK172" s="29"/>
      <c r="AL172" s="35"/>
      <c r="AM172" s="36"/>
      <c r="AN172" s="36"/>
      <c r="AO172" s="30"/>
      <c r="AP172" s="29"/>
      <c r="AQ172" s="35"/>
      <c r="AR172" s="36"/>
      <c r="AS172" s="36"/>
      <c r="AT172" s="30"/>
      <c r="AU172" s="29"/>
      <c r="AV172" s="29"/>
      <c r="AW172" s="29"/>
      <c r="AX172" s="37"/>
      <c r="AY172" s="39" t="str">
        <f aca="false">IF(AU172&lt;&gt;"Yes","",IF(AV172="","SELECT RE-ENTRY STAGE","MOVE TO ACTIVE at "&amp;AV172))</f>
        <v/>
      </c>
      <c r="AZ172" s="40" t="str">
        <f aca="false">IF(AU172="Yes",COUNTIF($AU$6:AU172,"Yes"),"")</f>
        <v/>
      </c>
      <c r="BA172" s="29"/>
      <c r="BB172" s="38" t="str">
        <f aca="false">IF($C172="","",IF(OR(F172="Completed",F172="Cancelled"),"",IF(AND(OR(F172="On Hold",ISNUMBER(VALUE(LEFT(H172,2)))),BA172=""),"Reason not given","")))</f>
        <v/>
      </c>
      <c r="BC172" s="30"/>
    </row>
    <row r="173" customFormat="false" ht="19.5" hidden="false" customHeight="true" outlineLevel="0" collapsed="false">
      <c r="A173" s="28" t="str">
        <f aca="false">IF($C173="","",COUNTA($C$6:$C173))</f>
        <v/>
      </c>
      <c r="B173" s="29"/>
      <c r="C173" s="30"/>
      <c r="D173" s="29"/>
      <c r="E173" s="31" t="str">
        <f aca="false">IF($C173="","",IF(NOT(OR(M173="Completed",M173="NA",M173="Cancelled")),"S1 Schematic",IF(NOT(OR(R173="Completed",R173="NA",R173="Cancelled")),"S2 PCB Layout",IF(NOT(OR(W173="Completed",W173="NA",W173="Cancelled")),"S3 SI &amp; PI",IF(NOT(OR(AB173="Completed",AB173="NA",AB173="Cancelled")),"S4 Bare-PCB Fab",IF(NOT(OR(AG173="Completed",AG173="NA",AG173="Cancelled")),"S5 Assembly",IF(NOT(OR(AL173="Completed",AL173="NA",AL173="Cancelled")),"S6 Bring-up",IF(NOT(OR(AQ173="Completed",AQ173="NA",AQ173="Cancelled")),"S7 BOM Procurement","All Stages Closed"))))))))</f>
        <v/>
      </c>
      <c r="F173" s="32" t="str">
        <f aca="false">IF($C173="","",IF(COUNTIF(M173,"Cancelled")+COUNTIF(R173,"Cancelled")+COUNTIF(W173,"Cancelled")+COUNTIF(AB173,"Cancelled")+COUNTIF(AG173,"Cancelled")+COUNTIF(AL173,"Cancelled")+COUNTIF(AQ173,"Cancelled")&gt;0,"Cancelled",IF(E173="All Stages Closed","Completed",IF(E173="S1 Schematic",M173,IF(E173="S2 PCB Layout",R173,IF(E173="S3 SI &amp; PI",W173,IF(E173="S4 Bare-PCB Fab",AB173,IF(E173="S5 Assembly",AG173,IF(E173="S6 Bring-up",AL173,AQ173)))))))))</f>
        <v/>
      </c>
      <c r="G173" s="33" t="str">
        <f aca="false">IF($C173="","",IF(E173="All Stages Closed","",IF(E173="S1 Schematic",IF(N173="","Not added",N173),IF(E173="S2 PCB Layout",IF(S173="","Not added",S173),IF(E173="S3 SI &amp; PI",IF(X173="","Not added",X173),IF(E173="S4 Bare-PCB Fab",IF(AC173="","Not added",AC173),IF(E173="S5 Assembly",IF(AH173="","Not added",AH173),IF(E173="S6 Bring-up",IF(AM173="","Not added",AM173),IF(AR173="","Not added",AR173)))))))))</f>
        <v/>
      </c>
      <c r="H173" s="32" t="str">
        <f aca="true">IF($C173="","",IF(OR(F173="Completed",F173="Cancelled"),"",IF(NOT(ISNUMBER(G173)),"No date set",IF(TODAY()&gt;G173,TODAY()-G173&amp;" days late",G173-TODAY()&amp;" days left"))))</f>
        <v/>
      </c>
      <c r="I173" s="31" t="str">
        <f aca="false">IF($C173="","",COUNTIF(M173,"Completed")+COUNTIF(R173,"Completed")+COUNTIF(W173,"Completed")+COUNTIF(AB173,"Completed")+COUNTIF(AG173,"Completed")+COUNTIF(AL173,"Completed")+COUNTIF(AQ173,"Completed"))</f>
        <v/>
      </c>
      <c r="J173" s="31" t="str">
        <f aca="false">IF($C173="","",7-(COUNTIF(M173,"NA")+COUNTIF(R173,"NA")+COUNTIF(W173,"NA")+COUNTIF(AB173,"NA")+COUNTIF(AG173,"NA")+COUNTIF(AL173,"NA")+COUNTIF(AQ173,"NA")))</f>
        <v/>
      </c>
      <c r="K173" s="34" t="str">
        <f aca="false">IFERROR(I173/J173,"")</f>
        <v/>
      </c>
      <c r="L173" s="29"/>
      <c r="M173" s="35"/>
      <c r="N173" s="36"/>
      <c r="O173" s="36"/>
      <c r="P173" s="30"/>
      <c r="Q173" s="29"/>
      <c r="R173" s="35"/>
      <c r="S173" s="36"/>
      <c r="T173" s="36"/>
      <c r="U173" s="30"/>
      <c r="V173" s="29"/>
      <c r="W173" s="35"/>
      <c r="X173" s="36"/>
      <c r="Y173" s="36"/>
      <c r="Z173" s="30"/>
      <c r="AA173" s="29"/>
      <c r="AB173" s="35"/>
      <c r="AC173" s="36"/>
      <c r="AD173" s="36"/>
      <c r="AE173" s="30"/>
      <c r="AF173" s="29"/>
      <c r="AG173" s="35"/>
      <c r="AH173" s="36"/>
      <c r="AI173" s="36"/>
      <c r="AJ173" s="30"/>
      <c r="AK173" s="29"/>
      <c r="AL173" s="35"/>
      <c r="AM173" s="36"/>
      <c r="AN173" s="36"/>
      <c r="AO173" s="30"/>
      <c r="AP173" s="29"/>
      <c r="AQ173" s="35"/>
      <c r="AR173" s="36"/>
      <c r="AS173" s="36"/>
      <c r="AT173" s="30"/>
      <c r="AU173" s="29"/>
      <c r="AV173" s="29"/>
      <c r="AW173" s="29"/>
      <c r="AX173" s="37"/>
      <c r="AY173" s="39" t="str">
        <f aca="false">IF(AU173&lt;&gt;"Yes","",IF(AV173="","SELECT RE-ENTRY STAGE","MOVE TO ACTIVE at "&amp;AV173))</f>
        <v/>
      </c>
      <c r="AZ173" s="40" t="str">
        <f aca="false">IF(AU173="Yes",COUNTIF($AU$6:AU173,"Yes"),"")</f>
        <v/>
      </c>
      <c r="BA173" s="29"/>
      <c r="BB173" s="38" t="str">
        <f aca="false">IF($C173="","",IF(OR(F173="Completed",F173="Cancelled"),"",IF(AND(OR(F173="On Hold",ISNUMBER(VALUE(LEFT(H173,2)))),BA173=""),"Reason not given","")))</f>
        <v/>
      </c>
      <c r="BC173" s="30"/>
    </row>
    <row r="174" customFormat="false" ht="19.5" hidden="false" customHeight="true" outlineLevel="0" collapsed="false">
      <c r="A174" s="28" t="str">
        <f aca="false">IF($C174="","",COUNTA($C$6:$C174))</f>
        <v/>
      </c>
      <c r="B174" s="29"/>
      <c r="C174" s="30"/>
      <c r="D174" s="29"/>
      <c r="E174" s="31" t="str">
        <f aca="false">IF($C174="","",IF(NOT(OR(M174="Completed",M174="NA",M174="Cancelled")),"S1 Schematic",IF(NOT(OR(R174="Completed",R174="NA",R174="Cancelled")),"S2 PCB Layout",IF(NOT(OR(W174="Completed",W174="NA",W174="Cancelled")),"S3 SI &amp; PI",IF(NOT(OR(AB174="Completed",AB174="NA",AB174="Cancelled")),"S4 Bare-PCB Fab",IF(NOT(OR(AG174="Completed",AG174="NA",AG174="Cancelled")),"S5 Assembly",IF(NOT(OR(AL174="Completed",AL174="NA",AL174="Cancelled")),"S6 Bring-up",IF(NOT(OR(AQ174="Completed",AQ174="NA",AQ174="Cancelled")),"S7 BOM Procurement","All Stages Closed"))))))))</f>
        <v/>
      </c>
      <c r="F174" s="32" t="str">
        <f aca="false">IF($C174="","",IF(COUNTIF(M174,"Cancelled")+COUNTIF(R174,"Cancelled")+COUNTIF(W174,"Cancelled")+COUNTIF(AB174,"Cancelled")+COUNTIF(AG174,"Cancelled")+COUNTIF(AL174,"Cancelled")+COUNTIF(AQ174,"Cancelled")&gt;0,"Cancelled",IF(E174="All Stages Closed","Completed",IF(E174="S1 Schematic",M174,IF(E174="S2 PCB Layout",R174,IF(E174="S3 SI &amp; PI",W174,IF(E174="S4 Bare-PCB Fab",AB174,IF(E174="S5 Assembly",AG174,IF(E174="S6 Bring-up",AL174,AQ174)))))))))</f>
        <v/>
      </c>
      <c r="G174" s="33" t="str">
        <f aca="false">IF($C174="","",IF(E174="All Stages Closed","",IF(E174="S1 Schematic",IF(N174="","Not added",N174),IF(E174="S2 PCB Layout",IF(S174="","Not added",S174),IF(E174="S3 SI &amp; PI",IF(X174="","Not added",X174),IF(E174="S4 Bare-PCB Fab",IF(AC174="","Not added",AC174),IF(E174="S5 Assembly",IF(AH174="","Not added",AH174),IF(E174="S6 Bring-up",IF(AM174="","Not added",AM174),IF(AR174="","Not added",AR174)))))))))</f>
        <v/>
      </c>
      <c r="H174" s="32" t="str">
        <f aca="true">IF($C174="","",IF(OR(F174="Completed",F174="Cancelled"),"",IF(NOT(ISNUMBER(G174)),"No date set",IF(TODAY()&gt;G174,TODAY()-G174&amp;" days late",G174-TODAY()&amp;" days left"))))</f>
        <v/>
      </c>
      <c r="I174" s="31" t="str">
        <f aca="false">IF($C174="","",COUNTIF(M174,"Completed")+COUNTIF(R174,"Completed")+COUNTIF(W174,"Completed")+COUNTIF(AB174,"Completed")+COUNTIF(AG174,"Completed")+COUNTIF(AL174,"Completed")+COUNTIF(AQ174,"Completed"))</f>
        <v/>
      </c>
      <c r="J174" s="31" t="str">
        <f aca="false">IF($C174="","",7-(COUNTIF(M174,"NA")+COUNTIF(R174,"NA")+COUNTIF(W174,"NA")+COUNTIF(AB174,"NA")+COUNTIF(AG174,"NA")+COUNTIF(AL174,"NA")+COUNTIF(AQ174,"NA")))</f>
        <v/>
      </c>
      <c r="K174" s="34" t="str">
        <f aca="false">IFERROR(I174/J174,"")</f>
        <v/>
      </c>
      <c r="L174" s="29"/>
      <c r="M174" s="35"/>
      <c r="N174" s="36"/>
      <c r="O174" s="36"/>
      <c r="P174" s="30"/>
      <c r="Q174" s="29"/>
      <c r="R174" s="35"/>
      <c r="S174" s="36"/>
      <c r="T174" s="36"/>
      <c r="U174" s="30"/>
      <c r="V174" s="29"/>
      <c r="W174" s="35"/>
      <c r="X174" s="36"/>
      <c r="Y174" s="36"/>
      <c r="Z174" s="30"/>
      <c r="AA174" s="29"/>
      <c r="AB174" s="35"/>
      <c r="AC174" s="36"/>
      <c r="AD174" s="36"/>
      <c r="AE174" s="30"/>
      <c r="AF174" s="29"/>
      <c r="AG174" s="35"/>
      <c r="AH174" s="36"/>
      <c r="AI174" s="36"/>
      <c r="AJ174" s="30"/>
      <c r="AK174" s="29"/>
      <c r="AL174" s="35"/>
      <c r="AM174" s="36"/>
      <c r="AN174" s="36"/>
      <c r="AO174" s="30"/>
      <c r="AP174" s="29"/>
      <c r="AQ174" s="35"/>
      <c r="AR174" s="36"/>
      <c r="AS174" s="36"/>
      <c r="AT174" s="30"/>
      <c r="AU174" s="29"/>
      <c r="AV174" s="29"/>
      <c r="AW174" s="29"/>
      <c r="AX174" s="37"/>
      <c r="AY174" s="39" t="str">
        <f aca="false">IF(AU174&lt;&gt;"Yes","",IF(AV174="","SELECT RE-ENTRY STAGE","MOVE TO ACTIVE at "&amp;AV174))</f>
        <v/>
      </c>
      <c r="AZ174" s="40" t="str">
        <f aca="false">IF(AU174="Yes",COUNTIF($AU$6:AU174,"Yes"),"")</f>
        <v/>
      </c>
      <c r="BA174" s="29"/>
      <c r="BB174" s="38" t="str">
        <f aca="false">IF($C174="","",IF(OR(F174="Completed",F174="Cancelled"),"",IF(AND(OR(F174="On Hold",ISNUMBER(VALUE(LEFT(H174,2)))),BA174=""),"Reason not given","")))</f>
        <v/>
      </c>
      <c r="BC174" s="30"/>
    </row>
    <row r="175" customFormat="false" ht="19.5" hidden="false" customHeight="true" outlineLevel="0" collapsed="false">
      <c r="A175" s="28" t="str">
        <f aca="false">IF($C175="","",COUNTA($C$6:$C175))</f>
        <v/>
      </c>
      <c r="B175" s="29"/>
      <c r="C175" s="30"/>
      <c r="D175" s="29"/>
      <c r="E175" s="31" t="str">
        <f aca="false">IF($C175="","",IF(NOT(OR(M175="Completed",M175="NA",M175="Cancelled")),"S1 Schematic",IF(NOT(OR(R175="Completed",R175="NA",R175="Cancelled")),"S2 PCB Layout",IF(NOT(OR(W175="Completed",W175="NA",W175="Cancelled")),"S3 SI &amp; PI",IF(NOT(OR(AB175="Completed",AB175="NA",AB175="Cancelled")),"S4 Bare-PCB Fab",IF(NOT(OR(AG175="Completed",AG175="NA",AG175="Cancelled")),"S5 Assembly",IF(NOT(OR(AL175="Completed",AL175="NA",AL175="Cancelled")),"S6 Bring-up",IF(NOT(OR(AQ175="Completed",AQ175="NA",AQ175="Cancelled")),"S7 BOM Procurement","All Stages Closed"))))))))</f>
        <v/>
      </c>
      <c r="F175" s="32" t="str">
        <f aca="false">IF($C175="","",IF(COUNTIF(M175,"Cancelled")+COUNTIF(R175,"Cancelled")+COUNTIF(W175,"Cancelled")+COUNTIF(AB175,"Cancelled")+COUNTIF(AG175,"Cancelled")+COUNTIF(AL175,"Cancelled")+COUNTIF(AQ175,"Cancelled")&gt;0,"Cancelled",IF(E175="All Stages Closed","Completed",IF(E175="S1 Schematic",M175,IF(E175="S2 PCB Layout",R175,IF(E175="S3 SI &amp; PI",W175,IF(E175="S4 Bare-PCB Fab",AB175,IF(E175="S5 Assembly",AG175,IF(E175="S6 Bring-up",AL175,AQ175)))))))))</f>
        <v/>
      </c>
      <c r="G175" s="33" t="str">
        <f aca="false">IF($C175="","",IF(E175="All Stages Closed","",IF(E175="S1 Schematic",IF(N175="","Not added",N175),IF(E175="S2 PCB Layout",IF(S175="","Not added",S175),IF(E175="S3 SI &amp; PI",IF(X175="","Not added",X175),IF(E175="S4 Bare-PCB Fab",IF(AC175="","Not added",AC175),IF(E175="S5 Assembly",IF(AH175="","Not added",AH175),IF(E175="S6 Bring-up",IF(AM175="","Not added",AM175),IF(AR175="","Not added",AR175)))))))))</f>
        <v/>
      </c>
      <c r="H175" s="32" t="str">
        <f aca="true">IF($C175="","",IF(OR(F175="Completed",F175="Cancelled"),"",IF(NOT(ISNUMBER(G175)),"No date set",IF(TODAY()&gt;G175,TODAY()-G175&amp;" days late",G175-TODAY()&amp;" days left"))))</f>
        <v/>
      </c>
      <c r="I175" s="31" t="str">
        <f aca="false">IF($C175="","",COUNTIF(M175,"Completed")+COUNTIF(R175,"Completed")+COUNTIF(W175,"Completed")+COUNTIF(AB175,"Completed")+COUNTIF(AG175,"Completed")+COUNTIF(AL175,"Completed")+COUNTIF(AQ175,"Completed"))</f>
        <v/>
      </c>
      <c r="J175" s="31" t="str">
        <f aca="false">IF($C175="","",7-(COUNTIF(M175,"NA")+COUNTIF(R175,"NA")+COUNTIF(W175,"NA")+COUNTIF(AB175,"NA")+COUNTIF(AG175,"NA")+COUNTIF(AL175,"NA")+COUNTIF(AQ175,"NA")))</f>
        <v/>
      </c>
      <c r="K175" s="34" t="str">
        <f aca="false">IFERROR(I175/J175,"")</f>
        <v/>
      </c>
      <c r="L175" s="29"/>
      <c r="M175" s="35"/>
      <c r="N175" s="36"/>
      <c r="O175" s="36"/>
      <c r="P175" s="30"/>
      <c r="Q175" s="29"/>
      <c r="R175" s="35"/>
      <c r="S175" s="36"/>
      <c r="T175" s="36"/>
      <c r="U175" s="30"/>
      <c r="V175" s="29"/>
      <c r="W175" s="35"/>
      <c r="X175" s="36"/>
      <c r="Y175" s="36"/>
      <c r="Z175" s="30"/>
      <c r="AA175" s="29"/>
      <c r="AB175" s="35"/>
      <c r="AC175" s="36"/>
      <c r="AD175" s="36"/>
      <c r="AE175" s="30"/>
      <c r="AF175" s="29"/>
      <c r="AG175" s="35"/>
      <c r="AH175" s="36"/>
      <c r="AI175" s="36"/>
      <c r="AJ175" s="30"/>
      <c r="AK175" s="29"/>
      <c r="AL175" s="35"/>
      <c r="AM175" s="36"/>
      <c r="AN175" s="36"/>
      <c r="AO175" s="30"/>
      <c r="AP175" s="29"/>
      <c r="AQ175" s="35"/>
      <c r="AR175" s="36"/>
      <c r="AS175" s="36"/>
      <c r="AT175" s="30"/>
      <c r="AU175" s="29"/>
      <c r="AV175" s="29"/>
      <c r="AW175" s="29"/>
      <c r="AX175" s="37"/>
      <c r="AY175" s="39" t="str">
        <f aca="false">IF(AU175&lt;&gt;"Yes","",IF(AV175="","SELECT RE-ENTRY STAGE","MOVE TO ACTIVE at "&amp;AV175))</f>
        <v/>
      </c>
      <c r="AZ175" s="40" t="str">
        <f aca="false">IF(AU175="Yes",COUNTIF($AU$6:AU175,"Yes"),"")</f>
        <v/>
      </c>
      <c r="BA175" s="29"/>
      <c r="BB175" s="38" t="str">
        <f aca="false">IF($C175="","",IF(OR(F175="Completed",F175="Cancelled"),"",IF(AND(OR(F175="On Hold",ISNUMBER(VALUE(LEFT(H175,2)))),BA175=""),"Reason not given","")))</f>
        <v/>
      </c>
      <c r="BC175" s="30"/>
    </row>
    <row r="176" customFormat="false" ht="19.5" hidden="false" customHeight="true" outlineLevel="0" collapsed="false">
      <c r="A176" s="28" t="str">
        <f aca="false">IF($C176="","",COUNTA($C$6:$C176))</f>
        <v/>
      </c>
      <c r="B176" s="29"/>
      <c r="C176" s="30"/>
      <c r="D176" s="29"/>
      <c r="E176" s="31" t="str">
        <f aca="false">IF($C176="","",IF(NOT(OR(M176="Completed",M176="NA",M176="Cancelled")),"S1 Schematic",IF(NOT(OR(R176="Completed",R176="NA",R176="Cancelled")),"S2 PCB Layout",IF(NOT(OR(W176="Completed",W176="NA",W176="Cancelled")),"S3 SI &amp; PI",IF(NOT(OR(AB176="Completed",AB176="NA",AB176="Cancelled")),"S4 Bare-PCB Fab",IF(NOT(OR(AG176="Completed",AG176="NA",AG176="Cancelled")),"S5 Assembly",IF(NOT(OR(AL176="Completed",AL176="NA",AL176="Cancelled")),"S6 Bring-up",IF(NOT(OR(AQ176="Completed",AQ176="NA",AQ176="Cancelled")),"S7 BOM Procurement","All Stages Closed"))))))))</f>
        <v/>
      </c>
      <c r="F176" s="32" t="str">
        <f aca="false">IF($C176="","",IF(COUNTIF(M176,"Cancelled")+COUNTIF(R176,"Cancelled")+COUNTIF(W176,"Cancelled")+COUNTIF(AB176,"Cancelled")+COUNTIF(AG176,"Cancelled")+COUNTIF(AL176,"Cancelled")+COUNTIF(AQ176,"Cancelled")&gt;0,"Cancelled",IF(E176="All Stages Closed","Completed",IF(E176="S1 Schematic",M176,IF(E176="S2 PCB Layout",R176,IF(E176="S3 SI &amp; PI",W176,IF(E176="S4 Bare-PCB Fab",AB176,IF(E176="S5 Assembly",AG176,IF(E176="S6 Bring-up",AL176,AQ176)))))))))</f>
        <v/>
      </c>
      <c r="G176" s="33" t="str">
        <f aca="false">IF($C176="","",IF(E176="All Stages Closed","",IF(E176="S1 Schematic",IF(N176="","Not added",N176),IF(E176="S2 PCB Layout",IF(S176="","Not added",S176),IF(E176="S3 SI &amp; PI",IF(X176="","Not added",X176),IF(E176="S4 Bare-PCB Fab",IF(AC176="","Not added",AC176),IF(E176="S5 Assembly",IF(AH176="","Not added",AH176),IF(E176="S6 Bring-up",IF(AM176="","Not added",AM176),IF(AR176="","Not added",AR176)))))))))</f>
        <v/>
      </c>
      <c r="H176" s="32" t="str">
        <f aca="true">IF($C176="","",IF(OR(F176="Completed",F176="Cancelled"),"",IF(NOT(ISNUMBER(G176)),"No date set",IF(TODAY()&gt;G176,TODAY()-G176&amp;" days late",G176-TODAY()&amp;" days left"))))</f>
        <v/>
      </c>
      <c r="I176" s="31" t="str">
        <f aca="false">IF($C176="","",COUNTIF(M176,"Completed")+COUNTIF(R176,"Completed")+COUNTIF(W176,"Completed")+COUNTIF(AB176,"Completed")+COUNTIF(AG176,"Completed")+COUNTIF(AL176,"Completed")+COUNTIF(AQ176,"Completed"))</f>
        <v/>
      </c>
      <c r="J176" s="31" t="str">
        <f aca="false">IF($C176="","",7-(COUNTIF(M176,"NA")+COUNTIF(R176,"NA")+COUNTIF(W176,"NA")+COUNTIF(AB176,"NA")+COUNTIF(AG176,"NA")+COUNTIF(AL176,"NA")+COUNTIF(AQ176,"NA")))</f>
        <v/>
      </c>
      <c r="K176" s="34" t="str">
        <f aca="false">IFERROR(I176/J176,"")</f>
        <v/>
      </c>
      <c r="L176" s="29"/>
      <c r="M176" s="35"/>
      <c r="N176" s="36"/>
      <c r="O176" s="36"/>
      <c r="P176" s="30"/>
      <c r="Q176" s="29"/>
      <c r="R176" s="35"/>
      <c r="S176" s="36"/>
      <c r="T176" s="36"/>
      <c r="U176" s="30"/>
      <c r="V176" s="29"/>
      <c r="W176" s="35"/>
      <c r="X176" s="36"/>
      <c r="Y176" s="36"/>
      <c r="Z176" s="30"/>
      <c r="AA176" s="29"/>
      <c r="AB176" s="35"/>
      <c r="AC176" s="36"/>
      <c r="AD176" s="36"/>
      <c r="AE176" s="30"/>
      <c r="AF176" s="29"/>
      <c r="AG176" s="35"/>
      <c r="AH176" s="36"/>
      <c r="AI176" s="36"/>
      <c r="AJ176" s="30"/>
      <c r="AK176" s="29"/>
      <c r="AL176" s="35"/>
      <c r="AM176" s="36"/>
      <c r="AN176" s="36"/>
      <c r="AO176" s="30"/>
      <c r="AP176" s="29"/>
      <c r="AQ176" s="35"/>
      <c r="AR176" s="36"/>
      <c r="AS176" s="36"/>
      <c r="AT176" s="30"/>
      <c r="AU176" s="29"/>
      <c r="AV176" s="29"/>
      <c r="AW176" s="29"/>
      <c r="AX176" s="37"/>
      <c r="AY176" s="39" t="str">
        <f aca="false">IF(AU176&lt;&gt;"Yes","",IF(AV176="","SELECT RE-ENTRY STAGE","MOVE TO ACTIVE at "&amp;AV176))</f>
        <v/>
      </c>
      <c r="AZ176" s="40" t="str">
        <f aca="false">IF(AU176="Yes",COUNTIF($AU$6:AU176,"Yes"),"")</f>
        <v/>
      </c>
      <c r="BA176" s="29"/>
      <c r="BB176" s="38" t="str">
        <f aca="false">IF($C176="","",IF(OR(F176="Completed",F176="Cancelled"),"",IF(AND(OR(F176="On Hold",ISNUMBER(VALUE(LEFT(H176,2)))),BA176=""),"Reason not given","")))</f>
        <v/>
      </c>
      <c r="BC176" s="30"/>
    </row>
    <row r="177" customFormat="false" ht="19.5" hidden="false" customHeight="true" outlineLevel="0" collapsed="false">
      <c r="A177" s="28" t="str">
        <f aca="false">IF($C177="","",COUNTA($C$6:$C177))</f>
        <v/>
      </c>
      <c r="B177" s="29"/>
      <c r="C177" s="30"/>
      <c r="D177" s="29"/>
      <c r="E177" s="31" t="str">
        <f aca="false">IF($C177="","",IF(NOT(OR(M177="Completed",M177="NA",M177="Cancelled")),"S1 Schematic",IF(NOT(OR(R177="Completed",R177="NA",R177="Cancelled")),"S2 PCB Layout",IF(NOT(OR(W177="Completed",W177="NA",W177="Cancelled")),"S3 SI &amp; PI",IF(NOT(OR(AB177="Completed",AB177="NA",AB177="Cancelled")),"S4 Bare-PCB Fab",IF(NOT(OR(AG177="Completed",AG177="NA",AG177="Cancelled")),"S5 Assembly",IF(NOT(OR(AL177="Completed",AL177="NA",AL177="Cancelled")),"S6 Bring-up",IF(NOT(OR(AQ177="Completed",AQ177="NA",AQ177="Cancelled")),"S7 BOM Procurement","All Stages Closed"))))))))</f>
        <v/>
      </c>
      <c r="F177" s="32" t="str">
        <f aca="false">IF($C177="","",IF(COUNTIF(M177,"Cancelled")+COUNTIF(R177,"Cancelled")+COUNTIF(W177,"Cancelled")+COUNTIF(AB177,"Cancelled")+COUNTIF(AG177,"Cancelled")+COUNTIF(AL177,"Cancelled")+COUNTIF(AQ177,"Cancelled")&gt;0,"Cancelled",IF(E177="All Stages Closed","Completed",IF(E177="S1 Schematic",M177,IF(E177="S2 PCB Layout",R177,IF(E177="S3 SI &amp; PI",W177,IF(E177="S4 Bare-PCB Fab",AB177,IF(E177="S5 Assembly",AG177,IF(E177="S6 Bring-up",AL177,AQ177)))))))))</f>
        <v/>
      </c>
      <c r="G177" s="33" t="str">
        <f aca="false">IF($C177="","",IF(E177="All Stages Closed","",IF(E177="S1 Schematic",IF(N177="","Not added",N177),IF(E177="S2 PCB Layout",IF(S177="","Not added",S177),IF(E177="S3 SI &amp; PI",IF(X177="","Not added",X177),IF(E177="S4 Bare-PCB Fab",IF(AC177="","Not added",AC177),IF(E177="S5 Assembly",IF(AH177="","Not added",AH177),IF(E177="S6 Bring-up",IF(AM177="","Not added",AM177),IF(AR177="","Not added",AR177)))))))))</f>
        <v/>
      </c>
      <c r="H177" s="32" t="str">
        <f aca="true">IF($C177="","",IF(OR(F177="Completed",F177="Cancelled"),"",IF(NOT(ISNUMBER(G177)),"No date set",IF(TODAY()&gt;G177,TODAY()-G177&amp;" days late",G177-TODAY()&amp;" days left"))))</f>
        <v/>
      </c>
      <c r="I177" s="31" t="str">
        <f aca="false">IF($C177="","",COUNTIF(M177,"Completed")+COUNTIF(R177,"Completed")+COUNTIF(W177,"Completed")+COUNTIF(AB177,"Completed")+COUNTIF(AG177,"Completed")+COUNTIF(AL177,"Completed")+COUNTIF(AQ177,"Completed"))</f>
        <v/>
      </c>
      <c r="J177" s="31" t="str">
        <f aca="false">IF($C177="","",7-(COUNTIF(M177,"NA")+COUNTIF(R177,"NA")+COUNTIF(W177,"NA")+COUNTIF(AB177,"NA")+COUNTIF(AG177,"NA")+COUNTIF(AL177,"NA")+COUNTIF(AQ177,"NA")))</f>
        <v/>
      </c>
      <c r="K177" s="34" t="str">
        <f aca="false">IFERROR(I177/J177,"")</f>
        <v/>
      </c>
      <c r="L177" s="29"/>
      <c r="M177" s="35"/>
      <c r="N177" s="36"/>
      <c r="O177" s="36"/>
      <c r="P177" s="30"/>
      <c r="Q177" s="29"/>
      <c r="R177" s="35"/>
      <c r="S177" s="36"/>
      <c r="T177" s="36"/>
      <c r="U177" s="30"/>
      <c r="V177" s="29"/>
      <c r="W177" s="35"/>
      <c r="X177" s="36"/>
      <c r="Y177" s="36"/>
      <c r="Z177" s="30"/>
      <c r="AA177" s="29"/>
      <c r="AB177" s="35"/>
      <c r="AC177" s="36"/>
      <c r="AD177" s="36"/>
      <c r="AE177" s="30"/>
      <c r="AF177" s="29"/>
      <c r="AG177" s="35"/>
      <c r="AH177" s="36"/>
      <c r="AI177" s="36"/>
      <c r="AJ177" s="30"/>
      <c r="AK177" s="29"/>
      <c r="AL177" s="35"/>
      <c r="AM177" s="36"/>
      <c r="AN177" s="36"/>
      <c r="AO177" s="30"/>
      <c r="AP177" s="29"/>
      <c r="AQ177" s="35"/>
      <c r="AR177" s="36"/>
      <c r="AS177" s="36"/>
      <c r="AT177" s="30"/>
      <c r="AU177" s="29"/>
      <c r="AV177" s="29"/>
      <c r="AW177" s="29"/>
      <c r="AX177" s="37"/>
      <c r="AY177" s="39" t="str">
        <f aca="false">IF(AU177&lt;&gt;"Yes","",IF(AV177="","SELECT RE-ENTRY STAGE","MOVE TO ACTIVE at "&amp;AV177))</f>
        <v/>
      </c>
      <c r="AZ177" s="40" t="str">
        <f aca="false">IF(AU177="Yes",COUNTIF($AU$6:AU177,"Yes"),"")</f>
        <v/>
      </c>
      <c r="BA177" s="29"/>
      <c r="BB177" s="38" t="str">
        <f aca="false">IF($C177="","",IF(OR(F177="Completed",F177="Cancelled"),"",IF(AND(OR(F177="On Hold",ISNUMBER(VALUE(LEFT(H177,2)))),BA177=""),"Reason not given","")))</f>
        <v/>
      </c>
      <c r="BC177" s="30"/>
    </row>
    <row r="178" customFormat="false" ht="19.5" hidden="false" customHeight="true" outlineLevel="0" collapsed="false">
      <c r="A178" s="28" t="str">
        <f aca="false">IF($C178="","",COUNTA($C$6:$C178))</f>
        <v/>
      </c>
      <c r="B178" s="29"/>
      <c r="C178" s="30"/>
      <c r="D178" s="29"/>
      <c r="E178" s="31" t="str">
        <f aca="false">IF($C178="","",IF(NOT(OR(M178="Completed",M178="NA",M178="Cancelled")),"S1 Schematic",IF(NOT(OR(R178="Completed",R178="NA",R178="Cancelled")),"S2 PCB Layout",IF(NOT(OR(W178="Completed",W178="NA",W178="Cancelled")),"S3 SI &amp; PI",IF(NOT(OR(AB178="Completed",AB178="NA",AB178="Cancelled")),"S4 Bare-PCB Fab",IF(NOT(OR(AG178="Completed",AG178="NA",AG178="Cancelled")),"S5 Assembly",IF(NOT(OR(AL178="Completed",AL178="NA",AL178="Cancelled")),"S6 Bring-up",IF(NOT(OR(AQ178="Completed",AQ178="NA",AQ178="Cancelled")),"S7 BOM Procurement","All Stages Closed"))))))))</f>
        <v/>
      </c>
      <c r="F178" s="32" t="str">
        <f aca="false">IF($C178="","",IF(COUNTIF(M178,"Cancelled")+COUNTIF(R178,"Cancelled")+COUNTIF(W178,"Cancelled")+COUNTIF(AB178,"Cancelled")+COUNTIF(AG178,"Cancelled")+COUNTIF(AL178,"Cancelled")+COUNTIF(AQ178,"Cancelled")&gt;0,"Cancelled",IF(E178="All Stages Closed","Completed",IF(E178="S1 Schematic",M178,IF(E178="S2 PCB Layout",R178,IF(E178="S3 SI &amp; PI",W178,IF(E178="S4 Bare-PCB Fab",AB178,IF(E178="S5 Assembly",AG178,IF(E178="S6 Bring-up",AL178,AQ178)))))))))</f>
        <v/>
      </c>
      <c r="G178" s="33" t="str">
        <f aca="false">IF($C178="","",IF(E178="All Stages Closed","",IF(E178="S1 Schematic",IF(N178="","Not added",N178),IF(E178="S2 PCB Layout",IF(S178="","Not added",S178),IF(E178="S3 SI &amp; PI",IF(X178="","Not added",X178),IF(E178="S4 Bare-PCB Fab",IF(AC178="","Not added",AC178),IF(E178="S5 Assembly",IF(AH178="","Not added",AH178),IF(E178="S6 Bring-up",IF(AM178="","Not added",AM178),IF(AR178="","Not added",AR178)))))))))</f>
        <v/>
      </c>
      <c r="H178" s="32" t="str">
        <f aca="true">IF($C178="","",IF(OR(F178="Completed",F178="Cancelled"),"",IF(NOT(ISNUMBER(G178)),"No date set",IF(TODAY()&gt;G178,TODAY()-G178&amp;" days late",G178-TODAY()&amp;" days left"))))</f>
        <v/>
      </c>
      <c r="I178" s="31" t="str">
        <f aca="false">IF($C178="","",COUNTIF(M178,"Completed")+COUNTIF(R178,"Completed")+COUNTIF(W178,"Completed")+COUNTIF(AB178,"Completed")+COUNTIF(AG178,"Completed")+COUNTIF(AL178,"Completed")+COUNTIF(AQ178,"Completed"))</f>
        <v/>
      </c>
      <c r="J178" s="31" t="str">
        <f aca="false">IF($C178="","",7-(COUNTIF(M178,"NA")+COUNTIF(R178,"NA")+COUNTIF(W178,"NA")+COUNTIF(AB178,"NA")+COUNTIF(AG178,"NA")+COUNTIF(AL178,"NA")+COUNTIF(AQ178,"NA")))</f>
        <v/>
      </c>
      <c r="K178" s="34" t="str">
        <f aca="false">IFERROR(I178/J178,"")</f>
        <v/>
      </c>
      <c r="L178" s="29"/>
      <c r="M178" s="35"/>
      <c r="N178" s="36"/>
      <c r="O178" s="36"/>
      <c r="P178" s="30"/>
      <c r="Q178" s="29"/>
      <c r="R178" s="35"/>
      <c r="S178" s="36"/>
      <c r="T178" s="36"/>
      <c r="U178" s="30"/>
      <c r="V178" s="29"/>
      <c r="W178" s="35"/>
      <c r="X178" s="36"/>
      <c r="Y178" s="36"/>
      <c r="Z178" s="30"/>
      <c r="AA178" s="29"/>
      <c r="AB178" s="35"/>
      <c r="AC178" s="36"/>
      <c r="AD178" s="36"/>
      <c r="AE178" s="30"/>
      <c r="AF178" s="29"/>
      <c r="AG178" s="35"/>
      <c r="AH178" s="36"/>
      <c r="AI178" s="36"/>
      <c r="AJ178" s="30"/>
      <c r="AK178" s="29"/>
      <c r="AL178" s="35"/>
      <c r="AM178" s="36"/>
      <c r="AN178" s="36"/>
      <c r="AO178" s="30"/>
      <c r="AP178" s="29"/>
      <c r="AQ178" s="35"/>
      <c r="AR178" s="36"/>
      <c r="AS178" s="36"/>
      <c r="AT178" s="30"/>
      <c r="AU178" s="29"/>
      <c r="AV178" s="29"/>
      <c r="AW178" s="29"/>
      <c r="AX178" s="37"/>
      <c r="AY178" s="39" t="str">
        <f aca="false">IF(AU178&lt;&gt;"Yes","",IF(AV178="","SELECT RE-ENTRY STAGE","MOVE TO ACTIVE at "&amp;AV178))</f>
        <v/>
      </c>
      <c r="AZ178" s="40" t="str">
        <f aca="false">IF(AU178="Yes",COUNTIF($AU$6:AU178,"Yes"),"")</f>
        <v/>
      </c>
      <c r="BA178" s="29"/>
      <c r="BB178" s="38" t="str">
        <f aca="false">IF($C178="","",IF(OR(F178="Completed",F178="Cancelled"),"",IF(AND(OR(F178="On Hold",ISNUMBER(VALUE(LEFT(H178,2)))),BA178=""),"Reason not given","")))</f>
        <v/>
      </c>
      <c r="BC178" s="30"/>
    </row>
    <row r="179" customFormat="false" ht="19.5" hidden="false" customHeight="true" outlineLevel="0" collapsed="false">
      <c r="A179" s="28" t="str">
        <f aca="false">IF($C179="","",COUNTA($C$6:$C179))</f>
        <v/>
      </c>
      <c r="B179" s="29"/>
      <c r="C179" s="30"/>
      <c r="D179" s="29"/>
      <c r="E179" s="31" t="str">
        <f aca="false">IF($C179="","",IF(NOT(OR(M179="Completed",M179="NA",M179="Cancelled")),"S1 Schematic",IF(NOT(OR(R179="Completed",R179="NA",R179="Cancelled")),"S2 PCB Layout",IF(NOT(OR(W179="Completed",W179="NA",W179="Cancelled")),"S3 SI &amp; PI",IF(NOT(OR(AB179="Completed",AB179="NA",AB179="Cancelled")),"S4 Bare-PCB Fab",IF(NOT(OR(AG179="Completed",AG179="NA",AG179="Cancelled")),"S5 Assembly",IF(NOT(OR(AL179="Completed",AL179="NA",AL179="Cancelled")),"S6 Bring-up",IF(NOT(OR(AQ179="Completed",AQ179="NA",AQ179="Cancelled")),"S7 BOM Procurement","All Stages Closed"))))))))</f>
        <v/>
      </c>
      <c r="F179" s="32" t="str">
        <f aca="false">IF($C179="","",IF(COUNTIF(M179,"Cancelled")+COUNTIF(R179,"Cancelled")+COUNTIF(W179,"Cancelled")+COUNTIF(AB179,"Cancelled")+COUNTIF(AG179,"Cancelled")+COUNTIF(AL179,"Cancelled")+COUNTIF(AQ179,"Cancelled")&gt;0,"Cancelled",IF(E179="All Stages Closed","Completed",IF(E179="S1 Schematic",M179,IF(E179="S2 PCB Layout",R179,IF(E179="S3 SI &amp; PI",W179,IF(E179="S4 Bare-PCB Fab",AB179,IF(E179="S5 Assembly",AG179,IF(E179="S6 Bring-up",AL179,AQ179)))))))))</f>
        <v/>
      </c>
      <c r="G179" s="33" t="str">
        <f aca="false">IF($C179="","",IF(E179="All Stages Closed","",IF(E179="S1 Schematic",IF(N179="","Not added",N179),IF(E179="S2 PCB Layout",IF(S179="","Not added",S179),IF(E179="S3 SI &amp; PI",IF(X179="","Not added",X179),IF(E179="S4 Bare-PCB Fab",IF(AC179="","Not added",AC179),IF(E179="S5 Assembly",IF(AH179="","Not added",AH179),IF(E179="S6 Bring-up",IF(AM179="","Not added",AM179),IF(AR179="","Not added",AR179)))))))))</f>
        <v/>
      </c>
      <c r="H179" s="32" t="str">
        <f aca="true">IF($C179="","",IF(OR(F179="Completed",F179="Cancelled"),"",IF(NOT(ISNUMBER(G179)),"No date set",IF(TODAY()&gt;G179,TODAY()-G179&amp;" days late",G179-TODAY()&amp;" days left"))))</f>
        <v/>
      </c>
      <c r="I179" s="31" t="str">
        <f aca="false">IF($C179="","",COUNTIF(M179,"Completed")+COUNTIF(R179,"Completed")+COUNTIF(W179,"Completed")+COUNTIF(AB179,"Completed")+COUNTIF(AG179,"Completed")+COUNTIF(AL179,"Completed")+COUNTIF(AQ179,"Completed"))</f>
        <v/>
      </c>
      <c r="J179" s="31" t="str">
        <f aca="false">IF($C179="","",7-(COUNTIF(M179,"NA")+COUNTIF(R179,"NA")+COUNTIF(W179,"NA")+COUNTIF(AB179,"NA")+COUNTIF(AG179,"NA")+COUNTIF(AL179,"NA")+COUNTIF(AQ179,"NA")))</f>
        <v/>
      </c>
      <c r="K179" s="34" t="str">
        <f aca="false">IFERROR(I179/J179,"")</f>
        <v/>
      </c>
      <c r="L179" s="29"/>
      <c r="M179" s="35"/>
      <c r="N179" s="36"/>
      <c r="O179" s="36"/>
      <c r="P179" s="30"/>
      <c r="Q179" s="29"/>
      <c r="R179" s="35"/>
      <c r="S179" s="36"/>
      <c r="T179" s="36"/>
      <c r="U179" s="30"/>
      <c r="V179" s="29"/>
      <c r="W179" s="35"/>
      <c r="X179" s="36"/>
      <c r="Y179" s="36"/>
      <c r="Z179" s="30"/>
      <c r="AA179" s="29"/>
      <c r="AB179" s="35"/>
      <c r="AC179" s="36"/>
      <c r="AD179" s="36"/>
      <c r="AE179" s="30"/>
      <c r="AF179" s="29"/>
      <c r="AG179" s="35"/>
      <c r="AH179" s="36"/>
      <c r="AI179" s="36"/>
      <c r="AJ179" s="30"/>
      <c r="AK179" s="29"/>
      <c r="AL179" s="35"/>
      <c r="AM179" s="36"/>
      <c r="AN179" s="36"/>
      <c r="AO179" s="30"/>
      <c r="AP179" s="29"/>
      <c r="AQ179" s="35"/>
      <c r="AR179" s="36"/>
      <c r="AS179" s="36"/>
      <c r="AT179" s="30"/>
      <c r="AU179" s="29"/>
      <c r="AV179" s="29"/>
      <c r="AW179" s="29"/>
      <c r="AX179" s="37"/>
      <c r="AY179" s="39" t="str">
        <f aca="false">IF(AU179&lt;&gt;"Yes","",IF(AV179="","SELECT RE-ENTRY STAGE","MOVE TO ACTIVE at "&amp;AV179))</f>
        <v/>
      </c>
      <c r="AZ179" s="40" t="str">
        <f aca="false">IF(AU179="Yes",COUNTIF($AU$6:AU179,"Yes"),"")</f>
        <v/>
      </c>
      <c r="BA179" s="29"/>
      <c r="BB179" s="38" t="str">
        <f aca="false">IF($C179="","",IF(OR(F179="Completed",F179="Cancelled"),"",IF(AND(OR(F179="On Hold",ISNUMBER(VALUE(LEFT(H179,2)))),BA179=""),"Reason not given","")))</f>
        <v/>
      </c>
      <c r="BC179" s="30"/>
    </row>
    <row r="180" customFormat="false" ht="19.5" hidden="false" customHeight="true" outlineLevel="0" collapsed="false">
      <c r="A180" s="28" t="str">
        <f aca="false">IF($C180="","",COUNTA($C$6:$C180))</f>
        <v/>
      </c>
      <c r="B180" s="29"/>
      <c r="C180" s="30"/>
      <c r="D180" s="29"/>
      <c r="E180" s="31" t="str">
        <f aca="false">IF($C180="","",IF(NOT(OR(M180="Completed",M180="NA",M180="Cancelled")),"S1 Schematic",IF(NOT(OR(R180="Completed",R180="NA",R180="Cancelled")),"S2 PCB Layout",IF(NOT(OR(W180="Completed",W180="NA",W180="Cancelled")),"S3 SI &amp; PI",IF(NOT(OR(AB180="Completed",AB180="NA",AB180="Cancelled")),"S4 Bare-PCB Fab",IF(NOT(OR(AG180="Completed",AG180="NA",AG180="Cancelled")),"S5 Assembly",IF(NOT(OR(AL180="Completed",AL180="NA",AL180="Cancelled")),"S6 Bring-up",IF(NOT(OR(AQ180="Completed",AQ180="NA",AQ180="Cancelled")),"S7 BOM Procurement","All Stages Closed"))))))))</f>
        <v/>
      </c>
      <c r="F180" s="32" t="str">
        <f aca="false">IF($C180="","",IF(COUNTIF(M180,"Cancelled")+COUNTIF(R180,"Cancelled")+COUNTIF(W180,"Cancelled")+COUNTIF(AB180,"Cancelled")+COUNTIF(AG180,"Cancelled")+COUNTIF(AL180,"Cancelled")+COUNTIF(AQ180,"Cancelled")&gt;0,"Cancelled",IF(E180="All Stages Closed","Completed",IF(E180="S1 Schematic",M180,IF(E180="S2 PCB Layout",R180,IF(E180="S3 SI &amp; PI",W180,IF(E180="S4 Bare-PCB Fab",AB180,IF(E180="S5 Assembly",AG180,IF(E180="S6 Bring-up",AL180,AQ180)))))))))</f>
        <v/>
      </c>
      <c r="G180" s="33" t="str">
        <f aca="false">IF($C180="","",IF(E180="All Stages Closed","",IF(E180="S1 Schematic",IF(N180="","Not added",N180),IF(E180="S2 PCB Layout",IF(S180="","Not added",S180),IF(E180="S3 SI &amp; PI",IF(X180="","Not added",X180),IF(E180="S4 Bare-PCB Fab",IF(AC180="","Not added",AC180),IF(E180="S5 Assembly",IF(AH180="","Not added",AH180),IF(E180="S6 Bring-up",IF(AM180="","Not added",AM180),IF(AR180="","Not added",AR180)))))))))</f>
        <v/>
      </c>
      <c r="H180" s="32" t="str">
        <f aca="true">IF($C180="","",IF(OR(F180="Completed",F180="Cancelled"),"",IF(NOT(ISNUMBER(G180)),"No date set",IF(TODAY()&gt;G180,TODAY()-G180&amp;" days late",G180-TODAY()&amp;" days left"))))</f>
        <v/>
      </c>
      <c r="I180" s="31" t="str">
        <f aca="false">IF($C180="","",COUNTIF(M180,"Completed")+COUNTIF(R180,"Completed")+COUNTIF(W180,"Completed")+COUNTIF(AB180,"Completed")+COUNTIF(AG180,"Completed")+COUNTIF(AL180,"Completed")+COUNTIF(AQ180,"Completed"))</f>
        <v/>
      </c>
      <c r="J180" s="31" t="str">
        <f aca="false">IF($C180="","",7-(COUNTIF(M180,"NA")+COUNTIF(R180,"NA")+COUNTIF(W180,"NA")+COUNTIF(AB180,"NA")+COUNTIF(AG180,"NA")+COUNTIF(AL180,"NA")+COUNTIF(AQ180,"NA")))</f>
        <v/>
      </c>
      <c r="K180" s="34" t="str">
        <f aca="false">IFERROR(I180/J180,"")</f>
        <v/>
      </c>
      <c r="L180" s="29"/>
      <c r="M180" s="35"/>
      <c r="N180" s="36"/>
      <c r="O180" s="36"/>
      <c r="P180" s="30"/>
      <c r="Q180" s="29"/>
      <c r="R180" s="35"/>
      <c r="S180" s="36"/>
      <c r="T180" s="36"/>
      <c r="U180" s="30"/>
      <c r="V180" s="29"/>
      <c r="W180" s="35"/>
      <c r="X180" s="36"/>
      <c r="Y180" s="36"/>
      <c r="Z180" s="30"/>
      <c r="AA180" s="29"/>
      <c r="AB180" s="35"/>
      <c r="AC180" s="36"/>
      <c r="AD180" s="36"/>
      <c r="AE180" s="30"/>
      <c r="AF180" s="29"/>
      <c r="AG180" s="35"/>
      <c r="AH180" s="36"/>
      <c r="AI180" s="36"/>
      <c r="AJ180" s="30"/>
      <c r="AK180" s="29"/>
      <c r="AL180" s="35"/>
      <c r="AM180" s="36"/>
      <c r="AN180" s="36"/>
      <c r="AO180" s="30"/>
      <c r="AP180" s="29"/>
      <c r="AQ180" s="35"/>
      <c r="AR180" s="36"/>
      <c r="AS180" s="36"/>
      <c r="AT180" s="30"/>
      <c r="AU180" s="29"/>
      <c r="AV180" s="29"/>
      <c r="AW180" s="29"/>
      <c r="AX180" s="37"/>
      <c r="AY180" s="39" t="str">
        <f aca="false">IF(AU180&lt;&gt;"Yes","",IF(AV180="","SELECT RE-ENTRY STAGE","MOVE TO ACTIVE at "&amp;AV180))</f>
        <v/>
      </c>
      <c r="AZ180" s="40" t="str">
        <f aca="false">IF(AU180="Yes",COUNTIF($AU$6:AU180,"Yes"),"")</f>
        <v/>
      </c>
      <c r="BA180" s="29"/>
      <c r="BB180" s="38" t="str">
        <f aca="false">IF($C180="","",IF(OR(F180="Completed",F180="Cancelled"),"",IF(AND(OR(F180="On Hold",ISNUMBER(VALUE(LEFT(H180,2)))),BA180=""),"Reason not given","")))</f>
        <v/>
      </c>
      <c r="BC180" s="30"/>
    </row>
    <row r="181" customFormat="false" ht="19.5" hidden="false" customHeight="true" outlineLevel="0" collapsed="false">
      <c r="A181" s="28" t="str">
        <f aca="false">IF($C181="","",COUNTA($C$6:$C181))</f>
        <v/>
      </c>
      <c r="B181" s="29"/>
      <c r="C181" s="30"/>
      <c r="D181" s="29"/>
      <c r="E181" s="31" t="str">
        <f aca="false">IF($C181="","",IF(NOT(OR(M181="Completed",M181="NA",M181="Cancelled")),"S1 Schematic",IF(NOT(OR(R181="Completed",R181="NA",R181="Cancelled")),"S2 PCB Layout",IF(NOT(OR(W181="Completed",W181="NA",W181="Cancelled")),"S3 SI &amp; PI",IF(NOT(OR(AB181="Completed",AB181="NA",AB181="Cancelled")),"S4 Bare-PCB Fab",IF(NOT(OR(AG181="Completed",AG181="NA",AG181="Cancelled")),"S5 Assembly",IF(NOT(OR(AL181="Completed",AL181="NA",AL181="Cancelled")),"S6 Bring-up",IF(NOT(OR(AQ181="Completed",AQ181="NA",AQ181="Cancelled")),"S7 BOM Procurement","All Stages Closed"))))))))</f>
        <v/>
      </c>
      <c r="F181" s="32" t="str">
        <f aca="false">IF($C181="","",IF(COUNTIF(M181,"Cancelled")+COUNTIF(R181,"Cancelled")+COUNTIF(W181,"Cancelled")+COUNTIF(AB181,"Cancelled")+COUNTIF(AG181,"Cancelled")+COUNTIF(AL181,"Cancelled")+COUNTIF(AQ181,"Cancelled")&gt;0,"Cancelled",IF(E181="All Stages Closed","Completed",IF(E181="S1 Schematic",M181,IF(E181="S2 PCB Layout",R181,IF(E181="S3 SI &amp; PI",W181,IF(E181="S4 Bare-PCB Fab",AB181,IF(E181="S5 Assembly",AG181,IF(E181="S6 Bring-up",AL181,AQ181)))))))))</f>
        <v/>
      </c>
      <c r="G181" s="33" t="str">
        <f aca="false">IF($C181="","",IF(E181="All Stages Closed","",IF(E181="S1 Schematic",IF(N181="","Not added",N181),IF(E181="S2 PCB Layout",IF(S181="","Not added",S181),IF(E181="S3 SI &amp; PI",IF(X181="","Not added",X181),IF(E181="S4 Bare-PCB Fab",IF(AC181="","Not added",AC181),IF(E181="S5 Assembly",IF(AH181="","Not added",AH181),IF(E181="S6 Bring-up",IF(AM181="","Not added",AM181),IF(AR181="","Not added",AR181)))))))))</f>
        <v/>
      </c>
      <c r="H181" s="32" t="str">
        <f aca="true">IF($C181="","",IF(OR(F181="Completed",F181="Cancelled"),"",IF(NOT(ISNUMBER(G181)),"No date set",IF(TODAY()&gt;G181,TODAY()-G181&amp;" days late",G181-TODAY()&amp;" days left"))))</f>
        <v/>
      </c>
      <c r="I181" s="31" t="str">
        <f aca="false">IF($C181="","",COUNTIF(M181,"Completed")+COUNTIF(R181,"Completed")+COUNTIF(W181,"Completed")+COUNTIF(AB181,"Completed")+COUNTIF(AG181,"Completed")+COUNTIF(AL181,"Completed")+COUNTIF(AQ181,"Completed"))</f>
        <v/>
      </c>
      <c r="J181" s="31" t="str">
        <f aca="false">IF($C181="","",7-(COUNTIF(M181,"NA")+COUNTIF(R181,"NA")+COUNTIF(W181,"NA")+COUNTIF(AB181,"NA")+COUNTIF(AG181,"NA")+COUNTIF(AL181,"NA")+COUNTIF(AQ181,"NA")))</f>
        <v/>
      </c>
      <c r="K181" s="34" t="str">
        <f aca="false">IFERROR(I181/J181,"")</f>
        <v/>
      </c>
      <c r="L181" s="29"/>
      <c r="M181" s="35"/>
      <c r="N181" s="36"/>
      <c r="O181" s="36"/>
      <c r="P181" s="30"/>
      <c r="Q181" s="29"/>
      <c r="R181" s="35"/>
      <c r="S181" s="36"/>
      <c r="T181" s="36"/>
      <c r="U181" s="30"/>
      <c r="V181" s="29"/>
      <c r="W181" s="35"/>
      <c r="X181" s="36"/>
      <c r="Y181" s="36"/>
      <c r="Z181" s="30"/>
      <c r="AA181" s="29"/>
      <c r="AB181" s="35"/>
      <c r="AC181" s="36"/>
      <c r="AD181" s="36"/>
      <c r="AE181" s="30"/>
      <c r="AF181" s="29"/>
      <c r="AG181" s="35"/>
      <c r="AH181" s="36"/>
      <c r="AI181" s="36"/>
      <c r="AJ181" s="30"/>
      <c r="AK181" s="29"/>
      <c r="AL181" s="35"/>
      <c r="AM181" s="36"/>
      <c r="AN181" s="36"/>
      <c r="AO181" s="30"/>
      <c r="AP181" s="29"/>
      <c r="AQ181" s="35"/>
      <c r="AR181" s="36"/>
      <c r="AS181" s="36"/>
      <c r="AT181" s="30"/>
      <c r="AU181" s="29"/>
      <c r="AV181" s="29"/>
      <c r="AW181" s="29"/>
      <c r="AX181" s="37"/>
      <c r="AY181" s="39" t="str">
        <f aca="false">IF(AU181&lt;&gt;"Yes","",IF(AV181="","SELECT RE-ENTRY STAGE","MOVE TO ACTIVE at "&amp;AV181))</f>
        <v/>
      </c>
      <c r="AZ181" s="40" t="str">
        <f aca="false">IF(AU181="Yes",COUNTIF($AU$6:AU181,"Yes"),"")</f>
        <v/>
      </c>
      <c r="BA181" s="29"/>
      <c r="BB181" s="38" t="str">
        <f aca="false">IF($C181="","",IF(OR(F181="Completed",F181="Cancelled"),"",IF(AND(OR(F181="On Hold",ISNUMBER(VALUE(LEFT(H181,2)))),BA181=""),"Reason not given","")))</f>
        <v/>
      </c>
      <c r="BC181" s="30"/>
    </row>
    <row r="182" customFormat="false" ht="19.5" hidden="false" customHeight="true" outlineLevel="0" collapsed="false">
      <c r="A182" s="28" t="str">
        <f aca="false">IF($C182="","",COUNTA($C$6:$C182))</f>
        <v/>
      </c>
      <c r="B182" s="29"/>
      <c r="C182" s="30"/>
      <c r="D182" s="29"/>
      <c r="E182" s="31" t="str">
        <f aca="false">IF($C182="","",IF(NOT(OR(M182="Completed",M182="NA",M182="Cancelled")),"S1 Schematic",IF(NOT(OR(R182="Completed",R182="NA",R182="Cancelled")),"S2 PCB Layout",IF(NOT(OR(W182="Completed",W182="NA",W182="Cancelled")),"S3 SI &amp; PI",IF(NOT(OR(AB182="Completed",AB182="NA",AB182="Cancelled")),"S4 Bare-PCB Fab",IF(NOT(OR(AG182="Completed",AG182="NA",AG182="Cancelled")),"S5 Assembly",IF(NOT(OR(AL182="Completed",AL182="NA",AL182="Cancelled")),"S6 Bring-up",IF(NOT(OR(AQ182="Completed",AQ182="NA",AQ182="Cancelled")),"S7 BOM Procurement","All Stages Closed"))))))))</f>
        <v/>
      </c>
      <c r="F182" s="32" t="str">
        <f aca="false">IF($C182="","",IF(COUNTIF(M182,"Cancelled")+COUNTIF(R182,"Cancelled")+COUNTIF(W182,"Cancelled")+COUNTIF(AB182,"Cancelled")+COUNTIF(AG182,"Cancelled")+COUNTIF(AL182,"Cancelled")+COUNTIF(AQ182,"Cancelled")&gt;0,"Cancelled",IF(E182="All Stages Closed","Completed",IF(E182="S1 Schematic",M182,IF(E182="S2 PCB Layout",R182,IF(E182="S3 SI &amp; PI",W182,IF(E182="S4 Bare-PCB Fab",AB182,IF(E182="S5 Assembly",AG182,IF(E182="S6 Bring-up",AL182,AQ182)))))))))</f>
        <v/>
      </c>
      <c r="G182" s="33" t="str">
        <f aca="false">IF($C182="","",IF(E182="All Stages Closed","",IF(E182="S1 Schematic",IF(N182="","Not added",N182),IF(E182="S2 PCB Layout",IF(S182="","Not added",S182),IF(E182="S3 SI &amp; PI",IF(X182="","Not added",X182),IF(E182="S4 Bare-PCB Fab",IF(AC182="","Not added",AC182),IF(E182="S5 Assembly",IF(AH182="","Not added",AH182),IF(E182="S6 Bring-up",IF(AM182="","Not added",AM182),IF(AR182="","Not added",AR182)))))))))</f>
        <v/>
      </c>
      <c r="H182" s="32" t="str">
        <f aca="true">IF($C182="","",IF(OR(F182="Completed",F182="Cancelled"),"",IF(NOT(ISNUMBER(G182)),"No date set",IF(TODAY()&gt;G182,TODAY()-G182&amp;" days late",G182-TODAY()&amp;" days left"))))</f>
        <v/>
      </c>
      <c r="I182" s="31" t="str">
        <f aca="false">IF($C182="","",COUNTIF(M182,"Completed")+COUNTIF(R182,"Completed")+COUNTIF(W182,"Completed")+COUNTIF(AB182,"Completed")+COUNTIF(AG182,"Completed")+COUNTIF(AL182,"Completed")+COUNTIF(AQ182,"Completed"))</f>
        <v/>
      </c>
      <c r="J182" s="31" t="str">
        <f aca="false">IF($C182="","",7-(COUNTIF(M182,"NA")+COUNTIF(R182,"NA")+COUNTIF(W182,"NA")+COUNTIF(AB182,"NA")+COUNTIF(AG182,"NA")+COUNTIF(AL182,"NA")+COUNTIF(AQ182,"NA")))</f>
        <v/>
      </c>
      <c r="K182" s="34" t="str">
        <f aca="false">IFERROR(I182/J182,"")</f>
        <v/>
      </c>
      <c r="L182" s="29"/>
      <c r="M182" s="35"/>
      <c r="N182" s="36"/>
      <c r="O182" s="36"/>
      <c r="P182" s="30"/>
      <c r="Q182" s="29"/>
      <c r="R182" s="35"/>
      <c r="S182" s="36"/>
      <c r="T182" s="36"/>
      <c r="U182" s="30"/>
      <c r="V182" s="29"/>
      <c r="W182" s="35"/>
      <c r="X182" s="36"/>
      <c r="Y182" s="36"/>
      <c r="Z182" s="30"/>
      <c r="AA182" s="29"/>
      <c r="AB182" s="35"/>
      <c r="AC182" s="36"/>
      <c r="AD182" s="36"/>
      <c r="AE182" s="30"/>
      <c r="AF182" s="29"/>
      <c r="AG182" s="35"/>
      <c r="AH182" s="36"/>
      <c r="AI182" s="36"/>
      <c r="AJ182" s="30"/>
      <c r="AK182" s="29"/>
      <c r="AL182" s="35"/>
      <c r="AM182" s="36"/>
      <c r="AN182" s="36"/>
      <c r="AO182" s="30"/>
      <c r="AP182" s="29"/>
      <c r="AQ182" s="35"/>
      <c r="AR182" s="36"/>
      <c r="AS182" s="36"/>
      <c r="AT182" s="30"/>
      <c r="AU182" s="29"/>
      <c r="AV182" s="29"/>
      <c r="AW182" s="29"/>
      <c r="AX182" s="37"/>
      <c r="AY182" s="39" t="str">
        <f aca="false">IF(AU182&lt;&gt;"Yes","",IF(AV182="","SELECT RE-ENTRY STAGE","MOVE TO ACTIVE at "&amp;AV182))</f>
        <v/>
      </c>
      <c r="AZ182" s="40" t="str">
        <f aca="false">IF(AU182="Yes",COUNTIF($AU$6:AU182,"Yes"),"")</f>
        <v/>
      </c>
      <c r="BA182" s="29"/>
      <c r="BB182" s="38" t="str">
        <f aca="false">IF($C182="","",IF(OR(F182="Completed",F182="Cancelled"),"",IF(AND(OR(F182="On Hold",ISNUMBER(VALUE(LEFT(H182,2)))),BA182=""),"Reason not given","")))</f>
        <v/>
      </c>
      <c r="BC182" s="30"/>
    </row>
    <row r="183" customFormat="false" ht="19.5" hidden="false" customHeight="true" outlineLevel="0" collapsed="false">
      <c r="A183" s="28" t="str">
        <f aca="false">IF($C183="","",COUNTA($C$6:$C183))</f>
        <v/>
      </c>
      <c r="B183" s="29"/>
      <c r="C183" s="30"/>
      <c r="D183" s="29"/>
      <c r="E183" s="31" t="str">
        <f aca="false">IF($C183="","",IF(NOT(OR(M183="Completed",M183="NA",M183="Cancelled")),"S1 Schematic",IF(NOT(OR(R183="Completed",R183="NA",R183="Cancelled")),"S2 PCB Layout",IF(NOT(OR(W183="Completed",W183="NA",W183="Cancelled")),"S3 SI &amp; PI",IF(NOT(OR(AB183="Completed",AB183="NA",AB183="Cancelled")),"S4 Bare-PCB Fab",IF(NOT(OR(AG183="Completed",AG183="NA",AG183="Cancelled")),"S5 Assembly",IF(NOT(OR(AL183="Completed",AL183="NA",AL183="Cancelled")),"S6 Bring-up",IF(NOT(OR(AQ183="Completed",AQ183="NA",AQ183="Cancelled")),"S7 BOM Procurement","All Stages Closed"))))))))</f>
        <v/>
      </c>
      <c r="F183" s="32" t="str">
        <f aca="false">IF($C183="","",IF(COUNTIF(M183,"Cancelled")+COUNTIF(R183,"Cancelled")+COUNTIF(W183,"Cancelled")+COUNTIF(AB183,"Cancelled")+COUNTIF(AG183,"Cancelled")+COUNTIF(AL183,"Cancelled")+COUNTIF(AQ183,"Cancelled")&gt;0,"Cancelled",IF(E183="All Stages Closed","Completed",IF(E183="S1 Schematic",M183,IF(E183="S2 PCB Layout",R183,IF(E183="S3 SI &amp; PI",W183,IF(E183="S4 Bare-PCB Fab",AB183,IF(E183="S5 Assembly",AG183,IF(E183="S6 Bring-up",AL183,AQ183)))))))))</f>
        <v/>
      </c>
      <c r="G183" s="33" t="str">
        <f aca="false">IF($C183="","",IF(E183="All Stages Closed","",IF(E183="S1 Schematic",IF(N183="","Not added",N183),IF(E183="S2 PCB Layout",IF(S183="","Not added",S183),IF(E183="S3 SI &amp; PI",IF(X183="","Not added",X183),IF(E183="S4 Bare-PCB Fab",IF(AC183="","Not added",AC183),IF(E183="S5 Assembly",IF(AH183="","Not added",AH183),IF(E183="S6 Bring-up",IF(AM183="","Not added",AM183),IF(AR183="","Not added",AR183)))))))))</f>
        <v/>
      </c>
      <c r="H183" s="32" t="str">
        <f aca="true">IF($C183="","",IF(OR(F183="Completed",F183="Cancelled"),"",IF(NOT(ISNUMBER(G183)),"No date set",IF(TODAY()&gt;G183,TODAY()-G183&amp;" days late",G183-TODAY()&amp;" days left"))))</f>
        <v/>
      </c>
      <c r="I183" s="31" t="str">
        <f aca="false">IF($C183="","",COUNTIF(M183,"Completed")+COUNTIF(R183,"Completed")+COUNTIF(W183,"Completed")+COUNTIF(AB183,"Completed")+COUNTIF(AG183,"Completed")+COUNTIF(AL183,"Completed")+COUNTIF(AQ183,"Completed"))</f>
        <v/>
      </c>
      <c r="J183" s="31" t="str">
        <f aca="false">IF($C183="","",7-(COUNTIF(M183,"NA")+COUNTIF(R183,"NA")+COUNTIF(W183,"NA")+COUNTIF(AB183,"NA")+COUNTIF(AG183,"NA")+COUNTIF(AL183,"NA")+COUNTIF(AQ183,"NA")))</f>
        <v/>
      </c>
      <c r="K183" s="34" t="str">
        <f aca="false">IFERROR(I183/J183,"")</f>
        <v/>
      </c>
      <c r="L183" s="29"/>
      <c r="M183" s="35"/>
      <c r="N183" s="36"/>
      <c r="O183" s="36"/>
      <c r="P183" s="30"/>
      <c r="Q183" s="29"/>
      <c r="R183" s="35"/>
      <c r="S183" s="36"/>
      <c r="T183" s="36"/>
      <c r="U183" s="30"/>
      <c r="V183" s="29"/>
      <c r="W183" s="35"/>
      <c r="X183" s="36"/>
      <c r="Y183" s="36"/>
      <c r="Z183" s="30"/>
      <c r="AA183" s="29"/>
      <c r="AB183" s="35"/>
      <c r="AC183" s="36"/>
      <c r="AD183" s="36"/>
      <c r="AE183" s="30"/>
      <c r="AF183" s="29"/>
      <c r="AG183" s="35"/>
      <c r="AH183" s="36"/>
      <c r="AI183" s="36"/>
      <c r="AJ183" s="30"/>
      <c r="AK183" s="29"/>
      <c r="AL183" s="35"/>
      <c r="AM183" s="36"/>
      <c r="AN183" s="36"/>
      <c r="AO183" s="30"/>
      <c r="AP183" s="29"/>
      <c r="AQ183" s="35"/>
      <c r="AR183" s="36"/>
      <c r="AS183" s="36"/>
      <c r="AT183" s="30"/>
      <c r="AU183" s="29"/>
      <c r="AV183" s="29"/>
      <c r="AW183" s="29"/>
      <c r="AX183" s="37"/>
      <c r="AY183" s="39" t="str">
        <f aca="false">IF(AU183&lt;&gt;"Yes","",IF(AV183="","SELECT RE-ENTRY STAGE","MOVE TO ACTIVE at "&amp;AV183))</f>
        <v/>
      </c>
      <c r="AZ183" s="40" t="str">
        <f aca="false">IF(AU183="Yes",COUNTIF($AU$6:AU183,"Yes"),"")</f>
        <v/>
      </c>
      <c r="BA183" s="29"/>
      <c r="BB183" s="38" t="str">
        <f aca="false">IF($C183="","",IF(OR(F183="Completed",F183="Cancelled"),"",IF(AND(OR(F183="On Hold",ISNUMBER(VALUE(LEFT(H183,2)))),BA183=""),"Reason not given","")))</f>
        <v/>
      </c>
      <c r="BC183" s="30"/>
    </row>
    <row r="184" customFormat="false" ht="19.5" hidden="false" customHeight="true" outlineLevel="0" collapsed="false">
      <c r="A184" s="28" t="str">
        <f aca="false">IF($C184="","",COUNTA($C$6:$C184))</f>
        <v/>
      </c>
      <c r="B184" s="29"/>
      <c r="C184" s="30"/>
      <c r="D184" s="29"/>
      <c r="E184" s="31" t="str">
        <f aca="false">IF($C184="","",IF(NOT(OR(M184="Completed",M184="NA",M184="Cancelled")),"S1 Schematic",IF(NOT(OR(R184="Completed",R184="NA",R184="Cancelled")),"S2 PCB Layout",IF(NOT(OR(W184="Completed",W184="NA",W184="Cancelled")),"S3 SI &amp; PI",IF(NOT(OR(AB184="Completed",AB184="NA",AB184="Cancelled")),"S4 Bare-PCB Fab",IF(NOT(OR(AG184="Completed",AG184="NA",AG184="Cancelled")),"S5 Assembly",IF(NOT(OR(AL184="Completed",AL184="NA",AL184="Cancelled")),"S6 Bring-up",IF(NOT(OR(AQ184="Completed",AQ184="NA",AQ184="Cancelled")),"S7 BOM Procurement","All Stages Closed"))))))))</f>
        <v/>
      </c>
      <c r="F184" s="32" t="str">
        <f aca="false">IF($C184="","",IF(COUNTIF(M184,"Cancelled")+COUNTIF(R184,"Cancelled")+COUNTIF(W184,"Cancelled")+COUNTIF(AB184,"Cancelled")+COUNTIF(AG184,"Cancelled")+COUNTIF(AL184,"Cancelled")+COUNTIF(AQ184,"Cancelled")&gt;0,"Cancelled",IF(E184="All Stages Closed","Completed",IF(E184="S1 Schematic",M184,IF(E184="S2 PCB Layout",R184,IF(E184="S3 SI &amp; PI",W184,IF(E184="S4 Bare-PCB Fab",AB184,IF(E184="S5 Assembly",AG184,IF(E184="S6 Bring-up",AL184,AQ184)))))))))</f>
        <v/>
      </c>
      <c r="G184" s="33" t="str">
        <f aca="false">IF($C184="","",IF(E184="All Stages Closed","",IF(E184="S1 Schematic",IF(N184="","Not added",N184),IF(E184="S2 PCB Layout",IF(S184="","Not added",S184),IF(E184="S3 SI &amp; PI",IF(X184="","Not added",X184),IF(E184="S4 Bare-PCB Fab",IF(AC184="","Not added",AC184),IF(E184="S5 Assembly",IF(AH184="","Not added",AH184),IF(E184="S6 Bring-up",IF(AM184="","Not added",AM184),IF(AR184="","Not added",AR184)))))))))</f>
        <v/>
      </c>
      <c r="H184" s="32" t="str">
        <f aca="true">IF($C184="","",IF(OR(F184="Completed",F184="Cancelled"),"",IF(NOT(ISNUMBER(G184)),"No date set",IF(TODAY()&gt;G184,TODAY()-G184&amp;" days late",G184-TODAY()&amp;" days left"))))</f>
        <v/>
      </c>
      <c r="I184" s="31" t="str">
        <f aca="false">IF($C184="","",COUNTIF(M184,"Completed")+COUNTIF(R184,"Completed")+COUNTIF(W184,"Completed")+COUNTIF(AB184,"Completed")+COUNTIF(AG184,"Completed")+COUNTIF(AL184,"Completed")+COUNTIF(AQ184,"Completed"))</f>
        <v/>
      </c>
      <c r="J184" s="31" t="str">
        <f aca="false">IF($C184="","",7-(COUNTIF(M184,"NA")+COUNTIF(R184,"NA")+COUNTIF(W184,"NA")+COUNTIF(AB184,"NA")+COUNTIF(AG184,"NA")+COUNTIF(AL184,"NA")+COUNTIF(AQ184,"NA")))</f>
        <v/>
      </c>
      <c r="K184" s="34" t="str">
        <f aca="false">IFERROR(I184/J184,"")</f>
        <v/>
      </c>
      <c r="L184" s="29"/>
      <c r="M184" s="35"/>
      <c r="N184" s="36"/>
      <c r="O184" s="36"/>
      <c r="P184" s="30"/>
      <c r="Q184" s="29"/>
      <c r="R184" s="35"/>
      <c r="S184" s="36"/>
      <c r="T184" s="36"/>
      <c r="U184" s="30"/>
      <c r="V184" s="29"/>
      <c r="W184" s="35"/>
      <c r="X184" s="36"/>
      <c r="Y184" s="36"/>
      <c r="Z184" s="30"/>
      <c r="AA184" s="29"/>
      <c r="AB184" s="35"/>
      <c r="AC184" s="36"/>
      <c r="AD184" s="36"/>
      <c r="AE184" s="30"/>
      <c r="AF184" s="29"/>
      <c r="AG184" s="35"/>
      <c r="AH184" s="36"/>
      <c r="AI184" s="36"/>
      <c r="AJ184" s="30"/>
      <c r="AK184" s="29"/>
      <c r="AL184" s="35"/>
      <c r="AM184" s="36"/>
      <c r="AN184" s="36"/>
      <c r="AO184" s="30"/>
      <c r="AP184" s="29"/>
      <c r="AQ184" s="35"/>
      <c r="AR184" s="36"/>
      <c r="AS184" s="36"/>
      <c r="AT184" s="30"/>
      <c r="AU184" s="29"/>
      <c r="AV184" s="29"/>
      <c r="AW184" s="29"/>
      <c r="AX184" s="37"/>
      <c r="AY184" s="39" t="str">
        <f aca="false">IF(AU184&lt;&gt;"Yes","",IF(AV184="","SELECT RE-ENTRY STAGE","MOVE TO ACTIVE at "&amp;AV184))</f>
        <v/>
      </c>
      <c r="AZ184" s="40" t="str">
        <f aca="false">IF(AU184="Yes",COUNTIF($AU$6:AU184,"Yes"),"")</f>
        <v/>
      </c>
      <c r="BA184" s="29"/>
      <c r="BB184" s="38" t="str">
        <f aca="false">IF($C184="","",IF(OR(F184="Completed",F184="Cancelled"),"",IF(AND(OR(F184="On Hold",ISNUMBER(VALUE(LEFT(H184,2)))),BA184=""),"Reason not given","")))</f>
        <v/>
      </c>
      <c r="BC184" s="30"/>
    </row>
    <row r="185" customFormat="false" ht="19.5" hidden="false" customHeight="true" outlineLevel="0" collapsed="false">
      <c r="A185" s="28" t="str">
        <f aca="false">IF($C185="","",COUNTA($C$6:$C185))</f>
        <v/>
      </c>
      <c r="B185" s="29"/>
      <c r="C185" s="30"/>
      <c r="D185" s="29"/>
      <c r="E185" s="31" t="str">
        <f aca="false">IF($C185="","",IF(NOT(OR(M185="Completed",M185="NA",M185="Cancelled")),"S1 Schematic",IF(NOT(OR(R185="Completed",R185="NA",R185="Cancelled")),"S2 PCB Layout",IF(NOT(OR(W185="Completed",W185="NA",W185="Cancelled")),"S3 SI &amp; PI",IF(NOT(OR(AB185="Completed",AB185="NA",AB185="Cancelled")),"S4 Bare-PCB Fab",IF(NOT(OR(AG185="Completed",AG185="NA",AG185="Cancelled")),"S5 Assembly",IF(NOT(OR(AL185="Completed",AL185="NA",AL185="Cancelled")),"S6 Bring-up",IF(NOT(OR(AQ185="Completed",AQ185="NA",AQ185="Cancelled")),"S7 BOM Procurement","All Stages Closed"))))))))</f>
        <v/>
      </c>
      <c r="F185" s="32" t="str">
        <f aca="false">IF($C185="","",IF(COUNTIF(M185,"Cancelled")+COUNTIF(R185,"Cancelled")+COUNTIF(W185,"Cancelled")+COUNTIF(AB185,"Cancelled")+COUNTIF(AG185,"Cancelled")+COUNTIF(AL185,"Cancelled")+COUNTIF(AQ185,"Cancelled")&gt;0,"Cancelled",IF(E185="All Stages Closed","Completed",IF(E185="S1 Schematic",M185,IF(E185="S2 PCB Layout",R185,IF(E185="S3 SI &amp; PI",W185,IF(E185="S4 Bare-PCB Fab",AB185,IF(E185="S5 Assembly",AG185,IF(E185="S6 Bring-up",AL185,AQ185)))))))))</f>
        <v/>
      </c>
      <c r="G185" s="33" t="str">
        <f aca="false">IF($C185="","",IF(E185="All Stages Closed","",IF(E185="S1 Schematic",IF(N185="","Not added",N185),IF(E185="S2 PCB Layout",IF(S185="","Not added",S185),IF(E185="S3 SI &amp; PI",IF(X185="","Not added",X185),IF(E185="S4 Bare-PCB Fab",IF(AC185="","Not added",AC185),IF(E185="S5 Assembly",IF(AH185="","Not added",AH185),IF(E185="S6 Bring-up",IF(AM185="","Not added",AM185),IF(AR185="","Not added",AR185)))))))))</f>
        <v/>
      </c>
      <c r="H185" s="32" t="str">
        <f aca="true">IF($C185="","",IF(OR(F185="Completed",F185="Cancelled"),"",IF(NOT(ISNUMBER(G185)),"No date set",IF(TODAY()&gt;G185,TODAY()-G185&amp;" days late",G185-TODAY()&amp;" days left"))))</f>
        <v/>
      </c>
      <c r="I185" s="31" t="str">
        <f aca="false">IF($C185="","",COUNTIF(M185,"Completed")+COUNTIF(R185,"Completed")+COUNTIF(W185,"Completed")+COUNTIF(AB185,"Completed")+COUNTIF(AG185,"Completed")+COUNTIF(AL185,"Completed")+COUNTIF(AQ185,"Completed"))</f>
        <v/>
      </c>
      <c r="J185" s="31" t="str">
        <f aca="false">IF($C185="","",7-(COUNTIF(M185,"NA")+COUNTIF(R185,"NA")+COUNTIF(W185,"NA")+COUNTIF(AB185,"NA")+COUNTIF(AG185,"NA")+COUNTIF(AL185,"NA")+COUNTIF(AQ185,"NA")))</f>
        <v/>
      </c>
      <c r="K185" s="34" t="str">
        <f aca="false">IFERROR(I185/J185,"")</f>
        <v/>
      </c>
      <c r="L185" s="29"/>
      <c r="M185" s="35"/>
      <c r="N185" s="36"/>
      <c r="O185" s="36"/>
      <c r="P185" s="30"/>
      <c r="Q185" s="29"/>
      <c r="R185" s="35"/>
      <c r="S185" s="36"/>
      <c r="T185" s="36"/>
      <c r="U185" s="30"/>
      <c r="V185" s="29"/>
      <c r="W185" s="35"/>
      <c r="X185" s="36"/>
      <c r="Y185" s="36"/>
      <c r="Z185" s="30"/>
      <c r="AA185" s="29"/>
      <c r="AB185" s="35"/>
      <c r="AC185" s="36"/>
      <c r="AD185" s="36"/>
      <c r="AE185" s="30"/>
      <c r="AF185" s="29"/>
      <c r="AG185" s="35"/>
      <c r="AH185" s="36"/>
      <c r="AI185" s="36"/>
      <c r="AJ185" s="30"/>
      <c r="AK185" s="29"/>
      <c r="AL185" s="35"/>
      <c r="AM185" s="36"/>
      <c r="AN185" s="36"/>
      <c r="AO185" s="30"/>
      <c r="AP185" s="29"/>
      <c r="AQ185" s="35"/>
      <c r="AR185" s="36"/>
      <c r="AS185" s="36"/>
      <c r="AT185" s="30"/>
      <c r="AU185" s="29"/>
      <c r="AV185" s="29"/>
      <c r="AW185" s="29"/>
      <c r="AX185" s="37"/>
      <c r="AY185" s="39" t="str">
        <f aca="false">IF(AU185&lt;&gt;"Yes","",IF(AV185="","SELECT RE-ENTRY STAGE","MOVE TO ACTIVE at "&amp;AV185))</f>
        <v/>
      </c>
      <c r="AZ185" s="40" t="str">
        <f aca="false">IF(AU185="Yes",COUNTIF($AU$6:AU185,"Yes"),"")</f>
        <v/>
      </c>
      <c r="BA185" s="29"/>
      <c r="BB185" s="38" t="str">
        <f aca="false">IF($C185="","",IF(OR(F185="Completed",F185="Cancelled"),"",IF(AND(OR(F185="On Hold",ISNUMBER(VALUE(LEFT(H185,2)))),BA185=""),"Reason not given","")))</f>
        <v/>
      </c>
      <c r="BC185" s="30"/>
    </row>
    <row r="186" customFormat="false" ht="19.5" hidden="false" customHeight="true" outlineLevel="0" collapsed="false">
      <c r="A186" s="28" t="str">
        <f aca="false">IF($C186="","",COUNTA($C$6:$C186))</f>
        <v/>
      </c>
      <c r="B186" s="29"/>
      <c r="C186" s="30"/>
      <c r="D186" s="29"/>
      <c r="E186" s="31" t="str">
        <f aca="false">IF($C186="","",IF(NOT(OR(M186="Completed",M186="NA",M186="Cancelled")),"S1 Schematic",IF(NOT(OR(R186="Completed",R186="NA",R186="Cancelled")),"S2 PCB Layout",IF(NOT(OR(W186="Completed",W186="NA",W186="Cancelled")),"S3 SI &amp; PI",IF(NOT(OR(AB186="Completed",AB186="NA",AB186="Cancelled")),"S4 Bare-PCB Fab",IF(NOT(OR(AG186="Completed",AG186="NA",AG186="Cancelled")),"S5 Assembly",IF(NOT(OR(AL186="Completed",AL186="NA",AL186="Cancelled")),"S6 Bring-up",IF(NOT(OR(AQ186="Completed",AQ186="NA",AQ186="Cancelled")),"S7 BOM Procurement","All Stages Closed"))))))))</f>
        <v/>
      </c>
      <c r="F186" s="32" t="str">
        <f aca="false">IF($C186="","",IF(COUNTIF(M186,"Cancelled")+COUNTIF(R186,"Cancelled")+COUNTIF(W186,"Cancelled")+COUNTIF(AB186,"Cancelled")+COUNTIF(AG186,"Cancelled")+COUNTIF(AL186,"Cancelled")+COUNTIF(AQ186,"Cancelled")&gt;0,"Cancelled",IF(E186="All Stages Closed","Completed",IF(E186="S1 Schematic",M186,IF(E186="S2 PCB Layout",R186,IF(E186="S3 SI &amp; PI",W186,IF(E186="S4 Bare-PCB Fab",AB186,IF(E186="S5 Assembly",AG186,IF(E186="S6 Bring-up",AL186,AQ186)))))))))</f>
        <v/>
      </c>
      <c r="G186" s="33" t="str">
        <f aca="false">IF($C186="","",IF(E186="All Stages Closed","",IF(E186="S1 Schematic",IF(N186="","Not added",N186),IF(E186="S2 PCB Layout",IF(S186="","Not added",S186),IF(E186="S3 SI &amp; PI",IF(X186="","Not added",X186),IF(E186="S4 Bare-PCB Fab",IF(AC186="","Not added",AC186),IF(E186="S5 Assembly",IF(AH186="","Not added",AH186),IF(E186="S6 Bring-up",IF(AM186="","Not added",AM186),IF(AR186="","Not added",AR186)))))))))</f>
        <v/>
      </c>
      <c r="H186" s="32" t="str">
        <f aca="true">IF($C186="","",IF(OR(F186="Completed",F186="Cancelled"),"",IF(NOT(ISNUMBER(G186)),"No date set",IF(TODAY()&gt;G186,TODAY()-G186&amp;" days late",G186-TODAY()&amp;" days left"))))</f>
        <v/>
      </c>
      <c r="I186" s="31" t="str">
        <f aca="false">IF($C186="","",COUNTIF(M186,"Completed")+COUNTIF(R186,"Completed")+COUNTIF(W186,"Completed")+COUNTIF(AB186,"Completed")+COUNTIF(AG186,"Completed")+COUNTIF(AL186,"Completed")+COUNTIF(AQ186,"Completed"))</f>
        <v/>
      </c>
      <c r="J186" s="31" t="str">
        <f aca="false">IF($C186="","",7-(COUNTIF(M186,"NA")+COUNTIF(R186,"NA")+COUNTIF(W186,"NA")+COUNTIF(AB186,"NA")+COUNTIF(AG186,"NA")+COUNTIF(AL186,"NA")+COUNTIF(AQ186,"NA")))</f>
        <v/>
      </c>
      <c r="K186" s="34" t="str">
        <f aca="false">IFERROR(I186/J186,"")</f>
        <v/>
      </c>
      <c r="L186" s="29"/>
      <c r="M186" s="35"/>
      <c r="N186" s="36"/>
      <c r="O186" s="36"/>
      <c r="P186" s="30"/>
      <c r="Q186" s="29"/>
      <c r="R186" s="35"/>
      <c r="S186" s="36"/>
      <c r="T186" s="36"/>
      <c r="U186" s="30"/>
      <c r="V186" s="29"/>
      <c r="W186" s="35"/>
      <c r="X186" s="36"/>
      <c r="Y186" s="36"/>
      <c r="Z186" s="30"/>
      <c r="AA186" s="29"/>
      <c r="AB186" s="35"/>
      <c r="AC186" s="36"/>
      <c r="AD186" s="36"/>
      <c r="AE186" s="30"/>
      <c r="AF186" s="29"/>
      <c r="AG186" s="35"/>
      <c r="AH186" s="36"/>
      <c r="AI186" s="36"/>
      <c r="AJ186" s="30"/>
      <c r="AK186" s="29"/>
      <c r="AL186" s="35"/>
      <c r="AM186" s="36"/>
      <c r="AN186" s="36"/>
      <c r="AO186" s="30"/>
      <c r="AP186" s="29"/>
      <c r="AQ186" s="35"/>
      <c r="AR186" s="36"/>
      <c r="AS186" s="36"/>
      <c r="AT186" s="30"/>
      <c r="AU186" s="29"/>
      <c r="AV186" s="29"/>
      <c r="AW186" s="29"/>
      <c r="AX186" s="37"/>
      <c r="AY186" s="39" t="str">
        <f aca="false">IF(AU186&lt;&gt;"Yes","",IF(AV186="","SELECT RE-ENTRY STAGE","MOVE TO ACTIVE at "&amp;AV186))</f>
        <v/>
      </c>
      <c r="AZ186" s="40" t="str">
        <f aca="false">IF(AU186="Yes",COUNTIF($AU$6:AU186,"Yes"),"")</f>
        <v/>
      </c>
      <c r="BA186" s="29"/>
      <c r="BB186" s="38" t="str">
        <f aca="false">IF($C186="","",IF(OR(F186="Completed",F186="Cancelled"),"",IF(AND(OR(F186="On Hold",ISNUMBER(VALUE(LEFT(H186,2)))),BA186=""),"Reason not given","")))</f>
        <v/>
      </c>
      <c r="BC186" s="30"/>
    </row>
    <row r="187" customFormat="false" ht="19.5" hidden="false" customHeight="true" outlineLevel="0" collapsed="false">
      <c r="A187" s="28" t="str">
        <f aca="false">IF($C187="","",COUNTA($C$6:$C187))</f>
        <v/>
      </c>
      <c r="B187" s="29"/>
      <c r="C187" s="30"/>
      <c r="D187" s="29"/>
      <c r="E187" s="31" t="str">
        <f aca="false">IF($C187="","",IF(NOT(OR(M187="Completed",M187="NA",M187="Cancelled")),"S1 Schematic",IF(NOT(OR(R187="Completed",R187="NA",R187="Cancelled")),"S2 PCB Layout",IF(NOT(OR(W187="Completed",W187="NA",W187="Cancelled")),"S3 SI &amp; PI",IF(NOT(OR(AB187="Completed",AB187="NA",AB187="Cancelled")),"S4 Bare-PCB Fab",IF(NOT(OR(AG187="Completed",AG187="NA",AG187="Cancelled")),"S5 Assembly",IF(NOT(OR(AL187="Completed",AL187="NA",AL187="Cancelled")),"S6 Bring-up",IF(NOT(OR(AQ187="Completed",AQ187="NA",AQ187="Cancelled")),"S7 BOM Procurement","All Stages Closed"))))))))</f>
        <v/>
      </c>
      <c r="F187" s="32" t="str">
        <f aca="false">IF($C187="","",IF(COUNTIF(M187,"Cancelled")+COUNTIF(R187,"Cancelled")+COUNTIF(W187,"Cancelled")+COUNTIF(AB187,"Cancelled")+COUNTIF(AG187,"Cancelled")+COUNTIF(AL187,"Cancelled")+COUNTIF(AQ187,"Cancelled")&gt;0,"Cancelled",IF(E187="All Stages Closed","Completed",IF(E187="S1 Schematic",M187,IF(E187="S2 PCB Layout",R187,IF(E187="S3 SI &amp; PI",W187,IF(E187="S4 Bare-PCB Fab",AB187,IF(E187="S5 Assembly",AG187,IF(E187="S6 Bring-up",AL187,AQ187)))))))))</f>
        <v/>
      </c>
      <c r="G187" s="33" t="str">
        <f aca="false">IF($C187="","",IF(E187="All Stages Closed","",IF(E187="S1 Schematic",IF(N187="","Not added",N187),IF(E187="S2 PCB Layout",IF(S187="","Not added",S187),IF(E187="S3 SI &amp; PI",IF(X187="","Not added",X187),IF(E187="S4 Bare-PCB Fab",IF(AC187="","Not added",AC187),IF(E187="S5 Assembly",IF(AH187="","Not added",AH187),IF(E187="S6 Bring-up",IF(AM187="","Not added",AM187),IF(AR187="","Not added",AR187)))))))))</f>
        <v/>
      </c>
      <c r="H187" s="32" t="str">
        <f aca="true">IF($C187="","",IF(OR(F187="Completed",F187="Cancelled"),"",IF(NOT(ISNUMBER(G187)),"No date set",IF(TODAY()&gt;G187,TODAY()-G187&amp;" days late",G187-TODAY()&amp;" days left"))))</f>
        <v/>
      </c>
      <c r="I187" s="31" t="str">
        <f aca="false">IF($C187="","",COUNTIF(M187,"Completed")+COUNTIF(R187,"Completed")+COUNTIF(W187,"Completed")+COUNTIF(AB187,"Completed")+COUNTIF(AG187,"Completed")+COUNTIF(AL187,"Completed")+COUNTIF(AQ187,"Completed"))</f>
        <v/>
      </c>
      <c r="J187" s="31" t="str">
        <f aca="false">IF($C187="","",7-(COUNTIF(M187,"NA")+COUNTIF(R187,"NA")+COUNTIF(W187,"NA")+COUNTIF(AB187,"NA")+COUNTIF(AG187,"NA")+COUNTIF(AL187,"NA")+COUNTIF(AQ187,"NA")))</f>
        <v/>
      </c>
      <c r="K187" s="34" t="str">
        <f aca="false">IFERROR(I187/J187,"")</f>
        <v/>
      </c>
      <c r="L187" s="29"/>
      <c r="M187" s="35"/>
      <c r="N187" s="36"/>
      <c r="O187" s="36"/>
      <c r="P187" s="30"/>
      <c r="Q187" s="29"/>
      <c r="R187" s="35"/>
      <c r="S187" s="36"/>
      <c r="T187" s="36"/>
      <c r="U187" s="30"/>
      <c r="V187" s="29"/>
      <c r="W187" s="35"/>
      <c r="X187" s="36"/>
      <c r="Y187" s="36"/>
      <c r="Z187" s="30"/>
      <c r="AA187" s="29"/>
      <c r="AB187" s="35"/>
      <c r="AC187" s="36"/>
      <c r="AD187" s="36"/>
      <c r="AE187" s="30"/>
      <c r="AF187" s="29"/>
      <c r="AG187" s="35"/>
      <c r="AH187" s="36"/>
      <c r="AI187" s="36"/>
      <c r="AJ187" s="30"/>
      <c r="AK187" s="29"/>
      <c r="AL187" s="35"/>
      <c r="AM187" s="36"/>
      <c r="AN187" s="36"/>
      <c r="AO187" s="30"/>
      <c r="AP187" s="29"/>
      <c r="AQ187" s="35"/>
      <c r="AR187" s="36"/>
      <c r="AS187" s="36"/>
      <c r="AT187" s="30"/>
      <c r="AU187" s="29"/>
      <c r="AV187" s="29"/>
      <c r="AW187" s="29"/>
      <c r="AX187" s="37"/>
      <c r="AY187" s="39" t="str">
        <f aca="false">IF(AU187&lt;&gt;"Yes","",IF(AV187="","SELECT RE-ENTRY STAGE","MOVE TO ACTIVE at "&amp;AV187))</f>
        <v/>
      </c>
      <c r="AZ187" s="40" t="str">
        <f aca="false">IF(AU187="Yes",COUNTIF($AU$6:AU187,"Yes"),"")</f>
        <v/>
      </c>
      <c r="BA187" s="29"/>
      <c r="BB187" s="38" t="str">
        <f aca="false">IF($C187="","",IF(OR(F187="Completed",F187="Cancelled"),"",IF(AND(OR(F187="On Hold",ISNUMBER(VALUE(LEFT(H187,2)))),BA187=""),"Reason not given","")))</f>
        <v/>
      </c>
      <c r="BC187" s="30"/>
    </row>
    <row r="188" customFormat="false" ht="19.5" hidden="false" customHeight="true" outlineLevel="0" collapsed="false">
      <c r="A188" s="28" t="str">
        <f aca="false">IF($C188="","",COUNTA($C$6:$C188))</f>
        <v/>
      </c>
      <c r="B188" s="29"/>
      <c r="C188" s="30"/>
      <c r="D188" s="29"/>
      <c r="E188" s="31" t="str">
        <f aca="false">IF($C188="","",IF(NOT(OR(M188="Completed",M188="NA",M188="Cancelled")),"S1 Schematic",IF(NOT(OR(R188="Completed",R188="NA",R188="Cancelled")),"S2 PCB Layout",IF(NOT(OR(W188="Completed",W188="NA",W188="Cancelled")),"S3 SI &amp; PI",IF(NOT(OR(AB188="Completed",AB188="NA",AB188="Cancelled")),"S4 Bare-PCB Fab",IF(NOT(OR(AG188="Completed",AG188="NA",AG188="Cancelled")),"S5 Assembly",IF(NOT(OR(AL188="Completed",AL188="NA",AL188="Cancelled")),"S6 Bring-up",IF(NOT(OR(AQ188="Completed",AQ188="NA",AQ188="Cancelled")),"S7 BOM Procurement","All Stages Closed"))))))))</f>
        <v/>
      </c>
      <c r="F188" s="32" t="str">
        <f aca="false">IF($C188="","",IF(COUNTIF(M188,"Cancelled")+COUNTIF(R188,"Cancelled")+COUNTIF(W188,"Cancelled")+COUNTIF(AB188,"Cancelled")+COUNTIF(AG188,"Cancelled")+COUNTIF(AL188,"Cancelled")+COUNTIF(AQ188,"Cancelled")&gt;0,"Cancelled",IF(E188="All Stages Closed","Completed",IF(E188="S1 Schematic",M188,IF(E188="S2 PCB Layout",R188,IF(E188="S3 SI &amp; PI",W188,IF(E188="S4 Bare-PCB Fab",AB188,IF(E188="S5 Assembly",AG188,IF(E188="S6 Bring-up",AL188,AQ188)))))))))</f>
        <v/>
      </c>
      <c r="G188" s="33" t="str">
        <f aca="false">IF($C188="","",IF(E188="All Stages Closed","",IF(E188="S1 Schematic",IF(N188="","Not added",N188),IF(E188="S2 PCB Layout",IF(S188="","Not added",S188),IF(E188="S3 SI &amp; PI",IF(X188="","Not added",X188),IF(E188="S4 Bare-PCB Fab",IF(AC188="","Not added",AC188),IF(E188="S5 Assembly",IF(AH188="","Not added",AH188),IF(E188="S6 Bring-up",IF(AM188="","Not added",AM188),IF(AR188="","Not added",AR188)))))))))</f>
        <v/>
      </c>
      <c r="H188" s="32" t="str">
        <f aca="true">IF($C188="","",IF(OR(F188="Completed",F188="Cancelled"),"",IF(NOT(ISNUMBER(G188)),"No date set",IF(TODAY()&gt;G188,TODAY()-G188&amp;" days late",G188-TODAY()&amp;" days left"))))</f>
        <v/>
      </c>
      <c r="I188" s="31" t="str">
        <f aca="false">IF($C188="","",COUNTIF(M188,"Completed")+COUNTIF(R188,"Completed")+COUNTIF(W188,"Completed")+COUNTIF(AB188,"Completed")+COUNTIF(AG188,"Completed")+COUNTIF(AL188,"Completed")+COUNTIF(AQ188,"Completed"))</f>
        <v/>
      </c>
      <c r="J188" s="31" t="str">
        <f aca="false">IF($C188="","",7-(COUNTIF(M188,"NA")+COUNTIF(R188,"NA")+COUNTIF(W188,"NA")+COUNTIF(AB188,"NA")+COUNTIF(AG188,"NA")+COUNTIF(AL188,"NA")+COUNTIF(AQ188,"NA")))</f>
        <v/>
      </c>
      <c r="K188" s="34" t="str">
        <f aca="false">IFERROR(I188/J188,"")</f>
        <v/>
      </c>
      <c r="L188" s="29"/>
      <c r="M188" s="35"/>
      <c r="N188" s="36"/>
      <c r="O188" s="36"/>
      <c r="P188" s="30"/>
      <c r="Q188" s="29"/>
      <c r="R188" s="35"/>
      <c r="S188" s="36"/>
      <c r="T188" s="36"/>
      <c r="U188" s="30"/>
      <c r="V188" s="29"/>
      <c r="W188" s="35"/>
      <c r="X188" s="36"/>
      <c r="Y188" s="36"/>
      <c r="Z188" s="30"/>
      <c r="AA188" s="29"/>
      <c r="AB188" s="35"/>
      <c r="AC188" s="36"/>
      <c r="AD188" s="36"/>
      <c r="AE188" s="30"/>
      <c r="AF188" s="29"/>
      <c r="AG188" s="35"/>
      <c r="AH188" s="36"/>
      <c r="AI188" s="36"/>
      <c r="AJ188" s="30"/>
      <c r="AK188" s="29"/>
      <c r="AL188" s="35"/>
      <c r="AM188" s="36"/>
      <c r="AN188" s="36"/>
      <c r="AO188" s="30"/>
      <c r="AP188" s="29"/>
      <c r="AQ188" s="35"/>
      <c r="AR188" s="36"/>
      <c r="AS188" s="36"/>
      <c r="AT188" s="30"/>
      <c r="AU188" s="29"/>
      <c r="AV188" s="29"/>
      <c r="AW188" s="29"/>
      <c r="AX188" s="37"/>
      <c r="AY188" s="39" t="str">
        <f aca="false">IF(AU188&lt;&gt;"Yes","",IF(AV188="","SELECT RE-ENTRY STAGE","MOVE TO ACTIVE at "&amp;AV188))</f>
        <v/>
      </c>
      <c r="AZ188" s="40" t="str">
        <f aca="false">IF(AU188="Yes",COUNTIF($AU$6:AU188,"Yes"),"")</f>
        <v/>
      </c>
      <c r="BA188" s="29"/>
      <c r="BB188" s="38" t="str">
        <f aca="false">IF($C188="","",IF(OR(F188="Completed",F188="Cancelled"),"",IF(AND(OR(F188="On Hold",ISNUMBER(VALUE(LEFT(H188,2)))),BA188=""),"Reason not given","")))</f>
        <v/>
      </c>
      <c r="BC188" s="30"/>
    </row>
    <row r="189" customFormat="false" ht="19.5" hidden="false" customHeight="true" outlineLevel="0" collapsed="false">
      <c r="A189" s="28" t="str">
        <f aca="false">IF($C189="","",COUNTA($C$6:$C189))</f>
        <v/>
      </c>
      <c r="B189" s="29"/>
      <c r="C189" s="30"/>
      <c r="D189" s="29"/>
      <c r="E189" s="31" t="str">
        <f aca="false">IF($C189="","",IF(NOT(OR(M189="Completed",M189="NA",M189="Cancelled")),"S1 Schematic",IF(NOT(OR(R189="Completed",R189="NA",R189="Cancelled")),"S2 PCB Layout",IF(NOT(OR(W189="Completed",W189="NA",W189="Cancelled")),"S3 SI &amp; PI",IF(NOT(OR(AB189="Completed",AB189="NA",AB189="Cancelled")),"S4 Bare-PCB Fab",IF(NOT(OR(AG189="Completed",AG189="NA",AG189="Cancelled")),"S5 Assembly",IF(NOT(OR(AL189="Completed",AL189="NA",AL189="Cancelled")),"S6 Bring-up",IF(NOT(OR(AQ189="Completed",AQ189="NA",AQ189="Cancelled")),"S7 BOM Procurement","All Stages Closed"))))))))</f>
        <v/>
      </c>
      <c r="F189" s="32" t="str">
        <f aca="false">IF($C189="","",IF(COUNTIF(M189,"Cancelled")+COUNTIF(R189,"Cancelled")+COUNTIF(W189,"Cancelled")+COUNTIF(AB189,"Cancelled")+COUNTIF(AG189,"Cancelled")+COUNTIF(AL189,"Cancelled")+COUNTIF(AQ189,"Cancelled")&gt;0,"Cancelled",IF(E189="All Stages Closed","Completed",IF(E189="S1 Schematic",M189,IF(E189="S2 PCB Layout",R189,IF(E189="S3 SI &amp; PI",W189,IF(E189="S4 Bare-PCB Fab",AB189,IF(E189="S5 Assembly",AG189,IF(E189="S6 Bring-up",AL189,AQ189)))))))))</f>
        <v/>
      </c>
      <c r="G189" s="33" t="str">
        <f aca="false">IF($C189="","",IF(E189="All Stages Closed","",IF(E189="S1 Schematic",IF(N189="","Not added",N189),IF(E189="S2 PCB Layout",IF(S189="","Not added",S189),IF(E189="S3 SI &amp; PI",IF(X189="","Not added",X189),IF(E189="S4 Bare-PCB Fab",IF(AC189="","Not added",AC189),IF(E189="S5 Assembly",IF(AH189="","Not added",AH189),IF(E189="S6 Bring-up",IF(AM189="","Not added",AM189),IF(AR189="","Not added",AR189)))))))))</f>
        <v/>
      </c>
      <c r="H189" s="32" t="str">
        <f aca="true">IF($C189="","",IF(OR(F189="Completed",F189="Cancelled"),"",IF(NOT(ISNUMBER(G189)),"No date set",IF(TODAY()&gt;G189,TODAY()-G189&amp;" days late",G189-TODAY()&amp;" days left"))))</f>
        <v/>
      </c>
      <c r="I189" s="31" t="str">
        <f aca="false">IF($C189="","",COUNTIF(M189,"Completed")+COUNTIF(R189,"Completed")+COUNTIF(W189,"Completed")+COUNTIF(AB189,"Completed")+COUNTIF(AG189,"Completed")+COUNTIF(AL189,"Completed")+COUNTIF(AQ189,"Completed"))</f>
        <v/>
      </c>
      <c r="J189" s="31" t="str">
        <f aca="false">IF($C189="","",7-(COUNTIF(M189,"NA")+COUNTIF(R189,"NA")+COUNTIF(W189,"NA")+COUNTIF(AB189,"NA")+COUNTIF(AG189,"NA")+COUNTIF(AL189,"NA")+COUNTIF(AQ189,"NA")))</f>
        <v/>
      </c>
      <c r="K189" s="34" t="str">
        <f aca="false">IFERROR(I189/J189,"")</f>
        <v/>
      </c>
      <c r="L189" s="29"/>
      <c r="M189" s="35"/>
      <c r="N189" s="36"/>
      <c r="O189" s="36"/>
      <c r="P189" s="30"/>
      <c r="Q189" s="29"/>
      <c r="R189" s="35"/>
      <c r="S189" s="36"/>
      <c r="T189" s="36"/>
      <c r="U189" s="30"/>
      <c r="V189" s="29"/>
      <c r="W189" s="35"/>
      <c r="X189" s="36"/>
      <c r="Y189" s="36"/>
      <c r="Z189" s="30"/>
      <c r="AA189" s="29"/>
      <c r="AB189" s="35"/>
      <c r="AC189" s="36"/>
      <c r="AD189" s="36"/>
      <c r="AE189" s="30"/>
      <c r="AF189" s="29"/>
      <c r="AG189" s="35"/>
      <c r="AH189" s="36"/>
      <c r="AI189" s="36"/>
      <c r="AJ189" s="30"/>
      <c r="AK189" s="29"/>
      <c r="AL189" s="35"/>
      <c r="AM189" s="36"/>
      <c r="AN189" s="36"/>
      <c r="AO189" s="30"/>
      <c r="AP189" s="29"/>
      <c r="AQ189" s="35"/>
      <c r="AR189" s="36"/>
      <c r="AS189" s="36"/>
      <c r="AT189" s="30"/>
      <c r="AU189" s="29"/>
      <c r="AV189" s="29"/>
      <c r="AW189" s="29"/>
      <c r="AX189" s="37"/>
      <c r="AY189" s="39" t="str">
        <f aca="false">IF(AU189&lt;&gt;"Yes","",IF(AV189="","SELECT RE-ENTRY STAGE","MOVE TO ACTIVE at "&amp;AV189))</f>
        <v/>
      </c>
      <c r="AZ189" s="40" t="str">
        <f aca="false">IF(AU189="Yes",COUNTIF($AU$6:AU189,"Yes"),"")</f>
        <v/>
      </c>
      <c r="BA189" s="29"/>
      <c r="BB189" s="38" t="str">
        <f aca="false">IF($C189="","",IF(OR(F189="Completed",F189="Cancelled"),"",IF(AND(OR(F189="On Hold",ISNUMBER(VALUE(LEFT(H189,2)))),BA189=""),"Reason not given","")))</f>
        <v/>
      </c>
      <c r="BC189" s="30"/>
    </row>
    <row r="190" customFormat="false" ht="19.5" hidden="false" customHeight="true" outlineLevel="0" collapsed="false">
      <c r="A190" s="28" t="str">
        <f aca="false">IF($C190="","",COUNTA($C$6:$C190))</f>
        <v/>
      </c>
      <c r="B190" s="29"/>
      <c r="C190" s="30"/>
      <c r="D190" s="29"/>
      <c r="E190" s="31" t="str">
        <f aca="false">IF($C190="","",IF(NOT(OR(M190="Completed",M190="NA",M190="Cancelled")),"S1 Schematic",IF(NOT(OR(R190="Completed",R190="NA",R190="Cancelled")),"S2 PCB Layout",IF(NOT(OR(W190="Completed",W190="NA",W190="Cancelled")),"S3 SI &amp; PI",IF(NOT(OR(AB190="Completed",AB190="NA",AB190="Cancelled")),"S4 Bare-PCB Fab",IF(NOT(OR(AG190="Completed",AG190="NA",AG190="Cancelled")),"S5 Assembly",IF(NOT(OR(AL190="Completed",AL190="NA",AL190="Cancelled")),"S6 Bring-up",IF(NOT(OR(AQ190="Completed",AQ190="NA",AQ190="Cancelled")),"S7 BOM Procurement","All Stages Closed"))))))))</f>
        <v/>
      </c>
      <c r="F190" s="32" t="str">
        <f aca="false">IF($C190="","",IF(COUNTIF(M190,"Cancelled")+COUNTIF(R190,"Cancelled")+COUNTIF(W190,"Cancelled")+COUNTIF(AB190,"Cancelled")+COUNTIF(AG190,"Cancelled")+COUNTIF(AL190,"Cancelled")+COUNTIF(AQ190,"Cancelled")&gt;0,"Cancelled",IF(E190="All Stages Closed","Completed",IF(E190="S1 Schematic",M190,IF(E190="S2 PCB Layout",R190,IF(E190="S3 SI &amp; PI",W190,IF(E190="S4 Bare-PCB Fab",AB190,IF(E190="S5 Assembly",AG190,IF(E190="S6 Bring-up",AL190,AQ190)))))))))</f>
        <v/>
      </c>
      <c r="G190" s="33" t="str">
        <f aca="false">IF($C190="","",IF(E190="All Stages Closed","",IF(E190="S1 Schematic",IF(N190="","Not added",N190),IF(E190="S2 PCB Layout",IF(S190="","Not added",S190),IF(E190="S3 SI &amp; PI",IF(X190="","Not added",X190),IF(E190="S4 Bare-PCB Fab",IF(AC190="","Not added",AC190),IF(E190="S5 Assembly",IF(AH190="","Not added",AH190),IF(E190="S6 Bring-up",IF(AM190="","Not added",AM190),IF(AR190="","Not added",AR190)))))))))</f>
        <v/>
      </c>
      <c r="H190" s="32" t="str">
        <f aca="true">IF($C190="","",IF(OR(F190="Completed",F190="Cancelled"),"",IF(NOT(ISNUMBER(G190)),"No date set",IF(TODAY()&gt;G190,TODAY()-G190&amp;" days late",G190-TODAY()&amp;" days left"))))</f>
        <v/>
      </c>
      <c r="I190" s="31" t="str">
        <f aca="false">IF($C190="","",COUNTIF(M190,"Completed")+COUNTIF(R190,"Completed")+COUNTIF(W190,"Completed")+COUNTIF(AB190,"Completed")+COUNTIF(AG190,"Completed")+COUNTIF(AL190,"Completed")+COUNTIF(AQ190,"Completed"))</f>
        <v/>
      </c>
      <c r="J190" s="31" t="str">
        <f aca="false">IF($C190="","",7-(COUNTIF(M190,"NA")+COUNTIF(R190,"NA")+COUNTIF(W190,"NA")+COUNTIF(AB190,"NA")+COUNTIF(AG190,"NA")+COUNTIF(AL190,"NA")+COUNTIF(AQ190,"NA")))</f>
        <v/>
      </c>
      <c r="K190" s="34" t="str">
        <f aca="false">IFERROR(I190/J190,"")</f>
        <v/>
      </c>
      <c r="L190" s="29"/>
      <c r="M190" s="35"/>
      <c r="N190" s="36"/>
      <c r="O190" s="36"/>
      <c r="P190" s="30"/>
      <c r="Q190" s="29"/>
      <c r="R190" s="35"/>
      <c r="S190" s="36"/>
      <c r="T190" s="36"/>
      <c r="U190" s="30"/>
      <c r="V190" s="29"/>
      <c r="W190" s="35"/>
      <c r="X190" s="36"/>
      <c r="Y190" s="36"/>
      <c r="Z190" s="30"/>
      <c r="AA190" s="29"/>
      <c r="AB190" s="35"/>
      <c r="AC190" s="36"/>
      <c r="AD190" s="36"/>
      <c r="AE190" s="30"/>
      <c r="AF190" s="29"/>
      <c r="AG190" s="35"/>
      <c r="AH190" s="36"/>
      <c r="AI190" s="36"/>
      <c r="AJ190" s="30"/>
      <c r="AK190" s="29"/>
      <c r="AL190" s="35"/>
      <c r="AM190" s="36"/>
      <c r="AN190" s="36"/>
      <c r="AO190" s="30"/>
      <c r="AP190" s="29"/>
      <c r="AQ190" s="35"/>
      <c r="AR190" s="36"/>
      <c r="AS190" s="36"/>
      <c r="AT190" s="30"/>
      <c r="AU190" s="29"/>
      <c r="AV190" s="29"/>
      <c r="AW190" s="29"/>
      <c r="AX190" s="37"/>
      <c r="AY190" s="39" t="str">
        <f aca="false">IF(AU190&lt;&gt;"Yes","",IF(AV190="","SELECT RE-ENTRY STAGE","MOVE TO ACTIVE at "&amp;AV190))</f>
        <v/>
      </c>
      <c r="AZ190" s="40" t="str">
        <f aca="false">IF(AU190="Yes",COUNTIF($AU$6:AU190,"Yes"),"")</f>
        <v/>
      </c>
      <c r="BA190" s="29"/>
      <c r="BB190" s="38" t="str">
        <f aca="false">IF($C190="","",IF(OR(F190="Completed",F190="Cancelled"),"",IF(AND(OR(F190="On Hold",ISNUMBER(VALUE(LEFT(H190,2)))),BA190=""),"Reason not given","")))</f>
        <v/>
      </c>
      <c r="BC190" s="30"/>
    </row>
    <row r="191" customFormat="false" ht="19.5" hidden="false" customHeight="true" outlineLevel="0" collapsed="false">
      <c r="A191" s="28" t="str">
        <f aca="false">IF($C191="","",COUNTA($C$6:$C191))</f>
        <v/>
      </c>
      <c r="B191" s="29"/>
      <c r="C191" s="30"/>
      <c r="D191" s="29"/>
      <c r="E191" s="31" t="str">
        <f aca="false">IF($C191="","",IF(NOT(OR(M191="Completed",M191="NA",M191="Cancelled")),"S1 Schematic",IF(NOT(OR(R191="Completed",R191="NA",R191="Cancelled")),"S2 PCB Layout",IF(NOT(OR(W191="Completed",W191="NA",W191="Cancelled")),"S3 SI &amp; PI",IF(NOT(OR(AB191="Completed",AB191="NA",AB191="Cancelled")),"S4 Bare-PCB Fab",IF(NOT(OR(AG191="Completed",AG191="NA",AG191="Cancelled")),"S5 Assembly",IF(NOT(OR(AL191="Completed",AL191="NA",AL191="Cancelled")),"S6 Bring-up",IF(NOT(OR(AQ191="Completed",AQ191="NA",AQ191="Cancelled")),"S7 BOM Procurement","All Stages Closed"))))))))</f>
        <v/>
      </c>
      <c r="F191" s="32" t="str">
        <f aca="false">IF($C191="","",IF(COUNTIF(M191,"Cancelled")+COUNTIF(R191,"Cancelled")+COUNTIF(W191,"Cancelled")+COUNTIF(AB191,"Cancelled")+COUNTIF(AG191,"Cancelled")+COUNTIF(AL191,"Cancelled")+COUNTIF(AQ191,"Cancelled")&gt;0,"Cancelled",IF(E191="All Stages Closed","Completed",IF(E191="S1 Schematic",M191,IF(E191="S2 PCB Layout",R191,IF(E191="S3 SI &amp; PI",W191,IF(E191="S4 Bare-PCB Fab",AB191,IF(E191="S5 Assembly",AG191,IF(E191="S6 Bring-up",AL191,AQ191)))))))))</f>
        <v/>
      </c>
      <c r="G191" s="33" t="str">
        <f aca="false">IF($C191="","",IF(E191="All Stages Closed","",IF(E191="S1 Schematic",IF(N191="","Not added",N191),IF(E191="S2 PCB Layout",IF(S191="","Not added",S191),IF(E191="S3 SI &amp; PI",IF(X191="","Not added",X191),IF(E191="S4 Bare-PCB Fab",IF(AC191="","Not added",AC191),IF(E191="S5 Assembly",IF(AH191="","Not added",AH191),IF(E191="S6 Bring-up",IF(AM191="","Not added",AM191),IF(AR191="","Not added",AR191)))))))))</f>
        <v/>
      </c>
      <c r="H191" s="32" t="str">
        <f aca="true">IF($C191="","",IF(OR(F191="Completed",F191="Cancelled"),"",IF(NOT(ISNUMBER(G191)),"No date set",IF(TODAY()&gt;G191,TODAY()-G191&amp;" days late",G191-TODAY()&amp;" days left"))))</f>
        <v/>
      </c>
      <c r="I191" s="31" t="str">
        <f aca="false">IF($C191="","",COUNTIF(M191,"Completed")+COUNTIF(R191,"Completed")+COUNTIF(W191,"Completed")+COUNTIF(AB191,"Completed")+COUNTIF(AG191,"Completed")+COUNTIF(AL191,"Completed")+COUNTIF(AQ191,"Completed"))</f>
        <v/>
      </c>
      <c r="J191" s="31" t="str">
        <f aca="false">IF($C191="","",7-(COUNTIF(M191,"NA")+COUNTIF(R191,"NA")+COUNTIF(W191,"NA")+COUNTIF(AB191,"NA")+COUNTIF(AG191,"NA")+COUNTIF(AL191,"NA")+COUNTIF(AQ191,"NA")))</f>
        <v/>
      </c>
      <c r="K191" s="34" t="str">
        <f aca="false">IFERROR(I191/J191,"")</f>
        <v/>
      </c>
      <c r="L191" s="29"/>
      <c r="M191" s="35"/>
      <c r="N191" s="36"/>
      <c r="O191" s="36"/>
      <c r="P191" s="30"/>
      <c r="Q191" s="29"/>
      <c r="R191" s="35"/>
      <c r="S191" s="36"/>
      <c r="T191" s="36"/>
      <c r="U191" s="30"/>
      <c r="V191" s="29"/>
      <c r="W191" s="35"/>
      <c r="X191" s="36"/>
      <c r="Y191" s="36"/>
      <c r="Z191" s="30"/>
      <c r="AA191" s="29"/>
      <c r="AB191" s="35"/>
      <c r="AC191" s="36"/>
      <c r="AD191" s="36"/>
      <c r="AE191" s="30"/>
      <c r="AF191" s="29"/>
      <c r="AG191" s="35"/>
      <c r="AH191" s="36"/>
      <c r="AI191" s="36"/>
      <c r="AJ191" s="30"/>
      <c r="AK191" s="29"/>
      <c r="AL191" s="35"/>
      <c r="AM191" s="36"/>
      <c r="AN191" s="36"/>
      <c r="AO191" s="30"/>
      <c r="AP191" s="29"/>
      <c r="AQ191" s="35"/>
      <c r="AR191" s="36"/>
      <c r="AS191" s="36"/>
      <c r="AT191" s="30"/>
      <c r="AU191" s="29"/>
      <c r="AV191" s="29"/>
      <c r="AW191" s="29"/>
      <c r="AX191" s="37"/>
      <c r="AY191" s="39" t="str">
        <f aca="false">IF(AU191&lt;&gt;"Yes","",IF(AV191="","SELECT RE-ENTRY STAGE","MOVE TO ACTIVE at "&amp;AV191))</f>
        <v/>
      </c>
      <c r="AZ191" s="40" t="str">
        <f aca="false">IF(AU191="Yes",COUNTIF($AU$6:AU191,"Yes"),"")</f>
        <v/>
      </c>
      <c r="BA191" s="29"/>
      <c r="BB191" s="38" t="str">
        <f aca="false">IF($C191="","",IF(OR(F191="Completed",F191="Cancelled"),"",IF(AND(OR(F191="On Hold",ISNUMBER(VALUE(LEFT(H191,2)))),BA191=""),"Reason not given","")))</f>
        <v/>
      </c>
      <c r="BC191" s="30"/>
    </row>
    <row r="192" customFormat="false" ht="19.5" hidden="false" customHeight="true" outlineLevel="0" collapsed="false">
      <c r="A192" s="28" t="str">
        <f aca="false">IF($C192="","",COUNTA($C$6:$C192))</f>
        <v/>
      </c>
      <c r="B192" s="29"/>
      <c r="C192" s="30"/>
      <c r="D192" s="29"/>
      <c r="E192" s="31" t="str">
        <f aca="false">IF($C192="","",IF(NOT(OR(M192="Completed",M192="NA",M192="Cancelled")),"S1 Schematic",IF(NOT(OR(R192="Completed",R192="NA",R192="Cancelled")),"S2 PCB Layout",IF(NOT(OR(W192="Completed",W192="NA",W192="Cancelled")),"S3 SI &amp; PI",IF(NOT(OR(AB192="Completed",AB192="NA",AB192="Cancelled")),"S4 Bare-PCB Fab",IF(NOT(OR(AG192="Completed",AG192="NA",AG192="Cancelled")),"S5 Assembly",IF(NOT(OR(AL192="Completed",AL192="NA",AL192="Cancelled")),"S6 Bring-up",IF(NOT(OR(AQ192="Completed",AQ192="NA",AQ192="Cancelled")),"S7 BOM Procurement","All Stages Closed"))))))))</f>
        <v/>
      </c>
      <c r="F192" s="32" t="str">
        <f aca="false">IF($C192="","",IF(COUNTIF(M192,"Cancelled")+COUNTIF(R192,"Cancelled")+COUNTIF(W192,"Cancelled")+COUNTIF(AB192,"Cancelled")+COUNTIF(AG192,"Cancelled")+COUNTIF(AL192,"Cancelled")+COUNTIF(AQ192,"Cancelled")&gt;0,"Cancelled",IF(E192="All Stages Closed","Completed",IF(E192="S1 Schematic",M192,IF(E192="S2 PCB Layout",R192,IF(E192="S3 SI &amp; PI",W192,IF(E192="S4 Bare-PCB Fab",AB192,IF(E192="S5 Assembly",AG192,IF(E192="S6 Bring-up",AL192,AQ192)))))))))</f>
        <v/>
      </c>
      <c r="G192" s="33" t="str">
        <f aca="false">IF($C192="","",IF(E192="All Stages Closed","",IF(E192="S1 Schematic",IF(N192="","Not added",N192),IF(E192="S2 PCB Layout",IF(S192="","Not added",S192),IF(E192="S3 SI &amp; PI",IF(X192="","Not added",X192),IF(E192="S4 Bare-PCB Fab",IF(AC192="","Not added",AC192),IF(E192="S5 Assembly",IF(AH192="","Not added",AH192),IF(E192="S6 Bring-up",IF(AM192="","Not added",AM192),IF(AR192="","Not added",AR192)))))))))</f>
        <v/>
      </c>
      <c r="H192" s="32" t="str">
        <f aca="true">IF($C192="","",IF(OR(F192="Completed",F192="Cancelled"),"",IF(NOT(ISNUMBER(G192)),"No date set",IF(TODAY()&gt;G192,TODAY()-G192&amp;" days late",G192-TODAY()&amp;" days left"))))</f>
        <v/>
      </c>
      <c r="I192" s="31" t="str">
        <f aca="false">IF($C192="","",COUNTIF(M192,"Completed")+COUNTIF(R192,"Completed")+COUNTIF(W192,"Completed")+COUNTIF(AB192,"Completed")+COUNTIF(AG192,"Completed")+COUNTIF(AL192,"Completed")+COUNTIF(AQ192,"Completed"))</f>
        <v/>
      </c>
      <c r="J192" s="31" t="str">
        <f aca="false">IF($C192="","",7-(COUNTIF(M192,"NA")+COUNTIF(R192,"NA")+COUNTIF(W192,"NA")+COUNTIF(AB192,"NA")+COUNTIF(AG192,"NA")+COUNTIF(AL192,"NA")+COUNTIF(AQ192,"NA")))</f>
        <v/>
      </c>
      <c r="K192" s="34" t="str">
        <f aca="false">IFERROR(I192/J192,"")</f>
        <v/>
      </c>
      <c r="L192" s="29"/>
      <c r="M192" s="35"/>
      <c r="N192" s="36"/>
      <c r="O192" s="36"/>
      <c r="P192" s="30"/>
      <c r="Q192" s="29"/>
      <c r="R192" s="35"/>
      <c r="S192" s="36"/>
      <c r="T192" s="36"/>
      <c r="U192" s="30"/>
      <c r="V192" s="29"/>
      <c r="W192" s="35"/>
      <c r="X192" s="36"/>
      <c r="Y192" s="36"/>
      <c r="Z192" s="30"/>
      <c r="AA192" s="29"/>
      <c r="AB192" s="35"/>
      <c r="AC192" s="36"/>
      <c r="AD192" s="36"/>
      <c r="AE192" s="30"/>
      <c r="AF192" s="29"/>
      <c r="AG192" s="35"/>
      <c r="AH192" s="36"/>
      <c r="AI192" s="36"/>
      <c r="AJ192" s="30"/>
      <c r="AK192" s="29"/>
      <c r="AL192" s="35"/>
      <c r="AM192" s="36"/>
      <c r="AN192" s="36"/>
      <c r="AO192" s="30"/>
      <c r="AP192" s="29"/>
      <c r="AQ192" s="35"/>
      <c r="AR192" s="36"/>
      <c r="AS192" s="36"/>
      <c r="AT192" s="30"/>
      <c r="AU192" s="29"/>
      <c r="AV192" s="29"/>
      <c r="AW192" s="29"/>
      <c r="AX192" s="37"/>
      <c r="AY192" s="39" t="str">
        <f aca="false">IF(AU192&lt;&gt;"Yes","",IF(AV192="","SELECT RE-ENTRY STAGE","MOVE TO ACTIVE at "&amp;AV192))</f>
        <v/>
      </c>
      <c r="AZ192" s="40" t="str">
        <f aca="false">IF(AU192="Yes",COUNTIF($AU$6:AU192,"Yes"),"")</f>
        <v/>
      </c>
      <c r="BA192" s="29"/>
      <c r="BB192" s="38" t="str">
        <f aca="false">IF($C192="","",IF(OR(F192="Completed",F192="Cancelled"),"",IF(AND(OR(F192="On Hold",ISNUMBER(VALUE(LEFT(H192,2)))),BA192=""),"Reason not given","")))</f>
        <v/>
      </c>
      <c r="BC192" s="30"/>
    </row>
    <row r="193" customFormat="false" ht="19.5" hidden="false" customHeight="true" outlineLevel="0" collapsed="false">
      <c r="A193" s="28" t="str">
        <f aca="false">IF($C193="","",COUNTA($C$6:$C193))</f>
        <v/>
      </c>
      <c r="B193" s="29"/>
      <c r="C193" s="30"/>
      <c r="D193" s="29"/>
      <c r="E193" s="31" t="str">
        <f aca="false">IF($C193="","",IF(NOT(OR(M193="Completed",M193="NA",M193="Cancelled")),"S1 Schematic",IF(NOT(OR(R193="Completed",R193="NA",R193="Cancelled")),"S2 PCB Layout",IF(NOT(OR(W193="Completed",W193="NA",W193="Cancelled")),"S3 SI &amp; PI",IF(NOT(OR(AB193="Completed",AB193="NA",AB193="Cancelled")),"S4 Bare-PCB Fab",IF(NOT(OR(AG193="Completed",AG193="NA",AG193="Cancelled")),"S5 Assembly",IF(NOT(OR(AL193="Completed",AL193="NA",AL193="Cancelled")),"S6 Bring-up",IF(NOT(OR(AQ193="Completed",AQ193="NA",AQ193="Cancelled")),"S7 BOM Procurement","All Stages Closed"))))))))</f>
        <v/>
      </c>
      <c r="F193" s="32" t="str">
        <f aca="false">IF($C193="","",IF(COUNTIF(M193,"Cancelled")+COUNTIF(R193,"Cancelled")+COUNTIF(W193,"Cancelled")+COUNTIF(AB193,"Cancelled")+COUNTIF(AG193,"Cancelled")+COUNTIF(AL193,"Cancelled")+COUNTIF(AQ193,"Cancelled")&gt;0,"Cancelled",IF(E193="All Stages Closed","Completed",IF(E193="S1 Schematic",M193,IF(E193="S2 PCB Layout",R193,IF(E193="S3 SI &amp; PI",W193,IF(E193="S4 Bare-PCB Fab",AB193,IF(E193="S5 Assembly",AG193,IF(E193="S6 Bring-up",AL193,AQ193)))))))))</f>
        <v/>
      </c>
      <c r="G193" s="33" t="str">
        <f aca="false">IF($C193="","",IF(E193="All Stages Closed","",IF(E193="S1 Schematic",IF(N193="","Not added",N193),IF(E193="S2 PCB Layout",IF(S193="","Not added",S193),IF(E193="S3 SI &amp; PI",IF(X193="","Not added",X193),IF(E193="S4 Bare-PCB Fab",IF(AC193="","Not added",AC193),IF(E193="S5 Assembly",IF(AH193="","Not added",AH193),IF(E193="S6 Bring-up",IF(AM193="","Not added",AM193),IF(AR193="","Not added",AR193)))))))))</f>
        <v/>
      </c>
      <c r="H193" s="32" t="str">
        <f aca="true">IF($C193="","",IF(OR(F193="Completed",F193="Cancelled"),"",IF(NOT(ISNUMBER(G193)),"No date set",IF(TODAY()&gt;G193,TODAY()-G193&amp;" days late",G193-TODAY()&amp;" days left"))))</f>
        <v/>
      </c>
      <c r="I193" s="31" t="str">
        <f aca="false">IF($C193="","",COUNTIF(M193,"Completed")+COUNTIF(R193,"Completed")+COUNTIF(W193,"Completed")+COUNTIF(AB193,"Completed")+COUNTIF(AG193,"Completed")+COUNTIF(AL193,"Completed")+COUNTIF(AQ193,"Completed"))</f>
        <v/>
      </c>
      <c r="J193" s="31" t="str">
        <f aca="false">IF($C193="","",7-(COUNTIF(M193,"NA")+COUNTIF(R193,"NA")+COUNTIF(W193,"NA")+COUNTIF(AB193,"NA")+COUNTIF(AG193,"NA")+COUNTIF(AL193,"NA")+COUNTIF(AQ193,"NA")))</f>
        <v/>
      </c>
      <c r="K193" s="34" t="str">
        <f aca="false">IFERROR(I193/J193,"")</f>
        <v/>
      </c>
      <c r="L193" s="29"/>
      <c r="M193" s="35"/>
      <c r="N193" s="36"/>
      <c r="O193" s="36"/>
      <c r="P193" s="30"/>
      <c r="Q193" s="29"/>
      <c r="R193" s="35"/>
      <c r="S193" s="36"/>
      <c r="T193" s="36"/>
      <c r="U193" s="30"/>
      <c r="V193" s="29"/>
      <c r="W193" s="35"/>
      <c r="X193" s="36"/>
      <c r="Y193" s="36"/>
      <c r="Z193" s="30"/>
      <c r="AA193" s="29"/>
      <c r="AB193" s="35"/>
      <c r="AC193" s="36"/>
      <c r="AD193" s="36"/>
      <c r="AE193" s="30"/>
      <c r="AF193" s="29"/>
      <c r="AG193" s="35"/>
      <c r="AH193" s="36"/>
      <c r="AI193" s="36"/>
      <c r="AJ193" s="30"/>
      <c r="AK193" s="29"/>
      <c r="AL193" s="35"/>
      <c r="AM193" s="36"/>
      <c r="AN193" s="36"/>
      <c r="AO193" s="30"/>
      <c r="AP193" s="29"/>
      <c r="AQ193" s="35"/>
      <c r="AR193" s="36"/>
      <c r="AS193" s="36"/>
      <c r="AT193" s="30"/>
      <c r="AU193" s="29"/>
      <c r="AV193" s="29"/>
      <c r="AW193" s="29"/>
      <c r="AX193" s="37"/>
      <c r="AY193" s="39" t="str">
        <f aca="false">IF(AU193&lt;&gt;"Yes","",IF(AV193="","SELECT RE-ENTRY STAGE","MOVE TO ACTIVE at "&amp;AV193))</f>
        <v/>
      </c>
      <c r="AZ193" s="40" t="str">
        <f aca="false">IF(AU193="Yes",COUNTIF($AU$6:AU193,"Yes"),"")</f>
        <v/>
      </c>
      <c r="BA193" s="29"/>
      <c r="BB193" s="38" t="str">
        <f aca="false">IF($C193="","",IF(OR(F193="Completed",F193="Cancelled"),"",IF(AND(OR(F193="On Hold",ISNUMBER(VALUE(LEFT(H193,2)))),BA193=""),"Reason not given","")))</f>
        <v/>
      </c>
      <c r="BC193" s="30"/>
    </row>
    <row r="194" customFormat="false" ht="19.5" hidden="false" customHeight="true" outlineLevel="0" collapsed="false">
      <c r="A194" s="28" t="str">
        <f aca="false">IF($C194="","",COUNTA($C$6:$C194))</f>
        <v/>
      </c>
      <c r="B194" s="29"/>
      <c r="C194" s="30"/>
      <c r="D194" s="29"/>
      <c r="E194" s="31" t="str">
        <f aca="false">IF($C194="","",IF(NOT(OR(M194="Completed",M194="NA",M194="Cancelled")),"S1 Schematic",IF(NOT(OR(R194="Completed",R194="NA",R194="Cancelled")),"S2 PCB Layout",IF(NOT(OR(W194="Completed",W194="NA",W194="Cancelled")),"S3 SI &amp; PI",IF(NOT(OR(AB194="Completed",AB194="NA",AB194="Cancelled")),"S4 Bare-PCB Fab",IF(NOT(OR(AG194="Completed",AG194="NA",AG194="Cancelled")),"S5 Assembly",IF(NOT(OR(AL194="Completed",AL194="NA",AL194="Cancelled")),"S6 Bring-up",IF(NOT(OR(AQ194="Completed",AQ194="NA",AQ194="Cancelled")),"S7 BOM Procurement","All Stages Closed"))))))))</f>
        <v/>
      </c>
      <c r="F194" s="32" t="str">
        <f aca="false">IF($C194="","",IF(COUNTIF(M194,"Cancelled")+COUNTIF(R194,"Cancelled")+COUNTIF(W194,"Cancelled")+COUNTIF(AB194,"Cancelled")+COUNTIF(AG194,"Cancelled")+COUNTIF(AL194,"Cancelled")+COUNTIF(AQ194,"Cancelled")&gt;0,"Cancelled",IF(E194="All Stages Closed","Completed",IF(E194="S1 Schematic",M194,IF(E194="S2 PCB Layout",R194,IF(E194="S3 SI &amp; PI",W194,IF(E194="S4 Bare-PCB Fab",AB194,IF(E194="S5 Assembly",AG194,IF(E194="S6 Bring-up",AL194,AQ194)))))))))</f>
        <v/>
      </c>
      <c r="G194" s="33" t="str">
        <f aca="false">IF($C194="","",IF(E194="All Stages Closed","",IF(E194="S1 Schematic",IF(N194="","Not added",N194),IF(E194="S2 PCB Layout",IF(S194="","Not added",S194),IF(E194="S3 SI &amp; PI",IF(X194="","Not added",X194),IF(E194="S4 Bare-PCB Fab",IF(AC194="","Not added",AC194),IF(E194="S5 Assembly",IF(AH194="","Not added",AH194),IF(E194="S6 Bring-up",IF(AM194="","Not added",AM194),IF(AR194="","Not added",AR194)))))))))</f>
        <v/>
      </c>
      <c r="H194" s="32" t="str">
        <f aca="true">IF($C194="","",IF(OR(F194="Completed",F194="Cancelled"),"",IF(NOT(ISNUMBER(G194)),"No date set",IF(TODAY()&gt;G194,TODAY()-G194&amp;" days late",G194-TODAY()&amp;" days left"))))</f>
        <v/>
      </c>
      <c r="I194" s="31" t="str">
        <f aca="false">IF($C194="","",COUNTIF(M194,"Completed")+COUNTIF(R194,"Completed")+COUNTIF(W194,"Completed")+COUNTIF(AB194,"Completed")+COUNTIF(AG194,"Completed")+COUNTIF(AL194,"Completed")+COUNTIF(AQ194,"Completed"))</f>
        <v/>
      </c>
      <c r="J194" s="31" t="str">
        <f aca="false">IF($C194="","",7-(COUNTIF(M194,"NA")+COUNTIF(R194,"NA")+COUNTIF(W194,"NA")+COUNTIF(AB194,"NA")+COUNTIF(AG194,"NA")+COUNTIF(AL194,"NA")+COUNTIF(AQ194,"NA")))</f>
        <v/>
      </c>
      <c r="K194" s="34" t="str">
        <f aca="false">IFERROR(I194/J194,"")</f>
        <v/>
      </c>
      <c r="L194" s="29"/>
      <c r="M194" s="35"/>
      <c r="N194" s="36"/>
      <c r="O194" s="36"/>
      <c r="P194" s="30"/>
      <c r="Q194" s="29"/>
      <c r="R194" s="35"/>
      <c r="S194" s="36"/>
      <c r="T194" s="36"/>
      <c r="U194" s="30"/>
      <c r="V194" s="29"/>
      <c r="W194" s="35"/>
      <c r="X194" s="36"/>
      <c r="Y194" s="36"/>
      <c r="Z194" s="30"/>
      <c r="AA194" s="29"/>
      <c r="AB194" s="35"/>
      <c r="AC194" s="36"/>
      <c r="AD194" s="36"/>
      <c r="AE194" s="30"/>
      <c r="AF194" s="29"/>
      <c r="AG194" s="35"/>
      <c r="AH194" s="36"/>
      <c r="AI194" s="36"/>
      <c r="AJ194" s="30"/>
      <c r="AK194" s="29"/>
      <c r="AL194" s="35"/>
      <c r="AM194" s="36"/>
      <c r="AN194" s="36"/>
      <c r="AO194" s="30"/>
      <c r="AP194" s="29"/>
      <c r="AQ194" s="35"/>
      <c r="AR194" s="36"/>
      <c r="AS194" s="36"/>
      <c r="AT194" s="30"/>
      <c r="AU194" s="29"/>
      <c r="AV194" s="29"/>
      <c r="AW194" s="29"/>
      <c r="AX194" s="37"/>
      <c r="AY194" s="39" t="str">
        <f aca="false">IF(AU194&lt;&gt;"Yes","",IF(AV194="","SELECT RE-ENTRY STAGE","MOVE TO ACTIVE at "&amp;AV194))</f>
        <v/>
      </c>
      <c r="AZ194" s="40" t="str">
        <f aca="false">IF(AU194="Yes",COUNTIF($AU$6:AU194,"Yes"),"")</f>
        <v/>
      </c>
      <c r="BA194" s="29"/>
      <c r="BB194" s="38" t="str">
        <f aca="false">IF($C194="","",IF(OR(F194="Completed",F194="Cancelled"),"",IF(AND(OR(F194="On Hold",ISNUMBER(VALUE(LEFT(H194,2)))),BA194=""),"Reason not given","")))</f>
        <v/>
      </c>
      <c r="BC194" s="30"/>
    </row>
    <row r="195" customFormat="false" ht="19.5" hidden="false" customHeight="true" outlineLevel="0" collapsed="false">
      <c r="A195" s="28" t="str">
        <f aca="false">IF($C195="","",COUNTA($C$6:$C195))</f>
        <v/>
      </c>
      <c r="B195" s="29"/>
      <c r="C195" s="30"/>
      <c r="D195" s="29"/>
      <c r="E195" s="31" t="str">
        <f aca="false">IF($C195="","",IF(NOT(OR(M195="Completed",M195="NA",M195="Cancelled")),"S1 Schematic",IF(NOT(OR(R195="Completed",R195="NA",R195="Cancelled")),"S2 PCB Layout",IF(NOT(OR(W195="Completed",W195="NA",W195="Cancelled")),"S3 SI &amp; PI",IF(NOT(OR(AB195="Completed",AB195="NA",AB195="Cancelled")),"S4 Bare-PCB Fab",IF(NOT(OR(AG195="Completed",AG195="NA",AG195="Cancelled")),"S5 Assembly",IF(NOT(OR(AL195="Completed",AL195="NA",AL195="Cancelled")),"S6 Bring-up",IF(NOT(OR(AQ195="Completed",AQ195="NA",AQ195="Cancelled")),"S7 BOM Procurement","All Stages Closed"))))))))</f>
        <v/>
      </c>
      <c r="F195" s="32" t="str">
        <f aca="false">IF($C195="","",IF(COUNTIF(M195,"Cancelled")+COUNTIF(R195,"Cancelled")+COUNTIF(W195,"Cancelled")+COUNTIF(AB195,"Cancelled")+COUNTIF(AG195,"Cancelled")+COUNTIF(AL195,"Cancelled")+COUNTIF(AQ195,"Cancelled")&gt;0,"Cancelled",IF(E195="All Stages Closed","Completed",IF(E195="S1 Schematic",M195,IF(E195="S2 PCB Layout",R195,IF(E195="S3 SI &amp; PI",W195,IF(E195="S4 Bare-PCB Fab",AB195,IF(E195="S5 Assembly",AG195,IF(E195="S6 Bring-up",AL195,AQ195)))))))))</f>
        <v/>
      </c>
      <c r="G195" s="33" t="str">
        <f aca="false">IF($C195="","",IF(E195="All Stages Closed","",IF(E195="S1 Schematic",IF(N195="","Not added",N195),IF(E195="S2 PCB Layout",IF(S195="","Not added",S195),IF(E195="S3 SI &amp; PI",IF(X195="","Not added",X195),IF(E195="S4 Bare-PCB Fab",IF(AC195="","Not added",AC195),IF(E195="S5 Assembly",IF(AH195="","Not added",AH195),IF(E195="S6 Bring-up",IF(AM195="","Not added",AM195),IF(AR195="","Not added",AR195)))))))))</f>
        <v/>
      </c>
      <c r="H195" s="32" t="str">
        <f aca="true">IF($C195="","",IF(OR(F195="Completed",F195="Cancelled"),"",IF(NOT(ISNUMBER(G195)),"No date set",IF(TODAY()&gt;G195,TODAY()-G195&amp;" days late",G195-TODAY()&amp;" days left"))))</f>
        <v/>
      </c>
      <c r="I195" s="31" t="str">
        <f aca="false">IF($C195="","",COUNTIF(M195,"Completed")+COUNTIF(R195,"Completed")+COUNTIF(W195,"Completed")+COUNTIF(AB195,"Completed")+COUNTIF(AG195,"Completed")+COUNTIF(AL195,"Completed")+COUNTIF(AQ195,"Completed"))</f>
        <v/>
      </c>
      <c r="J195" s="31" t="str">
        <f aca="false">IF($C195="","",7-(COUNTIF(M195,"NA")+COUNTIF(R195,"NA")+COUNTIF(W195,"NA")+COUNTIF(AB195,"NA")+COUNTIF(AG195,"NA")+COUNTIF(AL195,"NA")+COUNTIF(AQ195,"NA")))</f>
        <v/>
      </c>
      <c r="K195" s="34" t="str">
        <f aca="false">IFERROR(I195/J195,"")</f>
        <v/>
      </c>
      <c r="L195" s="29"/>
      <c r="M195" s="35"/>
      <c r="N195" s="36"/>
      <c r="O195" s="36"/>
      <c r="P195" s="30"/>
      <c r="Q195" s="29"/>
      <c r="R195" s="35"/>
      <c r="S195" s="36"/>
      <c r="T195" s="36"/>
      <c r="U195" s="30"/>
      <c r="V195" s="29"/>
      <c r="W195" s="35"/>
      <c r="X195" s="36"/>
      <c r="Y195" s="36"/>
      <c r="Z195" s="30"/>
      <c r="AA195" s="29"/>
      <c r="AB195" s="35"/>
      <c r="AC195" s="36"/>
      <c r="AD195" s="36"/>
      <c r="AE195" s="30"/>
      <c r="AF195" s="29"/>
      <c r="AG195" s="35"/>
      <c r="AH195" s="36"/>
      <c r="AI195" s="36"/>
      <c r="AJ195" s="30"/>
      <c r="AK195" s="29"/>
      <c r="AL195" s="35"/>
      <c r="AM195" s="36"/>
      <c r="AN195" s="36"/>
      <c r="AO195" s="30"/>
      <c r="AP195" s="29"/>
      <c r="AQ195" s="35"/>
      <c r="AR195" s="36"/>
      <c r="AS195" s="36"/>
      <c r="AT195" s="30"/>
      <c r="AU195" s="29"/>
      <c r="AV195" s="29"/>
      <c r="AW195" s="29"/>
      <c r="AX195" s="37"/>
      <c r="AY195" s="39" t="str">
        <f aca="false">IF(AU195&lt;&gt;"Yes","",IF(AV195="","SELECT RE-ENTRY STAGE","MOVE TO ACTIVE at "&amp;AV195))</f>
        <v/>
      </c>
      <c r="AZ195" s="40" t="str">
        <f aca="false">IF(AU195="Yes",COUNTIF($AU$6:AU195,"Yes"),"")</f>
        <v/>
      </c>
      <c r="BA195" s="29"/>
      <c r="BB195" s="38" t="str">
        <f aca="false">IF($C195="","",IF(OR(F195="Completed",F195="Cancelled"),"",IF(AND(OR(F195="On Hold",ISNUMBER(VALUE(LEFT(H195,2)))),BA195=""),"Reason not given","")))</f>
        <v/>
      </c>
      <c r="BC195" s="30"/>
    </row>
    <row r="196" customFormat="false" ht="19.5" hidden="false" customHeight="true" outlineLevel="0" collapsed="false">
      <c r="A196" s="28" t="str">
        <f aca="false">IF($C196="","",COUNTA($C$6:$C196))</f>
        <v/>
      </c>
      <c r="B196" s="29"/>
      <c r="C196" s="30"/>
      <c r="D196" s="29"/>
      <c r="E196" s="31" t="str">
        <f aca="false">IF($C196="","",IF(NOT(OR(M196="Completed",M196="NA",M196="Cancelled")),"S1 Schematic",IF(NOT(OR(R196="Completed",R196="NA",R196="Cancelled")),"S2 PCB Layout",IF(NOT(OR(W196="Completed",W196="NA",W196="Cancelled")),"S3 SI &amp; PI",IF(NOT(OR(AB196="Completed",AB196="NA",AB196="Cancelled")),"S4 Bare-PCB Fab",IF(NOT(OR(AG196="Completed",AG196="NA",AG196="Cancelled")),"S5 Assembly",IF(NOT(OR(AL196="Completed",AL196="NA",AL196="Cancelled")),"S6 Bring-up",IF(NOT(OR(AQ196="Completed",AQ196="NA",AQ196="Cancelled")),"S7 BOM Procurement","All Stages Closed"))))))))</f>
        <v/>
      </c>
      <c r="F196" s="32" t="str">
        <f aca="false">IF($C196="","",IF(COUNTIF(M196,"Cancelled")+COUNTIF(R196,"Cancelled")+COUNTIF(W196,"Cancelled")+COUNTIF(AB196,"Cancelled")+COUNTIF(AG196,"Cancelled")+COUNTIF(AL196,"Cancelled")+COUNTIF(AQ196,"Cancelled")&gt;0,"Cancelled",IF(E196="All Stages Closed","Completed",IF(E196="S1 Schematic",M196,IF(E196="S2 PCB Layout",R196,IF(E196="S3 SI &amp; PI",W196,IF(E196="S4 Bare-PCB Fab",AB196,IF(E196="S5 Assembly",AG196,IF(E196="S6 Bring-up",AL196,AQ196)))))))))</f>
        <v/>
      </c>
      <c r="G196" s="33" t="str">
        <f aca="false">IF($C196="","",IF(E196="All Stages Closed","",IF(E196="S1 Schematic",IF(N196="","Not added",N196),IF(E196="S2 PCB Layout",IF(S196="","Not added",S196),IF(E196="S3 SI &amp; PI",IF(X196="","Not added",X196),IF(E196="S4 Bare-PCB Fab",IF(AC196="","Not added",AC196),IF(E196="S5 Assembly",IF(AH196="","Not added",AH196),IF(E196="S6 Bring-up",IF(AM196="","Not added",AM196),IF(AR196="","Not added",AR196)))))))))</f>
        <v/>
      </c>
      <c r="H196" s="32" t="str">
        <f aca="true">IF($C196="","",IF(OR(F196="Completed",F196="Cancelled"),"",IF(NOT(ISNUMBER(G196)),"No date set",IF(TODAY()&gt;G196,TODAY()-G196&amp;" days late",G196-TODAY()&amp;" days left"))))</f>
        <v/>
      </c>
      <c r="I196" s="31" t="str">
        <f aca="false">IF($C196="","",COUNTIF(M196,"Completed")+COUNTIF(R196,"Completed")+COUNTIF(W196,"Completed")+COUNTIF(AB196,"Completed")+COUNTIF(AG196,"Completed")+COUNTIF(AL196,"Completed")+COUNTIF(AQ196,"Completed"))</f>
        <v/>
      </c>
      <c r="J196" s="31" t="str">
        <f aca="false">IF($C196="","",7-(COUNTIF(M196,"NA")+COUNTIF(R196,"NA")+COUNTIF(W196,"NA")+COUNTIF(AB196,"NA")+COUNTIF(AG196,"NA")+COUNTIF(AL196,"NA")+COUNTIF(AQ196,"NA")))</f>
        <v/>
      </c>
      <c r="K196" s="34" t="str">
        <f aca="false">IFERROR(I196/J196,"")</f>
        <v/>
      </c>
      <c r="L196" s="29"/>
      <c r="M196" s="35"/>
      <c r="N196" s="36"/>
      <c r="O196" s="36"/>
      <c r="P196" s="30"/>
      <c r="Q196" s="29"/>
      <c r="R196" s="35"/>
      <c r="S196" s="36"/>
      <c r="T196" s="36"/>
      <c r="U196" s="30"/>
      <c r="V196" s="29"/>
      <c r="W196" s="35"/>
      <c r="X196" s="36"/>
      <c r="Y196" s="36"/>
      <c r="Z196" s="30"/>
      <c r="AA196" s="29"/>
      <c r="AB196" s="35"/>
      <c r="AC196" s="36"/>
      <c r="AD196" s="36"/>
      <c r="AE196" s="30"/>
      <c r="AF196" s="29"/>
      <c r="AG196" s="35"/>
      <c r="AH196" s="36"/>
      <c r="AI196" s="36"/>
      <c r="AJ196" s="30"/>
      <c r="AK196" s="29"/>
      <c r="AL196" s="35"/>
      <c r="AM196" s="36"/>
      <c r="AN196" s="36"/>
      <c r="AO196" s="30"/>
      <c r="AP196" s="29"/>
      <c r="AQ196" s="35"/>
      <c r="AR196" s="36"/>
      <c r="AS196" s="36"/>
      <c r="AT196" s="30"/>
      <c r="AU196" s="29"/>
      <c r="AV196" s="29"/>
      <c r="AW196" s="29"/>
      <c r="AX196" s="37"/>
      <c r="AY196" s="39" t="str">
        <f aca="false">IF(AU196&lt;&gt;"Yes","",IF(AV196="","SELECT RE-ENTRY STAGE","MOVE TO ACTIVE at "&amp;AV196))</f>
        <v/>
      </c>
      <c r="AZ196" s="40" t="str">
        <f aca="false">IF(AU196="Yes",COUNTIF($AU$6:AU196,"Yes"),"")</f>
        <v/>
      </c>
      <c r="BA196" s="29"/>
      <c r="BB196" s="38" t="str">
        <f aca="false">IF($C196="","",IF(OR(F196="Completed",F196="Cancelled"),"",IF(AND(OR(F196="On Hold",ISNUMBER(VALUE(LEFT(H196,2)))),BA196=""),"Reason not given","")))</f>
        <v/>
      </c>
      <c r="BC196" s="30"/>
    </row>
    <row r="197" customFormat="false" ht="19.5" hidden="false" customHeight="true" outlineLevel="0" collapsed="false">
      <c r="A197" s="28" t="str">
        <f aca="false">IF($C197="","",COUNTA($C$6:$C197))</f>
        <v/>
      </c>
      <c r="B197" s="29"/>
      <c r="C197" s="30"/>
      <c r="D197" s="29"/>
      <c r="E197" s="31" t="str">
        <f aca="false">IF($C197="","",IF(NOT(OR(M197="Completed",M197="NA",M197="Cancelled")),"S1 Schematic",IF(NOT(OR(R197="Completed",R197="NA",R197="Cancelled")),"S2 PCB Layout",IF(NOT(OR(W197="Completed",W197="NA",W197="Cancelled")),"S3 SI &amp; PI",IF(NOT(OR(AB197="Completed",AB197="NA",AB197="Cancelled")),"S4 Bare-PCB Fab",IF(NOT(OR(AG197="Completed",AG197="NA",AG197="Cancelled")),"S5 Assembly",IF(NOT(OR(AL197="Completed",AL197="NA",AL197="Cancelled")),"S6 Bring-up",IF(NOT(OR(AQ197="Completed",AQ197="NA",AQ197="Cancelled")),"S7 BOM Procurement","All Stages Closed"))))))))</f>
        <v/>
      </c>
      <c r="F197" s="32" t="str">
        <f aca="false">IF($C197="","",IF(COUNTIF(M197,"Cancelled")+COUNTIF(R197,"Cancelled")+COUNTIF(W197,"Cancelled")+COUNTIF(AB197,"Cancelled")+COUNTIF(AG197,"Cancelled")+COUNTIF(AL197,"Cancelled")+COUNTIF(AQ197,"Cancelled")&gt;0,"Cancelled",IF(E197="All Stages Closed","Completed",IF(E197="S1 Schematic",M197,IF(E197="S2 PCB Layout",R197,IF(E197="S3 SI &amp; PI",W197,IF(E197="S4 Bare-PCB Fab",AB197,IF(E197="S5 Assembly",AG197,IF(E197="S6 Bring-up",AL197,AQ197)))))))))</f>
        <v/>
      </c>
      <c r="G197" s="33" t="str">
        <f aca="false">IF($C197="","",IF(E197="All Stages Closed","",IF(E197="S1 Schematic",IF(N197="","Not added",N197),IF(E197="S2 PCB Layout",IF(S197="","Not added",S197),IF(E197="S3 SI &amp; PI",IF(X197="","Not added",X197),IF(E197="S4 Bare-PCB Fab",IF(AC197="","Not added",AC197),IF(E197="S5 Assembly",IF(AH197="","Not added",AH197),IF(E197="S6 Bring-up",IF(AM197="","Not added",AM197),IF(AR197="","Not added",AR197)))))))))</f>
        <v/>
      </c>
      <c r="H197" s="32" t="str">
        <f aca="true">IF($C197="","",IF(OR(F197="Completed",F197="Cancelled"),"",IF(NOT(ISNUMBER(G197)),"No date set",IF(TODAY()&gt;G197,TODAY()-G197&amp;" days late",G197-TODAY()&amp;" days left"))))</f>
        <v/>
      </c>
      <c r="I197" s="31" t="str">
        <f aca="false">IF($C197="","",COUNTIF(M197,"Completed")+COUNTIF(R197,"Completed")+COUNTIF(W197,"Completed")+COUNTIF(AB197,"Completed")+COUNTIF(AG197,"Completed")+COUNTIF(AL197,"Completed")+COUNTIF(AQ197,"Completed"))</f>
        <v/>
      </c>
      <c r="J197" s="31" t="str">
        <f aca="false">IF($C197="","",7-(COUNTIF(M197,"NA")+COUNTIF(R197,"NA")+COUNTIF(W197,"NA")+COUNTIF(AB197,"NA")+COUNTIF(AG197,"NA")+COUNTIF(AL197,"NA")+COUNTIF(AQ197,"NA")))</f>
        <v/>
      </c>
      <c r="K197" s="34" t="str">
        <f aca="false">IFERROR(I197/J197,"")</f>
        <v/>
      </c>
      <c r="L197" s="29"/>
      <c r="M197" s="35"/>
      <c r="N197" s="36"/>
      <c r="O197" s="36"/>
      <c r="P197" s="30"/>
      <c r="Q197" s="29"/>
      <c r="R197" s="35"/>
      <c r="S197" s="36"/>
      <c r="T197" s="36"/>
      <c r="U197" s="30"/>
      <c r="V197" s="29"/>
      <c r="W197" s="35"/>
      <c r="X197" s="36"/>
      <c r="Y197" s="36"/>
      <c r="Z197" s="30"/>
      <c r="AA197" s="29"/>
      <c r="AB197" s="35"/>
      <c r="AC197" s="36"/>
      <c r="AD197" s="36"/>
      <c r="AE197" s="30"/>
      <c r="AF197" s="29"/>
      <c r="AG197" s="35"/>
      <c r="AH197" s="36"/>
      <c r="AI197" s="36"/>
      <c r="AJ197" s="30"/>
      <c r="AK197" s="29"/>
      <c r="AL197" s="35"/>
      <c r="AM197" s="36"/>
      <c r="AN197" s="36"/>
      <c r="AO197" s="30"/>
      <c r="AP197" s="29"/>
      <c r="AQ197" s="35"/>
      <c r="AR197" s="36"/>
      <c r="AS197" s="36"/>
      <c r="AT197" s="30"/>
      <c r="AU197" s="29"/>
      <c r="AV197" s="29"/>
      <c r="AW197" s="29"/>
      <c r="AX197" s="37"/>
      <c r="AY197" s="39" t="str">
        <f aca="false">IF(AU197&lt;&gt;"Yes","",IF(AV197="","SELECT RE-ENTRY STAGE","MOVE TO ACTIVE at "&amp;AV197))</f>
        <v/>
      </c>
      <c r="AZ197" s="40" t="str">
        <f aca="false">IF(AU197="Yes",COUNTIF($AU$6:AU197,"Yes"),"")</f>
        <v/>
      </c>
      <c r="BA197" s="29"/>
      <c r="BB197" s="38" t="str">
        <f aca="false">IF($C197="","",IF(OR(F197="Completed",F197="Cancelled"),"",IF(AND(OR(F197="On Hold",ISNUMBER(VALUE(LEFT(H197,2)))),BA197=""),"Reason not given","")))</f>
        <v/>
      </c>
      <c r="BC197" s="30"/>
    </row>
    <row r="198" customFormat="false" ht="19.5" hidden="false" customHeight="true" outlineLevel="0" collapsed="false">
      <c r="A198" s="28" t="str">
        <f aca="false">IF($C198="","",COUNTA($C$6:$C198))</f>
        <v/>
      </c>
      <c r="B198" s="29"/>
      <c r="C198" s="30"/>
      <c r="D198" s="29"/>
      <c r="E198" s="31" t="str">
        <f aca="false">IF($C198="","",IF(NOT(OR(M198="Completed",M198="NA",M198="Cancelled")),"S1 Schematic",IF(NOT(OR(R198="Completed",R198="NA",R198="Cancelled")),"S2 PCB Layout",IF(NOT(OR(W198="Completed",W198="NA",W198="Cancelled")),"S3 SI &amp; PI",IF(NOT(OR(AB198="Completed",AB198="NA",AB198="Cancelled")),"S4 Bare-PCB Fab",IF(NOT(OR(AG198="Completed",AG198="NA",AG198="Cancelled")),"S5 Assembly",IF(NOT(OR(AL198="Completed",AL198="NA",AL198="Cancelled")),"S6 Bring-up",IF(NOT(OR(AQ198="Completed",AQ198="NA",AQ198="Cancelled")),"S7 BOM Procurement","All Stages Closed"))))))))</f>
        <v/>
      </c>
      <c r="F198" s="32" t="str">
        <f aca="false">IF($C198="","",IF(COUNTIF(M198,"Cancelled")+COUNTIF(R198,"Cancelled")+COUNTIF(W198,"Cancelled")+COUNTIF(AB198,"Cancelled")+COUNTIF(AG198,"Cancelled")+COUNTIF(AL198,"Cancelled")+COUNTIF(AQ198,"Cancelled")&gt;0,"Cancelled",IF(E198="All Stages Closed","Completed",IF(E198="S1 Schematic",M198,IF(E198="S2 PCB Layout",R198,IF(E198="S3 SI &amp; PI",W198,IF(E198="S4 Bare-PCB Fab",AB198,IF(E198="S5 Assembly",AG198,IF(E198="S6 Bring-up",AL198,AQ198)))))))))</f>
        <v/>
      </c>
      <c r="G198" s="33" t="str">
        <f aca="false">IF($C198="","",IF(E198="All Stages Closed","",IF(E198="S1 Schematic",IF(N198="","Not added",N198),IF(E198="S2 PCB Layout",IF(S198="","Not added",S198),IF(E198="S3 SI &amp; PI",IF(X198="","Not added",X198),IF(E198="S4 Bare-PCB Fab",IF(AC198="","Not added",AC198),IF(E198="S5 Assembly",IF(AH198="","Not added",AH198),IF(E198="S6 Bring-up",IF(AM198="","Not added",AM198),IF(AR198="","Not added",AR198)))))))))</f>
        <v/>
      </c>
      <c r="H198" s="32" t="str">
        <f aca="true">IF($C198="","",IF(OR(F198="Completed",F198="Cancelled"),"",IF(NOT(ISNUMBER(G198)),"No date set",IF(TODAY()&gt;G198,TODAY()-G198&amp;" days late",G198-TODAY()&amp;" days left"))))</f>
        <v/>
      </c>
      <c r="I198" s="31" t="str">
        <f aca="false">IF($C198="","",COUNTIF(M198,"Completed")+COUNTIF(R198,"Completed")+COUNTIF(W198,"Completed")+COUNTIF(AB198,"Completed")+COUNTIF(AG198,"Completed")+COUNTIF(AL198,"Completed")+COUNTIF(AQ198,"Completed"))</f>
        <v/>
      </c>
      <c r="J198" s="31" t="str">
        <f aca="false">IF($C198="","",7-(COUNTIF(M198,"NA")+COUNTIF(R198,"NA")+COUNTIF(W198,"NA")+COUNTIF(AB198,"NA")+COUNTIF(AG198,"NA")+COUNTIF(AL198,"NA")+COUNTIF(AQ198,"NA")))</f>
        <v/>
      </c>
      <c r="K198" s="34" t="str">
        <f aca="false">IFERROR(I198/J198,"")</f>
        <v/>
      </c>
      <c r="L198" s="29"/>
      <c r="M198" s="35"/>
      <c r="N198" s="36"/>
      <c r="O198" s="36"/>
      <c r="P198" s="30"/>
      <c r="Q198" s="29"/>
      <c r="R198" s="35"/>
      <c r="S198" s="36"/>
      <c r="T198" s="36"/>
      <c r="U198" s="30"/>
      <c r="V198" s="29"/>
      <c r="W198" s="35"/>
      <c r="X198" s="36"/>
      <c r="Y198" s="36"/>
      <c r="Z198" s="30"/>
      <c r="AA198" s="29"/>
      <c r="AB198" s="35"/>
      <c r="AC198" s="36"/>
      <c r="AD198" s="36"/>
      <c r="AE198" s="30"/>
      <c r="AF198" s="29"/>
      <c r="AG198" s="35"/>
      <c r="AH198" s="36"/>
      <c r="AI198" s="36"/>
      <c r="AJ198" s="30"/>
      <c r="AK198" s="29"/>
      <c r="AL198" s="35"/>
      <c r="AM198" s="36"/>
      <c r="AN198" s="36"/>
      <c r="AO198" s="30"/>
      <c r="AP198" s="29"/>
      <c r="AQ198" s="35"/>
      <c r="AR198" s="36"/>
      <c r="AS198" s="36"/>
      <c r="AT198" s="30"/>
      <c r="AU198" s="29"/>
      <c r="AV198" s="29"/>
      <c r="AW198" s="29"/>
      <c r="AX198" s="37"/>
      <c r="AY198" s="39" t="str">
        <f aca="false">IF(AU198&lt;&gt;"Yes","",IF(AV198="","SELECT RE-ENTRY STAGE","MOVE TO ACTIVE at "&amp;AV198))</f>
        <v/>
      </c>
      <c r="AZ198" s="40" t="str">
        <f aca="false">IF(AU198="Yes",COUNTIF($AU$6:AU198,"Yes"),"")</f>
        <v/>
      </c>
      <c r="BA198" s="29"/>
      <c r="BB198" s="38" t="str">
        <f aca="false">IF($C198="","",IF(OR(F198="Completed",F198="Cancelled"),"",IF(AND(OR(F198="On Hold",ISNUMBER(VALUE(LEFT(H198,2)))),BA198=""),"Reason not given","")))</f>
        <v/>
      </c>
      <c r="BC198" s="30"/>
    </row>
    <row r="199" customFormat="false" ht="19.5" hidden="false" customHeight="true" outlineLevel="0" collapsed="false">
      <c r="A199" s="28" t="str">
        <f aca="false">IF($C199="","",COUNTA($C$6:$C199))</f>
        <v/>
      </c>
      <c r="B199" s="29"/>
      <c r="C199" s="30"/>
      <c r="D199" s="29"/>
      <c r="E199" s="31" t="str">
        <f aca="false">IF($C199="","",IF(NOT(OR(M199="Completed",M199="NA",M199="Cancelled")),"S1 Schematic",IF(NOT(OR(R199="Completed",R199="NA",R199="Cancelled")),"S2 PCB Layout",IF(NOT(OR(W199="Completed",W199="NA",W199="Cancelled")),"S3 SI &amp; PI",IF(NOT(OR(AB199="Completed",AB199="NA",AB199="Cancelled")),"S4 Bare-PCB Fab",IF(NOT(OR(AG199="Completed",AG199="NA",AG199="Cancelled")),"S5 Assembly",IF(NOT(OR(AL199="Completed",AL199="NA",AL199="Cancelled")),"S6 Bring-up",IF(NOT(OR(AQ199="Completed",AQ199="NA",AQ199="Cancelled")),"S7 BOM Procurement","All Stages Closed"))))))))</f>
        <v/>
      </c>
      <c r="F199" s="32" t="str">
        <f aca="false">IF($C199="","",IF(COUNTIF(M199,"Cancelled")+COUNTIF(R199,"Cancelled")+COUNTIF(W199,"Cancelled")+COUNTIF(AB199,"Cancelled")+COUNTIF(AG199,"Cancelled")+COUNTIF(AL199,"Cancelled")+COUNTIF(AQ199,"Cancelled")&gt;0,"Cancelled",IF(E199="All Stages Closed","Completed",IF(E199="S1 Schematic",M199,IF(E199="S2 PCB Layout",R199,IF(E199="S3 SI &amp; PI",W199,IF(E199="S4 Bare-PCB Fab",AB199,IF(E199="S5 Assembly",AG199,IF(E199="S6 Bring-up",AL199,AQ199)))))))))</f>
        <v/>
      </c>
      <c r="G199" s="33" t="str">
        <f aca="false">IF($C199="","",IF(E199="All Stages Closed","",IF(E199="S1 Schematic",IF(N199="","Not added",N199),IF(E199="S2 PCB Layout",IF(S199="","Not added",S199),IF(E199="S3 SI &amp; PI",IF(X199="","Not added",X199),IF(E199="S4 Bare-PCB Fab",IF(AC199="","Not added",AC199),IF(E199="S5 Assembly",IF(AH199="","Not added",AH199),IF(E199="S6 Bring-up",IF(AM199="","Not added",AM199),IF(AR199="","Not added",AR199)))))))))</f>
        <v/>
      </c>
      <c r="H199" s="32" t="str">
        <f aca="true">IF($C199="","",IF(OR(F199="Completed",F199="Cancelled"),"",IF(NOT(ISNUMBER(G199)),"No date set",IF(TODAY()&gt;G199,TODAY()-G199&amp;" days late",G199-TODAY()&amp;" days left"))))</f>
        <v/>
      </c>
      <c r="I199" s="31" t="str">
        <f aca="false">IF($C199="","",COUNTIF(M199,"Completed")+COUNTIF(R199,"Completed")+COUNTIF(W199,"Completed")+COUNTIF(AB199,"Completed")+COUNTIF(AG199,"Completed")+COUNTIF(AL199,"Completed")+COUNTIF(AQ199,"Completed"))</f>
        <v/>
      </c>
      <c r="J199" s="31" t="str">
        <f aca="false">IF($C199="","",7-(COUNTIF(M199,"NA")+COUNTIF(R199,"NA")+COUNTIF(W199,"NA")+COUNTIF(AB199,"NA")+COUNTIF(AG199,"NA")+COUNTIF(AL199,"NA")+COUNTIF(AQ199,"NA")))</f>
        <v/>
      </c>
      <c r="K199" s="34" t="str">
        <f aca="false">IFERROR(I199/J199,"")</f>
        <v/>
      </c>
      <c r="L199" s="29"/>
      <c r="M199" s="35"/>
      <c r="N199" s="36"/>
      <c r="O199" s="36"/>
      <c r="P199" s="30"/>
      <c r="Q199" s="29"/>
      <c r="R199" s="35"/>
      <c r="S199" s="36"/>
      <c r="T199" s="36"/>
      <c r="U199" s="30"/>
      <c r="V199" s="29"/>
      <c r="W199" s="35"/>
      <c r="X199" s="36"/>
      <c r="Y199" s="36"/>
      <c r="Z199" s="30"/>
      <c r="AA199" s="29"/>
      <c r="AB199" s="35"/>
      <c r="AC199" s="36"/>
      <c r="AD199" s="36"/>
      <c r="AE199" s="30"/>
      <c r="AF199" s="29"/>
      <c r="AG199" s="35"/>
      <c r="AH199" s="36"/>
      <c r="AI199" s="36"/>
      <c r="AJ199" s="30"/>
      <c r="AK199" s="29"/>
      <c r="AL199" s="35"/>
      <c r="AM199" s="36"/>
      <c r="AN199" s="36"/>
      <c r="AO199" s="30"/>
      <c r="AP199" s="29"/>
      <c r="AQ199" s="35"/>
      <c r="AR199" s="36"/>
      <c r="AS199" s="36"/>
      <c r="AT199" s="30"/>
      <c r="AU199" s="29"/>
      <c r="AV199" s="29"/>
      <c r="AW199" s="29"/>
      <c r="AX199" s="37"/>
      <c r="AY199" s="39" t="str">
        <f aca="false">IF(AU199&lt;&gt;"Yes","",IF(AV199="","SELECT RE-ENTRY STAGE","MOVE TO ACTIVE at "&amp;AV199))</f>
        <v/>
      </c>
      <c r="AZ199" s="40" t="str">
        <f aca="false">IF(AU199="Yes",COUNTIF($AU$6:AU199,"Yes"),"")</f>
        <v/>
      </c>
      <c r="BA199" s="29"/>
      <c r="BB199" s="38" t="str">
        <f aca="false">IF($C199="","",IF(OR(F199="Completed",F199="Cancelled"),"",IF(AND(OR(F199="On Hold",ISNUMBER(VALUE(LEFT(H199,2)))),BA199=""),"Reason not given","")))</f>
        <v/>
      </c>
      <c r="BC199" s="30"/>
    </row>
    <row r="200" customFormat="false" ht="19.5" hidden="false" customHeight="true" outlineLevel="0" collapsed="false">
      <c r="A200" s="28" t="str">
        <f aca="false">IF($C200="","",COUNTA($C$6:$C200))</f>
        <v/>
      </c>
      <c r="B200" s="29"/>
      <c r="C200" s="30"/>
      <c r="D200" s="29"/>
      <c r="E200" s="31" t="str">
        <f aca="false">IF($C200="","",IF(NOT(OR(M200="Completed",M200="NA",M200="Cancelled")),"S1 Schematic",IF(NOT(OR(R200="Completed",R200="NA",R200="Cancelled")),"S2 PCB Layout",IF(NOT(OR(W200="Completed",W200="NA",W200="Cancelled")),"S3 SI &amp; PI",IF(NOT(OR(AB200="Completed",AB200="NA",AB200="Cancelled")),"S4 Bare-PCB Fab",IF(NOT(OR(AG200="Completed",AG200="NA",AG200="Cancelled")),"S5 Assembly",IF(NOT(OR(AL200="Completed",AL200="NA",AL200="Cancelled")),"S6 Bring-up",IF(NOT(OR(AQ200="Completed",AQ200="NA",AQ200="Cancelled")),"S7 BOM Procurement","All Stages Closed"))))))))</f>
        <v/>
      </c>
      <c r="F200" s="32" t="str">
        <f aca="false">IF($C200="","",IF(COUNTIF(M200,"Cancelled")+COUNTIF(R200,"Cancelled")+COUNTIF(W200,"Cancelled")+COUNTIF(AB200,"Cancelled")+COUNTIF(AG200,"Cancelled")+COUNTIF(AL200,"Cancelled")+COUNTIF(AQ200,"Cancelled")&gt;0,"Cancelled",IF(E200="All Stages Closed","Completed",IF(E200="S1 Schematic",M200,IF(E200="S2 PCB Layout",R200,IF(E200="S3 SI &amp; PI",W200,IF(E200="S4 Bare-PCB Fab",AB200,IF(E200="S5 Assembly",AG200,IF(E200="S6 Bring-up",AL200,AQ200)))))))))</f>
        <v/>
      </c>
      <c r="G200" s="33" t="str">
        <f aca="false">IF($C200="","",IF(E200="All Stages Closed","",IF(E200="S1 Schematic",IF(N200="","Not added",N200),IF(E200="S2 PCB Layout",IF(S200="","Not added",S200),IF(E200="S3 SI &amp; PI",IF(X200="","Not added",X200),IF(E200="S4 Bare-PCB Fab",IF(AC200="","Not added",AC200),IF(E200="S5 Assembly",IF(AH200="","Not added",AH200),IF(E200="S6 Bring-up",IF(AM200="","Not added",AM200),IF(AR200="","Not added",AR200)))))))))</f>
        <v/>
      </c>
      <c r="H200" s="32" t="str">
        <f aca="true">IF($C200="","",IF(OR(F200="Completed",F200="Cancelled"),"",IF(NOT(ISNUMBER(G200)),"No date set",IF(TODAY()&gt;G200,TODAY()-G200&amp;" days late",G200-TODAY()&amp;" days left"))))</f>
        <v/>
      </c>
      <c r="I200" s="31" t="str">
        <f aca="false">IF($C200="","",COUNTIF(M200,"Completed")+COUNTIF(R200,"Completed")+COUNTIF(W200,"Completed")+COUNTIF(AB200,"Completed")+COUNTIF(AG200,"Completed")+COUNTIF(AL200,"Completed")+COUNTIF(AQ200,"Completed"))</f>
        <v/>
      </c>
      <c r="J200" s="31" t="str">
        <f aca="false">IF($C200="","",7-(COUNTIF(M200,"NA")+COUNTIF(R200,"NA")+COUNTIF(W200,"NA")+COUNTIF(AB200,"NA")+COUNTIF(AG200,"NA")+COUNTIF(AL200,"NA")+COUNTIF(AQ200,"NA")))</f>
        <v/>
      </c>
      <c r="K200" s="34" t="str">
        <f aca="false">IFERROR(I200/J200,"")</f>
        <v/>
      </c>
      <c r="L200" s="29"/>
      <c r="M200" s="35"/>
      <c r="N200" s="36"/>
      <c r="O200" s="36"/>
      <c r="P200" s="30"/>
      <c r="Q200" s="29"/>
      <c r="R200" s="35"/>
      <c r="S200" s="36"/>
      <c r="T200" s="36"/>
      <c r="U200" s="30"/>
      <c r="V200" s="29"/>
      <c r="W200" s="35"/>
      <c r="X200" s="36"/>
      <c r="Y200" s="36"/>
      <c r="Z200" s="30"/>
      <c r="AA200" s="29"/>
      <c r="AB200" s="35"/>
      <c r="AC200" s="36"/>
      <c r="AD200" s="36"/>
      <c r="AE200" s="30"/>
      <c r="AF200" s="29"/>
      <c r="AG200" s="35"/>
      <c r="AH200" s="36"/>
      <c r="AI200" s="36"/>
      <c r="AJ200" s="30"/>
      <c r="AK200" s="29"/>
      <c r="AL200" s="35"/>
      <c r="AM200" s="36"/>
      <c r="AN200" s="36"/>
      <c r="AO200" s="30"/>
      <c r="AP200" s="29"/>
      <c r="AQ200" s="35"/>
      <c r="AR200" s="36"/>
      <c r="AS200" s="36"/>
      <c r="AT200" s="30"/>
      <c r="AU200" s="29"/>
      <c r="AV200" s="29"/>
      <c r="AW200" s="29"/>
      <c r="AX200" s="37"/>
      <c r="AY200" s="39" t="str">
        <f aca="false">IF(AU200&lt;&gt;"Yes","",IF(AV200="","SELECT RE-ENTRY STAGE","MOVE TO ACTIVE at "&amp;AV200))</f>
        <v/>
      </c>
      <c r="AZ200" s="40" t="str">
        <f aca="false">IF(AU200="Yes",COUNTIF($AU$6:AU200,"Yes"),"")</f>
        <v/>
      </c>
      <c r="BA200" s="29"/>
      <c r="BB200" s="38" t="str">
        <f aca="false">IF($C200="","",IF(OR(F200="Completed",F200="Cancelled"),"",IF(AND(OR(F200="On Hold",ISNUMBER(VALUE(LEFT(H200,2)))),BA200=""),"Reason not given","")))</f>
        <v/>
      </c>
      <c r="BC200" s="30"/>
    </row>
    <row r="201" customFormat="false" ht="19.5" hidden="false" customHeight="true" outlineLevel="0" collapsed="false">
      <c r="A201" s="28" t="str">
        <f aca="false">IF($C201="","",COUNTA($C$6:$C201))</f>
        <v/>
      </c>
      <c r="B201" s="29"/>
      <c r="C201" s="30"/>
      <c r="D201" s="29"/>
      <c r="E201" s="31" t="str">
        <f aca="false">IF($C201="","",IF(NOT(OR(M201="Completed",M201="NA",M201="Cancelled")),"S1 Schematic",IF(NOT(OR(R201="Completed",R201="NA",R201="Cancelled")),"S2 PCB Layout",IF(NOT(OR(W201="Completed",W201="NA",W201="Cancelled")),"S3 SI &amp; PI",IF(NOT(OR(AB201="Completed",AB201="NA",AB201="Cancelled")),"S4 Bare-PCB Fab",IF(NOT(OR(AG201="Completed",AG201="NA",AG201="Cancelled")),"S5 Assembly",IF(NOT(OR(AL201="Completed",AL201="NA",AL201="Cancelled")),"S6 Bring-up",IF(NOT(OR(AQ201="Completed",AQ201="NA",AQ201="Cancelled")),"S7 BOM Procurement","All Stages Closed"))))))))</f>
        <v/>
      </c>
      <c r="F201" s="32" t="str">
        <f aca="false">IF($C201="","",IF(COUNTIF(M201,"Cancelled")+COUNTIF(R201,"Cancelled")+COUNTIF(W201,"Cancelled")+COUNTIF(AB201,"Cancelled")+COUNTIF(AG201,"Cancelled")+COUNTIF(AL201,"Cancelled")+COUNTIF(AQ201,"Cancelled")&gt;0,"Cancelled",IF(E201="All Stages Closed","Completed",IF(E201="S1 Schematic",M201,IF(E201="S2 PCB Layout",R201,IF(E201="S3 SI &amp; PI",W201,IF(E201="S4 Bare-PCB Fab",AB201,IF(E201="S5 Assembly",AG201,IF(E201="S6 Bring-up",AL201,AQ201)))))))))</f>
        <v/>
      </c>
      <c r="G201" s="33" t="str">
        <f aca="false">IF($C201="","",IF(E201="All Stages Closed","",IF(E201="S1 Schematic",IF(N201="","Not added",N201),IF(E201="S2 PCB Layout",IF(S201="","Not added",S201),IF(E201="S3 SI &amp; PI",IF(X201="","Not added",X201),IF(E201="S4 Bare-PCB Fab",IF(AC201="","Not added",AC201),IF(E201="S5 Assembly",IF(AH201="","Not added",AH201),IF(E201="S6 Bring-up",IF(AM201="","Not added",AM201),IF(AR201="","Not added",AR201)))))))))</f>
        <v/>
      </c>
      <c r="H201" s="32" t="str">
        <f aca="true">IF($C201="","",IF(OR(F201="Completed",F201="Cancelled"),"",IF(NOT(ISNUMBER(G201)),"No date set",IF(TODAY()&gt;G201,TODAY()-G201&amp;" days late",G201-TODAY()&amp;" days left"))))</f>
        <v/>
      </c>
      <c r="I201" s="31" t="str">
        <f aca="false">IF($C201="","",COUNTIF(M201,"Completed")+COUNTIF(R201,"Completed")+COUNTIF(W201,"Completed")+COUNTIF(AB201,"Completed")+COUNTIF(AG201,"Completed")+COUNTIF(AL201,"Completed")+COUNTIF(AQ201,"Completed"))</f>
        <v/>
      </c>
      <c r="J201" s="31" t="str">
        <f aca="false">IF($C201="","",7-(COUNTIF(M201,"NA")+COUNTIF(R201,"NA")+COUNTIF(W201,"NA")+COUNTIF(AB201,"NA")+COUNTIF(AG201,"NA")+COUNTIF(AL201,"NA")+COUNTIF(AQ201,"NA")))</f>
        <v/>
      </c>
      <c r="K201" s="34" t="str">
        <f aca="false">IFERROR(I201/J201,"")</f>
        <v/>
      </c>
      <c r="L201" s="29"/>
      <c r="M201" s="35"/>
      <c r="N201" s="36"/>
      <c r="O201" s="36"/>
      <c r="P201" s="30"/>
      <c r="Q201" s="29"/>
      <c r="R201" s="35"/>
      <c r="S201" s="36"/>
      <c r="T201" s="36"/>
      <c r="U201" s="30"/>
      <c r="V201" s="29"/>
      <c r="W201" s="35"/>
      <c r="X201" s="36"/>
      <c r="Y201" s="36"/>
      <c r="Z201" s="30"/>
      <c r="AA201" s="29"/>
      <c r="AB201" s="35"/>
      <c r="AC201" s="36"/>
      <c r="AD201" s="36"/>
      <c r="AE201" s="30"/>
      <c r="AF201" s="29"/>
      <c r="AG201" s="35"/>
      <c r="AH201" s="36"/>
      <c r="AI201" s="36"/>
      <c r="AJ201" s="30"/>
      <c r="AK201" s="29"/>
      <c r="AL201" s="35"/>
      <c r="AM201" s="36"/>
      <c r="AN201" s="36"/>
      <c r="AO201" s="30"/>
      <c r="AP201" s="29"/>
      <c r="AQ201" s="35"/>
      <c r="AR201" s="36"/>
      <c r="AS201" s="36"/>
      <c r="AT201" s="30"/>
      <c r="AU201" s="29"/>
      <c r="AV201" s="29"/>
      <c r="AW201" s="29"/>
      <c r="AX201" s="37"/>
      <c r="AY201" s="39" t="str">
        <f aca="false">IF(AU201&lt;&gt;"Yes","",IF(AV201="","SELECT RE-ENTRY STAGE","MOVE TO ACTIVE at "&amp;AV201))</f>
        <v/>
      </c>
      <c r="AZ201" s="40" t="str">
        <f aca="false">IF(AU201="Yes",COUNTIF($AU$6:AU201,"Yes"),"")</f>
        <v/>
      </c>
      <c r="BA201" s="29"/>
      <c r="BB201" s="38" t="str">
        <f aca="false">IF($C201="","",IF(OR(F201="Completed",F201="Cancelled"),"",IF(AND(OR(F201="On Hold",ISNUMBER(VALUE(LEFT(H201,2)))),BA201=""),"Reason not given","")))</f>
        <v/>
      </c>
      <c r="BC201" s="30"/>
    </row>
    <row r="202" customFormat="false" ht="19.5" hidden="false" customHeight="true" outlineLevel="0" collapsed="false">
      <c r="A202" s="28" t="str">
        <f aca="false">IF($C202="","",COUNTA($C$6:$C202))</f>
        <v/>
      </c>
      <c r="B202" s="29"/>
      <c r="C202" s="30"/>
      <c r="D202" s="29"/>
      <c r="E202" s="31" t="str">
        <f aca="false">IF($C202="","",IF(NOT(OR(M202="Completed",M202="NA",M202="Cancelled")),"S1 Schematic",IF(NOT(OR(R202="Completed",R202="NA",R202="Cancelled")),"S2 PCB Layout",IF(NOT(OR(W202="Completed",W202="NA",W202="Cancelled")),"S3 SI &amp; PI",IF(NOT(OR(AB202="Completed",AB202="NA",AB202="Cancelled")),"S4 Bare-PCB Fab",IF(NOT(OR(AG202="Completed",AG202="NA",AG202="Cancelled")),"S5 Assembly",IF(NOT(OR(AL202="Completed",AL202="NA",AL202="Cancelled")),"S6 Bring-up",IF(NOT(OR(AQ202="Completed",AQ202="NA",AQ202="Cancelled")),"S7 BOM Procurement","All Stages Closed"))))))))</f>
        <v/>
      </c>
      <c r="F202" s="32" t="str">
        <f aca="false">IF($C202="","",IF(COUNTIF(M202,"Cancelled")+COUNTIF(R202,"Cancelled")+COUNTIF(W202,"Cancelled")+COUNTIF(AB202,"Cancelled")+COUNTIF(AG202,"Cancelled")+COUNTIF(AL202,"Cancelled")+COUNTIF(AQ202,"Cancelled")&gt;0,"Cancelled",IF(E202="All Stages Closed","Completed",IF(E202="S1 Schematic",M202,IF(E202="S2 PCB Layout",R202,IF(E202="S3 SI &amp; PI",W202,IF(E202="S4 Bare-PCB Fab",AB202,IF(E202="S5 Assembly",AG202,IF(E202="S6 Bring-up",AL202,AQ202)))))))))</f>
        <v/>
      </c>
      <c r="G202" s="33" t="str">
        <f aca="false">IF($C202="","",IF(E202="All Stages Closed","",IF(E202="S1 Schematic",IF(N202="","Not added",N202),IF(E202="S2 PCB Layout",IF(S202="","Not added",S202),IF(E202="S3 SI &amp; PI",IF(X202="","Not added",X202),IF(E202="S4 Bare-PCB Fab",IF(AC202="","Not added",AC202),IF(E202="S5 Assembly",IF(AH202="","Not added",AH202),IF(E202="S6 Bring-up",IF(AM202="","Not added",AM202),IF(AR202="","Not added",AR202)))))))))</f>
        <v/>
      </c>
      <c r="H202" s="32" t="str">
        <f aca="true">IF($C202="","",IF(OR(F202="Completed",F202="Cancelled"),"",IF(NOT(ISNUMBER(G202)),"No date set",IF(TODAY()&gt;G202,TODAY()-G202&amp;" days late",G202-TODAY()&amp;" days left"))))</f>
        <v/>
      </c>
      <c r="I202" s="31" t="str">
        <f aca="false">IF($C202="","",COUNTIF(M202,"Completed")+COUNTIF(R202,"Completed")+COUNTIF(W202,"Completed")+COUNTIF(AB202,"Completed")+COUNTIF(AG202,"Completed")+COUNTIF(AL202,"Completed")+COUNTIF(AQ202,"Completed"))</f>
        <v/>
      </c>
      <c r="J202" s="31" t="str">
        <f aca="false">IF($C202="","",7-(COUNTIF(M202,"NA")+COUNTIF(R202,"NA")+COUNTIF(W202,"NA")+COUNTIF(AB202,"NA")+COUNTIF(AG202,"NA")+COUNTIF(AL202,"NA")+COUNTIF(AQ202,"NA")))</f>
        <v/>
      </c>
      <c r="K202" s="34" t="str">
        <f aca="false">IFERROR(I202/J202,"")</f>
        <v/>
      </c>
      <c r="L202" s="29"/>
      <c r="M202" s="35"/>
      <c r="N202" s="36"/>
      <c r="O202" s="36"/>
      <c r="P202" s="30"/>
      <c r="Q202" s="29"/>
      <c r="R202" s="35"/>
      <c r="S202" s="36"/>
      <c r="T202" s="36"/>
      <c r="U202" s="30"/>
      <c r="V202" s="29"/>
      <c r="W202" s="35"/>
      <c r="X202" s="36"/>
      <c r="Y202" s="36"/>
      <c r="Z202" s="30"/>
      <c r="AA202" s="29"/>
      <c r="AB202" s="35"/>
      <c r="AC202" s="36"/>
      <c r="AD202" s="36"/>
      <c r="AE202" s="30"/>
      <c r="AF202" s="29"/>
      <c r="AG202" s="35"/>
      <c r="AH202" s="36"/>
      <c r="AI202" s="36"/>
      <c r="AJ202" s="30"/>
      <c r="AK202" s="29"/>
      <c r="AL202" s="35"/>
      <c r="AM202" s="36"/>
      <c r="AN202" s="36"/>
      <c r="AO202" s="30"/>
      <c r="AP202" s="29"/>
      <c r="AQ202" s="35"/>
      <c r="AR202" s="36"/>
      <c r="AS202" s="36"/>
      <c r="AT202" s="30"/>
      <c r="AU202" s="29"/>
      <c r="AV202" s="29"/>
      <c r="AW202" s="29"/>
      <c r="AX202" s="37"/>
      <c r="AY202" s="39" t="str">
        <f aca="false">IF(AU202&lt;&gt;"Yes","",IF(AV202="","SELECT RE-ENTRY STAGE","MOVE TO ACTIVE at "&amp;AV202))</f>
        <v/>
      </c>
      <c r="AZ202" s="40" t="str">
        <f aca="false">IF(AU202="Yes",COUNTIF($AU$6:AU202,"Yes"),"")</f>
        <v/>
      </c>
      <c r="BA202" s="29"/>
      <c r="BB202" s="38" t="str">
        <f aca="false">IF($C202="","",IF(OR(F202="Completed",F202="Cancelled"),"",IF(AND(OR(F202="On Hold",ISNUMBER(VALUE(LEFT(H202,2)))),BA202=""),"Reason not given","")))</f>
        <v/>
      </c>
      <c r="BC202" s="30"/>
    </row>
    <row r="203" customFormat="false" ht="19.5" hidden="false" customHeight="true" outlineLevel="0" collapsed="false">
      <c r="A203" s="28" t="str">
        <f aca="false">IF($C203="","",COUNTA($C$6:$C203))</f>
        <v/>
      </c>
      <c r="B203" s="29"/>
      <c r="C203" s="30"/>
      <c r="D203" s="29"/>
      <c r="E203" s="31" t="str">
        <f aca="false">IF($C203="","",IF(NOT(OR(M203="Completed",M203="NA",M203="Cancelled")),"S1 Schematic",IF(NOT(OR(R203="Completed",R203="NA",R203="Cancelled")),"S2 PCB Layout",IF(NOT(OR(W203="Completed",W203="NA",W203="Cancelled")),"S3 SI &amp; PI",IF(NOT(OR(AB203="Completed",AB203="NA",AB203="Cancelled")),"S4 Bare-PCB Fab",IF(NOT(OR(AG203="Completed",AG203="NA",AG203="Cancelled")),"S5 Assembly",IF(NOT(OR(AL203="Completed",AL203="NA",AL203="Cancelled")),"S6 Bring-up",IF(NOT(OR(AQ203="Completed",AQ203="NA",AQ203="Cancelled")),"S7 BOM Procurement","All Stages Closed"))))))))</f>
        <v/>
      </c>
      <c r="F203" s="32" t="str">
        <f aca="false">IF($C203="","",IF(COUNTIF(M203,"Cancelled")+COUNTIF(R203,"Cancelled")+COUNTIF(W203,"Cancelled")+COUNTIF(AB203,"Cancelled")+COUNTIF(AG203,"Cancelled")+COUNTIF(AL203,"Cancelled")+COUNTIF(AQ203,"Cancelled")&gt;0,"Cancelled",IF(E203="All Stages Closed","Completed",IF(E203="S1 Schematic",M203,IF(E203="S2 PCB Layout",R203,IF(E203="S3 SI &amp; PI",W203,IF(E203="S4 Bare-PCB Fab",AB203,IF(E203="S5 Assembly",AG203,IF(E203="S6 Bring-up",AL203,AQ203)))))))))</f>
        <v/>
      </c>
      <c r="G203" s="33" t="str">
        <f aca="false">IF($C203="","",IF(E203="All Stages Closed","",IF(E203="S1 Schematic",IF(N203="","Not added",N203),IF(E203="S2 PCB Layout",IF(S203="","Not added",S203),IF(E203="S3 SI &amp; PI",IF(X203="","Not added",X203),IF(E203="S4 Bare-PCB Fab",IF(AC203="","Not added",AC203),IF(E203="S5 Assembly",IF(AH203="","Not added",AH203),IF(E203="S6 Bring-up",IF(AM203="","Not added",AM203),IF(AR203="","Not added",AR203)))))))))</f>
        <v/>
      </c>
      <c r="H203" s="32" t="str">
        <f aca="true">IF($C203="","",IF(OR(F203="Completed",F203="Cancelled"),"",IF(NOT(ISNUMBER(G203)),"No date set",IF(TODAY()&gt;G203,TODAY()-G203&amp;" days late",G203-TODAY()&amp;" days left"))))</f>
        <v/>
      </c>
      <c r="I203" s="31" t="str">
        <f aca="false">IF($C203="","",COUNTIF(M203,"Completed")+COUNTIF(R203,"Completed")+COUNTIF(W203,"Completed")+COUNTIF(AB203,"Completed")+COUNTIF(AG203,"Completed")+COUNTIF(AL203,"Completed")+COUNTIF(AQ203,"Completed"))</f>
        <v/>
      </c>
      <c r="J203" s="31" t="str">
        <f aca="false">IF($C203="","",7-(COUNTIF(M203,"NA")+COUNTIF(R203,"NA")+COUNTIF(W203,"NA")+COUNTIF(AB203,"NA")+COUNTIF(AG203,"NA")+COUNTIF(AL203,"NA")+COUNTIF(AQ203,"NA")))</f>
        <v/>
      </c>
      <c r="K203" s="34" t="str">
        <f aca="false">IFERROR(I203/J203,"")</f>
        <v/>
      </c>
      <c r="L203" s="29"/>
      <c r="M203" s="35"/>
      <c r="N203" s="36"/>
      <c r="O203" s="36"/>
      <c r="P203" s="30"/>
      <c r="Q203" s="29"/>
      <c r="R203" s="35"/>
      <c r="S203" s="36"/>
      <c r="T203" s="36"/>
      <c r="U203" s="30"/>
      <c r="V203" s="29"/>
      <c r="W203" s="35"/>
      <c r="X203" s="36"/>
      <c r="Y203" s="36"/>
      <c r="Z203" s="30"/>
      <c r="AA203" s="29"/>
      <c r="AB203" s="35"/>
      <c r="AC203" s="36"/>
      <c r="AD203" s="36"/>
      <c r="AE203" s="30"/>
      <c r="AF203" s="29"/>
      <c r="AG203" s="35"/>
      <c r="AH203" s="36"/>
      <c r="AI203" s="36"/>
      <c r="AJ203" s="30"/>
      <c r="AK203" s="29"/>
      <c r="AL203" s="35"/>
      <c r="AM203" s="36"/>
      <c r="AN203" s="36"/>
      <c r="AO203" s="30"/>
      <c r="AP203" s="29"/>
      <c r="AQ203" s="35"/>
      <c r="AR203" s="36"/>
      <c r="AS203" s="36"/>
      <c r="AT203" s="30"/>
      <c r="AU203" s="29"/>
      <c r="AV203" s="29"/>
      <c r="AW203" s="29"/>
      <c r="AX203" s="37"/>
      <c r="AY203" s="39" t="str">
        <f aca="false">IF(AU203&lt;&gt;"Yes","",IF(AV203="","SELECT RE-ENTRY STAGE","MOVE TO ACTIVE at "&amp;AV203))</f>
        <v/>
      </c>
      <c r="AZ203" s="40" t="str">
        <f aca="false">IF(AU203="Yes",COUNTIF($AU$6:AU203,"Yes"),"")</f>
        <v/>
      </c>
      <c r="BA203" s="29"/>
      <c r="BB203" s="38" t="str">
        <f aca="false">IF($C203="","",IF(OR(F203="Completed",F203="Cancelled"),"",IF(AND(OR(F203="On Hold",ISNUMBER(VALUE(LEFT(H203,2)))),BA203=""),"Reason not given","")))</f>
        <v/>
      </c>
      <c r="BC203" s="30"/>
    </row>
    <row r="204" customFormat="false" ht="19.5" hidden="false" customHeight="true" outlineLevel="0" collapsed="false">
      <c r="A204" s="28" t="str">
        <f aca="false">IF($C204="","",COUNTA($C$6:$C204))</f>
        <v/>
      </c>
      <c r="B204" s="29"/>
      <c r="C204" s="30"/>
      <c r="D204" s="29"/>
      <c r="E204" s="31" t="str">
        <f aca="false">IF($C204="","",IF(NOT(OR(M204="Completed",M204="NA",M204="Cancelled")),"S1 Schematic",IF(NOT(OR(R204="Completed",R204="NA",R204="Cancelled")),"S2 PCB Layout",IF(NOT(OR(W204="Completed",W204="NA",W204="Cancelled")),"S3 SI &amp; PI",IF(NOT(OR(AB204="Completed",AB204="NA",AB204="Cancelled")),"S4 Bare-PCB Fab",IF(NOT(OR(AG204="Completed",AG204="NA",AG204="Cancelled")),"S5 Assembly",IF(NOT(OR(AL204="Completed",AL204="NA",AL204="Cancelled")),"S6 Bring-up",IF(NOT(OR(AQ204="Completed",AQ204="NA",AQ204="Cancelled")),"S7 BOM Procurement","All Stages Closed"))))))))</f>
        <v/>
      </c>
      <c r="F204" s="32" t="str">
        <f aca="false">IF($C204="","",IF(COUNTIF(M204,"Cancelled")+COUNTIF(R204,"Cancelled")+COUNTIF(W204,"Cancelled")+COUNTIF(AB204,"Cancelled")+COUNTIF(AG204,"Cancelled")+COUNTIF(AL204,"Cancelled")+COUNTIF(AQ204,"Cancelled")&gt;0,"Cancelled",IF(E204="All Stages Closed","Completed",IF(E204="S1 Schematic",M204,IF(E204="S2 PCB Layout",R204,IF(E204="S3 SI &amp; PI",W204,IF(E204="S4 Bare-PCB Fab",AB204,IF(E204="S5 Assembly",AG204,IF(E204="S6 Bring-up",AL204,AQ204)))))))))</f>
        <v/>
      </c>
      <c r="G204" s="33" t="str">
        <f aca="false">IF($C204="","",IF(E204="All Stages Closed","",IF(E204="S1 Schematic",IF(N204="","Not added",N204),IF(E204="S2 PCB Layout",IF(S204="","Not added",S204),IF(E204="S3 SI &amp; PI",IF(X204="","Not added",X204),IF(E204="S4 Bare-PCB Fab",IF(AC204="","Not added",AC204),IF(E204="S5 Assembly",IF(AH204="","Not added",AH204),IF(E204="S6 Bring-up",IF(AM204="","Not added",AM204),IF(AR204="","Not added",AR204)))))))))</f>
        <v/>
      </c>
      <c r="H204" s="32" t="str">
        <f aca="true">IF($C204="","",IF(OR(F204="Completed",F204="Cancelled"),"",IF(NOT(ISNUMBER(G204)),"No date set",IF(TODAY()&gt;G204,TODAY()-G204&amp;" days late",G204-TODAY()&amp;" days left"))))</f>
        <v/>
      </c>
      <c r="I204" s="31" t="str">
        <f aca="false">IF($C204="","",COUNTIF(M204,"Completed")+COUNTIF(R204,"Completed")+COUNTIF(W204,"Completed")+COUNTIF(AB204,"Completed")+COUNTIF(AG204,"Completed")+COUNTIF(AL204,"Completed")+COUNTIF(AQ204,"Completed"))</f>
        <v/>
      </c>
      <c r="J204" s="31" t="str">
        <f aca="false">IF($C204="","",7-(COUNTIF(M204,"NA")+COUNTIF(R204,"NA")+COUNTIF(W204,"NA")+COUNTIF(AB204,"NA")+COUNTIF(AG204,"NA")+COUNTIF(AL204,"NA")+COUNTIF(AQ204,"NA")))</f>
        <v/>
      </c>
      <c r="K204" s="34" t="str">
        <f aca="false">IFERROR(I204/J204,"")</f>
        <v/>
      </c>
      <c r="L204" s="29"/>
      <c r="M204" s="35"/>
      <c r="N204" s="36"/>
      <c r="O204" s="36"/>
      <c r="P204" s="30"/>
      <c r="Q204" s="29"/>
      <c r="R204" s="35"/>
      <c r="S204" s="36"/>
      <c r="T204" s="36"/>
      <c r="U204" s="30"/>
      <c r="V204" s="29"/>
      <c r="W204" s="35"/>
      <c r="X204" s="36"/>
      <c r="Y204" s="36"/>
      <c r="Z204" s="30"/>
      <c r="AA204" s="29"/>
      <c r="AB204" s="35"/>
      <c r="AC204" s="36"/>
      <c r="AD204" s="36"/>
      <c r="AE204" s="30"/>
      <c r="AF204" s="29"/>
      <c r="AG204" s="35"/>
      <c r="AH204" s="36"/>
      <c r="AI204" s="36"/>
      <c r="AJ204" s="30"/>
      <c r="AK204" s="29"/>
      <c r="AL204" s="35"/>
      <c r="AM204" s="36"/>
      <c r="AN204" s="36"/>
      <c r="AO204" s="30"/>
      <c r="AP204" s="29"/>
      <c r="AQ204" s="35"/>
      <c r="AR204" s="36"/>
      <c r="AS204" s="36"/>
      <c r="AT204" s="30"/>
      <c r="AU204" s="29"/>
      <c r="AV204" s="29"/>
      <c r="AW204" s="29"/>
      <c r="AX204" s="37"/>
      <c r="AY204" s="39" t="str">
        <f aca="false">IF(AU204&lt;&gt;"Yes","",IF(AV204="","SELECT RE-ENTRY STAGE","MOVE TO ACTIVE at "&amp;AV204))</f>
        <v/>
      </c>
      <c r="AZ204" s="40" t="str">
        <f aca="false">IF(AU204="Yes",COUNTIF($AU$6:AU204,"Yes"),"")</f>
        <v/>
      </c>
      <c r="BA204" s="29"/>
      <c r="BB204" s="38" t="str">
        <f aca="false">IF($C204="","",IF(OR(F204="Completed",F204="Cancelled"),"",IF(AND(OR(F204="On Hold",ISNUMBER(VALUE(LEFT(H204,2)))),BA204=""),"Reason not given","")))</f>
        <v/>
      </c>
      <c r="BC204" s="30"/>
    </row>
    <row r="205" customFormat="false" ht="19.5" hidden="false" customHeight="true" outlineLevel="0" collapsed="false">
      <c r="A205" s="28" t="str">
        <f aca="false">IF($C205="","",COUNTA($C$6:$C205))</f>
        <v/>
      </c>
      <c r="B205" s="29"/>
      <c r="C205" s="30"/>
      <c r="D205" s="29"/>
      <c r="E205" s="31" t="str">
        <f aca="false">IF($C205="","",IF(NOT(OR(M205="Completed",M205="NA",M205="Cancelled")),"S1 Schematic",IF(NOT(OR(R205="Completed",R205="NA",R205="Cancelled")),"S2 PCB Layout",IF(NOT(OR(W205="Completed",W205="NA",W205="Cancelled")),"S3 SI &amp; PI",IF(NOT(OR(AB205="Completed",AB205="NA",AB205="Cancelled")),"S4 Bare-PCB Fab",IF(NOT(OR(AG205="Completed",AG205="NA",AG205="Cancelled")),"S5 Assembly",IF(NOT(OR(AL205="Completed",AL205="NA",AL205="Cancelled")),"S6 Bring-up",IF(NOT(OR(AQ205="Completed",AQ205="NA",AQ205="Cancelled")),"S7 BOM Procurement","All Stages Closed"))))))))</f>
        <v/>
      </c>
      <c r="F205" s="32" t="str">
        <f aca="false">IF($C205="","",IF(COUNTIF(M205,"Cancelled")+COUNTIF(R205,"Cancelled")+COUNTIF(W205,"Cancelled")+COUNTIF(AB205,"Cancelled")+COUNTIF(AG205,"Cancelled")+COUNTIF(AL205,"Cancelled")+COUNTIF(AQ205,"Cancelled")&gt;0,"Cancelled",IF(E205="All Stages Closed","Completed",IF(E205="S1 Schematic",M205,IF(E205="S2 PCB Layout",R205,IF(E205="S3 SI &amp; PI",W205,IF(E205="S4 Bare-PCB Fab",AB205,IF(E205="S5 Assembly",AG205,IF(E205="S6 Bring-up",AL205,AQ205)))))))))</f>
        <v/>
      </c>
      <c r="G205" s="33" t="str">
        <f aca="false">IF($C205="","",IF(E205="All Stages Closed","",IF(E205="S1 Schematic",IF(N205="","Not added",N205),IF(E205="S2 PCB Layout",IF(S205="","Not added",S205),IF(E205="S3 SI &amp; PI",IF(X205="","Not added",X205),IF(E205="S4 Bare-PCB Fab",IF(AC205="","Not added",AC205),IF(E205="S5 Assembly",IF(AH205="","Not added",AH205),IF(E205="S6 Bring-up",IF(AM205="","Not added",AM205),IF(AR205="","Not added",AR205)))))))))</f>
        <v/>
      </c>
      <c r="H205" s="32" t="str">
        <f aca="true">IF($C205="","",IF(OR(F205="Completed",F205="Cancelled"),"",IF(NOT(ISNUMBER(G205)),"No date set",IF(TODAY()&gt;G205,TODAY()-G205&amp;" days late",G205-TODAY()&amp;" days left"))))</f>
        <v/>
      </c>
      <c r="I205" s="31" t="str">
        <f aca="false">IF($C205="","",COUNTIF(M205,"Completed")+COUNTIF(R205,"Completed")+COUNTIF(W205,"Completed")+COUNTIF(AB205,"Completed")+COUNTIF(AG205,"Completed")+COUNTIF(AL205,"Completed")+COUNTIF(AQ205,"Completed"))</f>
        <v/>
      </c>
      <c r="J205" s="31" t="str">
        <f aca="false">IF($C205="","",7-(COUNTIF(M205,"NA")+COUNTIF(R205,"NA")+COUNTIF(W205,"NA")+COUNTIF(AB205,"NA")+COUNTIF(AG205,"NA")+COUNTIF(AL205,"NA")+COUNTIF(AQ205,"NA")))</f>
        <v/>
      </c>
      <c r="K205" s="34" t="str">
        <f aca="false">IFERROR(I205/J205,"")</f>
        <v/>
      </c>
      <c r="L205" s="29"/>
      <c r="M205" s="35"/>
      <c r="N205" s="36"/>
      <c r="O205" s="36"/>
      <c r="P205" s="30"/>
      <c r="Q205" s="29"/>
      <c r="R205" s="35"/>
      <c r="S205" s="36"/>
      <c r="T205" s="36"/>
      <c r="U205" s="30"/>
      <c r="V205" s="29"/>
      <c r="W205" s="35"/>
      <c r="X205" s="36"/>
      <c r="Y205" s="36"/>
      <c r="Z205" s="30"/>
      <c r="AA205" s="29"/>
      <c r="AB205" s="35"/>
      <c r="AC205" s="36"/>
      <c r="AD205" s="36"/>
      <c r="AE205" s="30"/>
      <c r="AF205" s="29"/>
      <c r="AG205" s="35"/>
      <c r="AH205" s="36"/>
      <c r="AI205" s="36"/>
      <c r="AJ205" s="30"/>
      <c r="AK205" s="29"/>
      <c r="AL205" s="35"/>
      <c r="AM205" s="36"/>
      <c r="AN205" s="36"/>
      <c r="AO205" s="30"/>
      <c r="AP205" s="29"/>
      <c r="AQ205" s="35"/>
      <c r="AR205" s="36"/>
      <c r="AS205" s="36"/>
      <c r="AT205" s="30"/>
      <c r="AU205" s="29"/>
      <c r="AV205" s="29"/>
      <c r="AW205" s="29"/>
      <c r="AX205" s="37"/>
      <c r="AY205" s="39" t="str">
        <f aca="false">IF(AU205&lt;&gt;"Yes","",IF(AV205="","SELECT RE-ENTRY STAGE","MOVE TO ACTIVE at "&amp;AV205))</f>
        <v/>
      </c>
      <c r="AZ205" s="40" t="str">
        <f aca="false">IF(AU205="Yes",COUNTIF($AU$6:AU205,"Yes"),"")</f>
        <v/>
      </c>
      <c r="BA205" s="29"/>
      <c r="BB205" s="38" t="str">
        <f aca="false">IF($C205="","",IF(OR(F205="Completed",F205="Cancelled"),"",IF(AND(OR(F205="On Hold",ISNUMBER(VALUE(LEFT(H205,2)))),BA205=""),"Reason not given","")))</f>
        <v/>
      </c>
      <c r="BC205" s="30"/>
    </row>
    <row r="206" customFormat="false" ht="19.5" hidden="false" customHeight="true" outlineLevel="0" collapsed="false">
      <c r="A206" s="28" t="str">
        <f aca="false">IF($C206="","",COUNTA($C$6:$C206))</f>
        <v/>
      </c>
      <c r="B206" s="29"/>
      <c r="C206" s="30"/>
      <c r="D206" s="29"/>
      <c r="E206" s="31" t="str">
        <f aca="false">IF($C206="","",IF(NOT(OR(M206="Completed",M206="NA",M206="Cancelled")),"S1 Schematic",IF(NOT(OR(R206="Completed",R206="NA",R206="Cancelled")),"S2 PCB Layout",IF(NOT(OR(W206="Completed",W206="NA",W206="Cancelled")),"S3 SI &amp; PI",IF(NOT(OR(AB206="Completed",AB206="NA",AB206="Cancelled")),"S4 Bare-PCB Fab",IF(NOT(OR(AG206="Completed",AG206="NA",AG206="Cancelled")),"S5 Assembly",IF(NOT(OR(AL206="Completed",AL206="NA",AL206="Cancelled")),"S6 Bring-up",IF(NOT(OR(AQ206="Completed",AQ206="NA",AQ206="Cancelled")),"S7 BOM Procurement","All Stages Closed"))))))))</f>
        <v/>
      </c>
      <c r="F206" s="32" t="str">
        <f aca="false">IF($C206="","",IF(COUNTIF(M206,"Cancelled")+COUNTIF(R206,"Cancelled")+COUNTIF(W206,"Cancelled")+COUNTIF(AB206,"Cancelled")+COUNTIF(AG206,"Cancelled")+COUNTIF(AL206,"Cancelled")+COUNTIF(AQ206,"Cancelled")&gt;0,"Cancelled",IF(E206="All Stages Closed","Completed",IF(E206="S1 Schematic",M206,IF(E206="S2 PCB Layout",R206,IF(E206="S3 SI &amp; PI",W206,IF(E206="S4 Bare-PCB Fab",AB206,IF(E206="S5 Assembly",AG206,IF(E206="S6 Bring-up",AL206,AQ206)))))))))</f>
        <v/>
      </c>
      <c r="G206" s="33" t="str">
        <f aca="false">IF($C206="","",IF(E206="All Stages Closed","",IF(E206="S1 Schematic",IF(N206="","Not added",N206),IF(E206="S2 PCB Layout",IF(S206="","Not added",S206),IF(E206="S3 SI &amp; PI",IF(X206="","Not added",X206),IF(E206="S4 Bare-PCB Fab",IF(AC206="","Not added",AC206),IF(E206="S5 Assembly",IF(AH206="","Not added",AH206),IF(E206="S6 Bring-up",IF(AM206="","Not added",AM206),IF(AR206="","Not added",AR206)))))))))</f>
        <v/>
      </c>
      <c r="H206" s="32" t="str">
        <f aca="true">IF($C206="","",IF(OR(F206="Completed",F206="Cancelled"),"",IF(NOT(ISNUMBER(G206)),"No date set",IF(TODAY()&gt;G206,TODAY()-G206&amp;" days late",G206-TODAY()&amp;" days left"))))</f>
        <v/>
      </c>
      <c r="I206" s="31" t="str">
        <f aca="false">IF($C206="","",COUNTIF(M206,"Completed")+COUNTIF(R206,"Completed")+COUNTIF(W206,"Completed")+COUNTIF(AB206,"Completed")+COUNTIF(AG206,"Completed")+COUNTIF(AL206,"Completed")+COUNTIF(AQ206,"Completed"))</f>
        <v/>
      </c>
      <c r="J206" s="31" t="str">
        <f aca="false">IF($C206="","",7-(COUNTIF(M206,"NA")+COUNTIF(R206,"NA")+COUNTIF(W206,"NA")+COUNTIF(AB206,"NA")+COUNTIF(AG206,"NA")+COUNTIF(AL206,"NA")+COUNTIF(AQ206,"NA")))</f>
        <v/>
      </c>
      <c r="K206" s="34" t="str">
        <f aca="false">IFERROR(I206/J206,"")</f>
        <v/>
      </c>
      <c r="L206" s="29"/>
      <c r="M206" s="35"/>
      <c r="N206" s="36"/>
      <c r="O206" s="36"/>
      <c r="P206" s="30"/>
      <c r="Q206" s="29"/>
      <c r="R206" s="35"/>
      <c r="S206" s="36"/>
      <c r="T206" s="36"/>
      <c r="U206" s="30"/>
      <c r="V206" s="29"/>
      <c r="W206" s="35"/>
      <c r="X206" s="36"/>
      <c r="Y206" s="36"/>
      <c r="Z206" s="30"/>
      <c r="AA206" s="29"/>
      <c r="AB206" s="35"/>
      <c r="AC206" s="36"/>
      <c r="AD206" s="36"/>
      <c r="AE206" s="30"/>
      <c r="AF206" s="29"/>
      <c r="AG206" s="35"/>
      <c r="AH206" s="36"/>
      <c r="AI206" s="36"/>
      <c r="AJ206" s="30"/>
      <c r="AK206" s="29"/>
      <c r="AL206" s="35"/>
      <c r="AM206" s="36"/>
      <c r="AN206" s="36"/>
      <c r="AO206" s="30"/>
      <c r="AP206" s="29"/>
      <c r="AQ206" s="35"/>
      <c r="AR206" s="36"/>
      <c r="AS206" s="36"/>
      <c r="AT206" s="30"/>
      <c r="AU206" s="29"/>
      <c r="AV206" s="29"/>
      <c r="AW206" s="29"/>
      <c r="AX206" s="37"/>
      <c r="AY206" s="39" t="str">
        <f aca="false">IF(AU206&lt;&gt;"Yes","",IF(AV206="","SELECT RE-ENTRY STAGE","MOVE TO ACTIVE at "&amp;AV206))</f>
        <v/>
      </c>
      <c r="AZ206" s="40" t="str">
        <f aca="false">IF(AU206="Yes",COUNTIF($AU$6:AU206,"Yes"),"")</f>
        <v/>
      </c>
      <c r="BA206" s="29"/>
      <c r="BB206" s="38" t="str">
        <f aca="false">IF($C206="","",IF(OR(F206="Completed",F206="Cancelled"),"",IF(AND(OR(F206="On Hold",ISNUMBER(VALUE(LEFT(H206,2)))),BA206=""),"Reason not given","")))</f>
        <v/>
      </c>
      <c r="BC206" s="30"/>
    </row>
    <row r="207" customFormat="false" ht="19.5" hidden="false" customHeight="true" outlineLevel="0" collapsed="false">
      <c r="A207" s="28" t="str">
        <f aca="false">IF($C207="","",COUNTA($C$6:$C207))</f>
        <v/>
      </c>
      <c r="B207" s="29"/>
      <c r="C207" s="30"/>
      <c r="D207" s="29"/>
      <c r="E207" s="31" t="str">
        <f aca="false">IF($C207="","",IF(NOT(OR(M207="Completed",M207="NA",M207="Cancelled")),"S1 Schematic",IF(NOT(OR(R207="Completed",R207="NA",R207="Cancelled")),"S2 PCB Layout",IF(NOT(OR(W207="Completed",W207="NA",W207="Cancelled")),"S3 SI &amp; PI",IF(NOT(OR(AB207="Completed",AB207="NA",AB207="Cancelled")),"S4 Bare-PCB Fab",IF(NOT(OR(AG207="Completed",AG207="NA",AG207="Cancelled")),"S5 Assembly",IF(NOT(OR(AL207="Completed",AL207="NA",AL207="Cancelled")),"S6 Bring-up",IF(NOT(OR(AQ207="Completed",AQ207="NA",AQ207="Cancelled")),"S7 BOM Procurement","All Stages Closed"))))))))</f>
        <v/>
      </c>
      <c r="F207" s="32" t="str">
        <f aca="false">IF($C207="","",IF(COUNTIF(M207,"Cancelled")+COUNTIF(R207,"Cancelled")+COUNTIF(W207,"Cancelled")+COUNTIF(AB207,"Cancelled")+COUNTIF(AG207,"Cancelled")+COUNTIF(AL207,"Cancelled")+COUNTIF(AQ207,"Cancelled")&gt;0,"Cancelled",IF(E207="All Stages Closed","Completed",IF(E207="S1 Schematic",M207,IF(E207="S2 PCB Layout",R207,IF(E207="S3 SI &amp; PI",W207,IF(E207="S4 Bare-PCB Fab",AB207,IF(E207="S5 Assembly",AG207,IF(E207="S6 Bring-up",AL207,AQ207)))))))))</f>
        <v/>
      </c>
      <c r="G207" s="33" t="str">
        <f aca="false">IF($C207="","",IF(E207="All Stages Closed","",IF(E207="S1 Schematic",IF(N207="","Not added",N207),IF(E207="S2 PCB Layout",IF(S207="","Not added",S207),IF(E207="S3 SI &amp; PI",IF(X207="","Not added",X207),IF(E207="S4 Bare-PCB Fab",IF(AC207="","Not added",AC207),IF(E207="S5 Assembly",IF(AH207="","Not added",AH207),IF(E207="S6 Bring-up",IF(AM207="","Not added",AM207),IF(AR207="","Not added",AR207)))))))))</f>
        <v/>
      </c>
      <c r="H207" s="32" t="str">
        <f aca="true">IF($C207="","",IF(OR(F207="Completed",F207="Cancelled"),"",IF(NOT(ISNUMBER(G207)),"No date set",IF(TODAY()&gt;G207,TODAY()-G207&amp;" days late",G207-TODAY()&amp;" days left"))))</f>
        <v/>
      </c>
      <c r="I207" s="31" t="str">
        <f aca="false">IF($C207="","",COUNTIF(M207,"Completed")+COUNTIF(R207,"Completed")+COUNTIF(W207,"Completed")+COUNTIF(AB207,"Completed")+COUNTIF(AG207,"Completed")+COUNTIF(AL207,"Completed")+COUNTIF(AQ207,"Completed"))</f>
        <v/>
      </c>
      <c r="J207" s="31" t="str">
        <f aca="false">IF($C207="","",7-(COUNTIF(M207,"NA")+COUNTIF(R207,"NA")+COUNTIF(W207,"NA")+COUNTIF(AB207,"NA")+COUNTIF(AG207,"NA")+COUNTIF(AL207,"NA")+COUNTIF(AQ207,"NA")))</f>
        <v/>
      </c>
      <c r="K207" s="34" t="str">
        <f aca="false">IFERROR(I207/J207,"")</f>
        <v/>
      </c>
      <c r="L207" s="29"/>
      <c r="M207" s="35"/>
      <c r="N207" s="36"/>
      <c r="O207" s="36"/>
      <c r="P207" s="30"/>
      <c r="Q207" s="29"/>
      <c r="R207" s="35"/>
      <c r="S207" s="36"/>
      <c r="T207" s="36"/>
      <c r="U207" s="30"/>
      <c r="V207" s="29"/>
      <c r="W207" s="35"/>
      <c r="X207" s="36"/>
      <c r="Y207" s="36"/>
      <c r="Z207" s="30"/>
      <c r="AA207" s="29"/>
      <c r="AB207" s="35"/>
      <c r="AC207" s="36"/>
      <c r="AD207" s="36"/>
      <c r="AE207" s="30"/>
      <c r="AF207" s="29"/>
      <c r="AG207" s="35"/>
      <c r="AH207" s="36"/>
      <c r="AI207" s="36"/>
      <c r="AJ207" s="30"/>
      <c r="AK207" s="29"/>
      <c r="AL207" s="35"/>
      <c r="AM207" s="36"/>
      <c r="AN207" s="36"/>
      <c r="AO207" s="30"/>
      <c r="AP207" s="29"/>
      <c r="AQ207" s="35"/>
      <c r="AR207" s="36"/>
      <c r="AS207" s="36"/>
      <c r="AT207" s="30"/>
      <c r="AU207" s="29"/>
      <c r="AV207" s="29"/>
      <c r="AW207" s="29"/>
      <c r="AX207" s="37"/>
      <c r="AY207" s="39" t="str">
        <f aca="false">IF(AU207&lt;&gt;"Yes","",IF(AV207="","SELECT RE-ENTRY STAGE","MOVE TO ACTIVE at "&amp;AV207))</f>
        <v/>
      </c>
      <c r="AZ207" s="40" t="str">
        <f aca="false">IF(AU207="Yes",COUNTIF($AU$6:AU207,"Yes"),"")</f>
        <v/>
      </c>
      <c r="BA207" s="29"/>
      <c r="BB207" s="38" t="str">
        <f aca="false">IF($C207="","",IF(OR(F207="Completed",F207="Cancelled"),"",IF(AND(OR(F207="On Hold",ISNUMBER(VALUE(LEFT(H207,2)))),BA207=""),"Reason not given","")))</f>
        <v/>
      </c>
      <c r="BC207" s="30"/>
    </row>
    <row r="208" customFormat="false" ht="19.5" hidden="false" customHeight="true" outlineLevel="0" collapsed="false">
      <c r="A208" s="28" t="str">
        <f aca="false">IF($C208="","",COUNTA($C$6:$C208))</f>
        <v/>
      </c>
      <c r="B208" s="29"/>
      <c r="C208" s="30"/>
      <c r="D208" s="29"/>
      <c r="E208" s="31" t="str">
        <f aca="false">IF($C208="","",IF(NOT(OR(M208="Completed",M208="NA",M208="Cancelled")),"S1 Schematic",IF(NOT(OR(R208="Completed",R208="NA",R208="Cancelled")),"S2 PCB Layout",IF(NOT(OR(W208="Completed",W208="NA",W208="Cancelled")),"S3 SI &amp; PI",IF(NOT(OR(AB208="Completed",AB208="NA",AB208="Cancelled")),"S4 Bare-PCB Fab",IF(NOT(OR(AG208="Completed",AG208="NA",AG208="Cancelled")),"S5 Assembly",IF(NOT(OR(AL208="Completed",AL208="NA",AL208="Cancelled")),"S6 Bring-up",IF(NOT(OR(AQ208="Completed",AQ208="NA",AQ208="Cancelled")),"S7 BOM Procurement","All Stages Closed"))))))))</f>
        <v/>
      </c>
      <c r="F208" s="32" t="str">
        <f aca="false">IF($C208="","",IF(COUNTIF(M208,"Cancelled")+COUNTIF(R208,"Cancelled")+COUNTIF(W208,"Cancelled")+COUNTIF(AB208,"Cancelled")+COUNTIF(AG208,"Cancelled")+COUNTIF(AL208,"Cancelled")+COUNTIF(AQ208,"Cancelled")&gt;0,"Cancelled",IF(E208="All Stages Closed","Completed",IF(E208="S1 Schematic",M208,IF(E208="S2 PCB Layout",R208,IF(E208="S3 SI &amp; PI",W208,IF(E208="S4 Bare-PCB Fab",AB208,IF(E208="S5 Assembly",AG208,IF(E208="S6 Bring-up",AL208,AQ208)))))))))</f>
        <v/>
      </c>
      <c r="G208" s="33" t="str">
        <f aca="false">IF($C208="","",IF(E208="All Stages Closed","",IF(E208="S1 Schematic",IF(N208="","Not added",N208),IF(E208="S2 PCB Layout",IF(S208="","Not added",S208),IF(E208="S3 SI &amp; PI",IF(X208="","Not added",X208),IF(E208="S4 Bare-PCB Fab",IF(AC208="","Not added",AC208),IF(E208="S5 Assembly",IF(AH208="","Not added",AH208),IF(E208="S6 Bring-up",IF(AM208="","Not added",AM208),IF(AR208="","Not added",AR208)))))))))</f>
        <v/>
      </c>
      <c r="H208" s="32" t="str">
        <f aca="true">IF($C208="","",IF(OR(F208="Completed",F208="Cancelled"),"",IF(NOT(ISNUMBER(G208)),"No date set",IF(TODAY()&gt;G208,TODAY()-G208&amp;" days late",G208-TODAY()&amp;" days left"))))</f>
        <v/>
      </c>
      <c r="I208" s="31" t="str">
        <f aca="false">IF($C208="","",COUNTIF(M208,"Completed")+COUNTIF(R208,"Completed")+COUNTIF(W208,"Completed")+COUNTIF(AB208,"Completed")+COUNTIF(AG208,"Completed")+COUNTIF(AL208,"Completed")+COUNTIF(AQ208,"Completed"))</f>
        <v/>
      </c>
      <c r="J208" s="31" t="str">
        <f aca="false">IF($C208="","",7-(COUNTIF(M208,"NA")+COUNTIF(R208,"NA")+COUNTIF(W208,"NA")+COUNTIF(AB208,"NA")+COUNTIF(AG208,"NA")+COUNTIF(AL208,"NA")+COUNTIF(AQ208,"NA")))</f>
        <v/>
      </c>
      <c r="K208" s="34" t="str">
        <f aca="false">IFERROR(I208/J208,"")</f>
        <v/>
      </c>
      <c r="L208" s="29"/>
      <c r="M208" s="35"/>
      <c r="N208" s="36"/>
      <c r="O208" s="36"/>
      <c r="P208" s="30"/>
      <c r="Q208" s="29"/>
      <c r="R208" s="35"/>
      <c r="S208" s="36"/>
      <c r="T208" s="36"/>
      <c r="U208" s="30"/>
      <c r="V208" s="29"/>
      <c r="W208" s="35"/>
      <c r="X208" s="36"/>
      <c r="Y208" s="36"/>
      <c r="Z208" s="30"/>
      <c r="AA208" s="29"/>
      <c r="AB208" s="35"/>
      <c r="AC208" s="36"/>
      <c r="AD208" s="36"/>
      <c r="AE208" s="30"/>
      <c r="AF208" s="29"/>
      <c r="AG208" s="35"/>
      <c r="AH208" s="36"/>
      <c r="AI208" s="36"/>
      <c r="AJ208" s="30"/>
      <c r="AK208" s="29"/>
      <c r="AL208" s="35"/>
      <c r="AM208" s="36"/>
      <c r="AN208" s="36"/>
      <c r="AO208" s="30"/>
      <c r="AP208" s="29"/>
      <c r="AQ208" s="35"/>
      <c r="AR208" s="36"/>
      <c r="AS208" s="36"/>
      <c r="AT208" s="30"/>
      <c r="AU208" s="29"/>
      <c r="AV208" s="29"/>
      <c r="AW208" s="29"/>
      <c r="AX208" s="37"/>
      <c r="AY208" s="39" t="str">
        <f aca="false">IF(AU208&lt;&gt;"Yes","",IF(AV208="","SELECT RE-ENTRY STAGE","MOVE TO ACTIVE at "&amp;AV208))</f>
        <v/>
      </c>
      <c r="AZ208" s="40" t="str">
        <f aca="false">IF(AU208="Yes",COUNTIF($AU$6:AU208,"Yes"),"")</f>
        <v/>
      </c>
      <c r="BA208" s="29"/>
      <c r="BB208" s="38" t="str">
        <f aca="false">IF($C208="","",IF(OR(F208="Completed",F208="Cancelled"),"",IF(AND(OR(F208="On Hold",ISNUMBER(VALUE(LEFT(H208,2)))),BA208=""),"Reason not given","")))</f>
        <v/>
      </c>
      <c r="BC208" s="30"/>
    </row>
    <row r="209" customFormat="false" ht="19.5" hidden="false" customHeight="true" outlineLevel="0" collapsed="false">
      <c r="A209" s="28" t="str">
        <f aca="false">IF($C209="","",COUNTA($C$6:$C209))</f>
        <v/>
      </c>
      <c r="B209" s="29"/>
      <c r="C209" s="30"/>
      <c r="D209" s="29"/>
      <c r="E209" s="31" t="str">
        <f aca="false">IF($C209="","",IF(NOT(OR(M209="Completed",M209="NA",M209="Cancelled")),"S1 Schematic",IF(NOT(OR(R209="Completed",R209="NA",R209="Cancelled")),"S2 PCB Layout",IF(NOT(OR(W209="Completed",W209="NA",W209="Cancelled")),"S3 SI &amp; PI",IF(NOT(OR(AB209="Completed",AB209="NA",AB209="Cancelled")),"S4 Bare-PCB Fab",IF(NOT(OR(AG209="Completed",AG209="NA",AG209="Cancelled")),"S5 Assembly",IF(NOT(OR(AL209="Completed",AL209="NA",AL209="Cancelled")),"S6 Bring-up",IF(NOT(OR(AQ209="Completed",AQ209="NA",AQ209="Cancelled")),"S7 BOM Procurement","All Stages Closed"))))))))</f>
        <v/>
      </c>
      <c r="F209" s="32" t="str">
        <f aca="false">IF($C209="","",IF(COUNTIF(M209,"Cancelled")+COUNTIF(R209,"Cancelled")+COUNTIF(W209,"Cancelled")+COUNTIF(AB209,"Cancelled")+COUNTIF(AG209,"Cancelled")+COUNTIF(AL209,"Cancelled")+COUNTIF(AQ209,"Cancelled")&gt;0,"Cancelled",IF(E209="All Stages Closed","Completed",IF(E209="S1 Schematic",M209,IF(E209="S2 PCB Layout",R209,IF(E209="S3 SI &amp; PI",W209,IF(E209="S4 Bare-PCB Fab",AB209,IF(E209="S5 Assembly",AG209,IF(E209="S6 Bring-up",AL209,AQ209)))))))))</f>
        <v/>
      </c>
      <c r="G209" s="33" t="str">
        <f aca="false">IF($C209="","",IF(E209="All Stages Closed","",IF(E209="S1 Schematic",IF(N209="","Not added",N209),IF(E209="S2 PCB Layout",IF(S209="","Not added",S209),IF(E209="S3 SI &amp; PI",IF(X209="","Not added",X209),IF(E209="S4 Bare-PCB Fab",IF(AC209="","Not added",AC209),IF(E209="S5 Assembly",IF(AH209="","Not added",AH209),IF(E209="S6 Bring-up",IF(AM209="","Not added",AM209),IF(AR209="","Not added",AR209)))))))))</f>
        <v/>
      </c>
      <c r="H209" s="32" t="str">
        <f aca="true">IF($C209="","",IF(OR(F209="Completed",F209="Cancelled"),"",IF(NOT(ISNUMBER(G209)),"No date set",IF(TODAY()&gt;G209,TODAY()-G209&amp;" days late",G209-TODAY()&amp;" days left"))))</f>
        <v/>
      </c>
      <c r="I209" s="31" t="str">
        <f aca="false">IF($C209="","",COUNTIF(M209,"Completed")+COUNTIF(R209,"Completed")+COUNTIF(W209,"Completed")+COUNTIF(AB209,"Completed")+COUNTIF(AG209,"Completed")+COUNTIF(AL209,"Completed")+COUNTIF(AQ209,"Completed"))</f>
        <v/>
      </c>
      <c r="J209" s="31" t="str">
        <f aca="false">IF($C209="","",7-(COUNTIF(M209,"NA")+COUNTIF(R209,"NA")+COUNTIF(W209,"NA")+COUNTIF(AB209,"NA")+COUNTIF(AG209,"NA")+COUNTIF(AL209,"NA")+COUNTIF(AQ209,"NA")))</f>
        <v/>
      </c>
      <c r="K209" s="34" t="str">
        <f aca="false">IFERROR(I209/J209,"")</f>
        <v/>
      </c>
      <c r="L209" s="29"/>
      <c r="M209" s="35"/>
      <c r="N209" s="36"/>
      <c r="O209" s="36"/>
      <c r="P209" s="30"/>
      <c r="Q209" s="29"/>
      <c r="R209" s="35"/>
      <c r="S209" s="36"/>
      <c r="T209" s="36"/>
      <c r="U209" s="30"/>
      <c r="V209" s="29"/>
      <c r="W209" s="35"/>
      <c r="X209" s="36"/>
      <c r="Y209" s="36"/>
      <c r="Z209" s="30"/>
      <c r="AA209" s="29"/>
      <c r="AB209" s="35"/>
      <c r="AC209" s="36"/>
      <c r="AD209" s="36"/>
      <c r="AE209" s="30"/>
      <c r="AF209" s="29"/>
      <c r="AG209" s="35"/>
      <c r="AH209" s="36"/>
      <c r="AI209" s="36"/>
      <c r="AJ209" s="30"/>
      <c r="AK209" s="29"/>
      <c r="AL209" s="35"/>
      <c r="AM209" s="36"/>
      <c r="AN209" s="36"/>
      <c r="AO209" s="30"/>
      <c r="AP209" s="29"/>
      <c r="AQ209" s="35"/>
      <c r="AR209" s="36"/>
      <c r="AS209" s="36"/>
      <c r="AT209" s="30"/>
      <c r="AU209" s="29"/>
      <c r="AV209" s="29"/>
      <c r="AW209" s="29"/>
      <c r="AX209" s="37"/>
      <c r="AY209" s="39" t="str">
        <f aca="false">IF(AU209&lt;&gt;"Yes","",IF(AV209="","SELECT RE-ENTRY STAGE","MOVE TO ACTIVE at "&amp;AV209))</f>
        <v/>
      </c>
      <c r="AZ209" s="40" t="str">
        <f aca="false">IF(AU209="Yes",COUNTIF($AU$6:AU209,"Yes"),"")</f>
        <v/>
      </c>
      <c r="BA209" s="29"/>
      <c r="BB209" s="38" t="str">
        <f aca="false">IF($C209="","",IF(OR(F209="Completed",F209="Cancelled"),"",IF(AND(OR(F209="On Hold",ISNUMBER(VALUE(LEFT(H209,2)))),BA209=""),"Reason not given","")))</f>
        <v/>
      </c>
      <c r="BC209" s="30"/>
    </row>
    <row r="210" customFormat="false" ht="19.5" hidden="false" customHeight="true" outlineLevel="0" collapsed="false">
      <c r="A210" s="28" t="str">
        <f aca="false">IF($C210="","",COUNTA($C$6:$C210))</f>
        <v/>
      </c>
      <c r="B210" s="29"/>
      <c r="C210" s="30"/>
      <c r="D210" s="29"/>
      <c r="E210" s="31" t="str">
        <f aca="false">IF($C210="","",IF(NOT(OR(M210="Completed",M210="NA",M210="Cancelled")),"S1 Schematic",IF(NOT(OR(R210="Completed",R210="NA",R210="Cancelled")),"S2 PCB Layout",IF(NOT(OR(W210="Completed",W210="NA",W210="Cancelled")),"S3 SI &amp; PI",IF(NOT(OR(AB210="Completed",AB210="NA",AB210="Cancelled")),"S4 Bare-PCB Fab",IF(NOT(OR(AG210="Completed",AG210="NA",AG210="Cancelled")),"S5 Assembly",IF(NOT(OR(AL210="Completed",AL210="NA",AL210="Cancelled")),"S6 Bring-up",IF(NOT(OR(AQ210="Completed",AQ210="NA",AQ210="Cancelled")),"S7 BOM Procurement","All Stages Closed"))))))))</f>
        <v/>
      </c>
      <c r="F210" s="32" t="str">
        <f aca="false">IF($C210="","",IF(COUNTIF(M210,"Cancelled")+COUNTIF(R210,"Cancelled")+COUNTIF(W210,"Cancelled")+COUNTIF(AB210,"Cancelled")+COUNTIF(AG210,"Cancelled")+COUNTIF(AL210,"Cancelled")+COUNTIF(AQ210,"Cancelled")&gt;0,"Cancelled",IF(E210="All Stages Closed","Completed",IF(E210="S1 Schematic",M210,IF(E210="S2 PCB Layout",R210,IF(E210="S3 SI &amp; PI",W210,IF(E210="S4 Bare-PCB Fab",AB210,IF(E210="S5 Assembly",AG210,IF(E210="S6 Bring-up",AL210,AQ210)))))))))</f>
        <v/>
      </c>
      <c r="G210" s="33" t="str">
        <f aca="false">IF($C210="","",IF(E210="All Stages Closed","",IF(E210="S1 Schematic",IF(N210="","Not added",N210),IF(E210="S2 PCB Layout",IF(S210="","Not added",S210),IF(E210="S3 SI &amp; PI",IF(X210="","Not added",X210),IF(E210="S4 Bare-PCB Fab",IF(AC210="","Not added",AC210),IF(E210="S5 Assembly",IF(AH210="","Not added",AH210),IF(E210="S6 Bring-up",IF(AM210="","Not added",AM210),IF(AR210="","Not added",AR210)))))))))</f>
        <v/>
      </c>
      <c r="H210" s="32" t="str">
        <f aca="true">IF($C210="","",IF(OR(F210="Completed",F210="Cancelled"),"",IF(NOT(ISNUMBER(G210)),"No date set",IF(TODAY()&gt;G210,TODAY()-G210&amp;" days late",G210-TODAY()&amp;" days left"))))</f>
        <v/>
      </c>
      <c r="I210" s="31" t="str">
        <f aca="false">IF($C210="","",COUNTIF(M210,"Completed")+COUNTIF(R210,"Completed")+COUNTIF(W210,"Completed")+COUNTIF(AB210,"Completed")+COUNTIF(AG210,"Completed")+COUNTIF(AL210,"Completed")+COUNTIF(AQ210,"Completed"))</f>
        <v/>
      </c>
      <c r="J210" s="31" t="str">
        <f aca="false">IF($C210="","",7-(COUNTIF(M210,"NA")+COUNTIF(R210,"NA")+COUNTIF(W210,"NA")+COUNTIF(AB210,"NA")+COUNTIF(AG210,"NA")+COUNTIF(AL210,"NA")+COUNTIF(AQ210,"NA")))</f>
        <v/>
      </c>
      <c r="K210" s="34" t="str">
        <f aca="false">IFERROR(I210/J210,"")</f>
        <v/>
      </c>
      <c r="L210" s="29"/>
      <c r="M210" s="35"/>
      <c r="N210" s="36"/>
      <c r="O210" s="36"/>
      <c r="P210" s="30"/>
      <c r="Q210" s="29"/>
      <c r="R210" s="35"/>
      <c r="S210" s="36"/>
      <c r="T210" s="36"/>
      <c r="U210" s="30"/>
      <c r="V210" s="29"/>
      <c r="W210" s="35"/>
      <c r="X210" s="36"/>
      <c r="Y210" s="36"/>
      <c r="Z210" s="30"/>
      <c r="AA210" s="29"/>
      <c r="AB210" s="35"/>
      <c r="AC210" s="36"/>
      <c r="AD210" s="36"/>
      <c r="AE210" s="30"/>
      <c r="AF210" s="29"/>
      <c r="AG210" s="35"/>
      <c r="AH210" s="36"/>
      <c r="AI210" s="36"/>
      <c r="AJ210" s="30"/>
      <c r="AK210" s="29"/>
      <c r="AL210" s="35"/>
      <c r="AM210" s="36"/>
      <c r="AN210" s="36"/>
      <c r="AO210" s="30"/>
      <c r="AP210" s="29"/>
      <c r="AQ210" s="35"/>
      <c r="AR210" s="36"/>
      <c r="AS210" s="36"/>
      <c r="AT210" s="30"/>
      <c r="AU210" s="29"/>
      <c r="AV210" s="29"/>
      <c r="AW210" s="29"/>
      <c r="AX210" s="37"/>
      <c r="AY210" s="39" t="str">
        <f aca="false">IF(AU210&lt;&gt;"Yes","",IF(AV210="","SELECT RE-ENTRY STAGE","MOVE TO ACTIVE at "&amp;AV210))</f>
        <v/>
      </c>
      <c r="AZ210" s="40" t="str">
        <f aca="false">IF(AU210="Yes",COUNTIF($AU$6:AU210,"Yes"),"")</f>
        <v/>
      </c>
      <c r="BA210" s="29"/>
      <c r="BB210" s="38" t="str">
        <f aca="false">IF($C210="","",IF(OR(F210="Completed",F210="Cancelled"),"",IF(AND(OR(F210="On Hold",ISNUMBER(VALUE(LEFT(H210,2)))),BA210=""),"Reason not given","")))</f>
        <v/>
      </c>
      <c r="BC210" s="30"/>
    </row>
    <row r="211" customFormat="false" ht="19.5" hidden="false" customHeight="true" outlineLevel="0" collapsed="false">
      <c r="A211" s="28" t="str">
        <f aca="false">IF($C211="","",COUNTA($C$6:$C211))</f>
        <v/>
      </c>
      <c r="B211" s="29"/>
      <c r="C211" s="30"/>
      <c r="D211" s="29"/>
      <c r="E211" s="31" t="str">
        <f aca="false">IF($C211="","",IF(NOT(OR(M211="Completed",M211="NA",M211="Cancelled")),"S1 Schematic",IF(NOT(OR(R211="Completed",R211="NA",R211="Cancelled")),"S2 PCB Layout",IF(NOT(OR(W211="Completed",W211="NA",W211="Cancelled")),"S3 SI &amp; PI",IF(NOT(OR(AB211="Completed",AB211="NA",AB211="Cancelled")),"S4 Bare-PCB Fab",IF(NOT(OR(AG211="Completed",AG211="NA",AG211="Cancelled")),"S5 Assembly",IF(NOT(OR(AL211="Completed",AL211="NA",AL211="Cancelled")),"S6 Bring-up",IF(NOT(OR(AQ211="Completed",AQ211="NA",AQ211="Cancelled")),"S7 BOM Procurement","All Stages Closed"))))))))</f>
        <v/>
      </c>
      <c r="F211" s="32" t="str">
        <f aca="false">IF($C211="","",IF(COUNTIF(M211,"Cancelled")+COUNTIF(R211,"Cancelled")+COUNTIF(W211,"Cancelled")+COUNTIF(AB211,"Cancelled")+COUNTIF(AG211,"Cancelled")+COUNTIF(AL211,"Cancelled")+COUNTIF(AQ211,"Cancelled")&gt;0,"Cancelled",IF(E211="All Stages Closed","Completed",IF(E211="S1 Schematic",M211,IF(E211="S2 PCB Layout",R211,IF(E211="S3 SI &amp; PI",W211,IF(E211="S4 Bare-PCB Fab",AB211,IF(E211="S5 Assembly",AG211,IF(E211="S6 Bring-up",AL211,AQ211)))))))))</f>
        <v/>
      </c>
      <c r="G211" s="33" t="str">
        <f aca="false">IF($C211="","",IF(E211="All Stages Closed","",IF(E211="S1 Schematic",IF(N211="","Not added",N211),IF(E211="S2 PCB Layout",IF(S211="","Not added",S211),IF(E211="S3 SI &amp; PI",IF(X211="","Not added",X211),IF(E211="S4 Bare-PCB Fab",IF(AC211="","Not added",AC211),IF(E211="S5 Assembly",IF(AH211="","Not added",AH211),IF(E211="S6 Bring-up",IF(AM211="","Not added",AM211),IF(AR211="","Not added",AR211)))))))))</f>
        <v/>
      </c>
      <c r="H211" s="32" t="str">
        <f aca="true">IF($C211="","",IF(OR(F211="Completed",F211="Cancelled"),"",IF(NOT(ISNUMBER(G211)),"No date set",IF(TODAY()&gt;G211,TODAY()-G211&amp;" days late",G211-TODAY()&amp;" days left"))))</f>
        <v/>
      </c>
      <c r="I211" s="31" t="str">
        <f aca="false">IF($C211="","",COUNTIF(M211,"Completed")+COUNTIF(R211,"Completed")+COUNTIF(W211,"Completed")+COUNTIF(AB211,"Completed")+COUNTIF(AG211,"Completed")+COUNTIF(AL211,"Completed")+COUNTIF(AQ211,"Completed"))</f>
        <v/>
      </c>
      <c r="J211" s="31" t="str">
        <f aca="false">IF($C211="","",7-(COUNTIF(M211,"NA")+COUNTIF(R211,"NA")+COUNTIF(W211,"NA")+COUNTIF(AB211,"NA")+COUNTIF(AG211,"NA")+COUNTIF(AL211,"NA")+COUNTIF(AQ211,"NA")))</f>
        <v/>
      </c>
      <c r="K211" s="34" t="str">
        <f aca="false">IFERROR(I211/J211,"")</f>
        <v/>
      </c>
      <c r="L211" s="29"/>
      <c r="M211" s="35"/>
      <c r="N211" s="36"/>
      <c r="O211" s="36"/>
      <c r="P211" s="30"/>
      <c r="Q211" s="29"/>
      <c r="R211" s="35"/>
      <c r="S211" s="36"/>
      <c r="T211" s="36"/>
      <c r="U211" s="30"/>
      <c r="V211" s="29"/>
      <c r="W211" s="35"/>
      <c r="X211" s="36"/>
      <c r="Y211" s="36"/>
      <c r="Z211" s="30"/>
      <c r="AA211" s="29"/>
      <c r="AB211" s="35"/>
      <c r="AC211" s="36"/>
      <c r="AD211" s="36"/>
      <c r="AE211" s="30"/>
      <c r="AF211" s="29"/>
      <c r="AG211" s="35"/>
      <c r="AH211" s="36"/>
      <c r="AI211" s="36"/>
      <c r="AJ211" s="30"/>
      <c r="AK211" s="29"/>
      <c r="AL211" s="35"/>
      <c r="AM211" s="36"/>
      <c r="AN211" s="36"/>
      <c r="AO211" s="30"/>
      <c r="AP211" s="29"/>
      <c r="AQ211" s="35"/>
      <c r="AR211" s="36"/>
      <c r="AS211" s="36"/>
      <c r="AT211" s="30"/>
      <c r="AU211" s="29"/>
      <c r="AV211" s="29"/>
      <c r="AW211" s="29"/>
      <c r="AX211" s="37"/>
      <c r="AY211" s="39" t="str">
        <f aca="false">IF(AU211&lt;&gt;"Yes","",IF(AV211="","SELECT RE-ENTRY STAGE","MOVE TO ACTIVE at "&amp;AV211))</f>
        <v/>
      </c>
      <c r="AZ211" s="40" t="str">
        <f aca="false">IF(AU211="Yes",COUNTIF($AU$6:AU211,"Yes"),"")</f>
        <v/>
      </c>
      <c r="BA211" s="29"/>
      <c r="BB211" s="38" t="str">
        <f aca="false">IF($C211="","",IF(OR(F211="Completed",F211="Cancelled"),"",IF(AND(OR(F211="On Hold",ISNUMBER(VALUE(LEFT(H211,2)))),BA211=""),"Reason not given","")))</f>
        <v/>
      </c>
      <c r="BC211" s="30"/>
    </row>
    <row r="212" customFormat="false" ht="19.5" hidden="false" customHeight="true" outlineLevel="0" collapsed="false">
      <c r="A212" s="28" t="str">
        <f aca="false">IF($C212="","",COUNTA($C$6:$C212))</f>
        <v/>
      </c>
      <c r="B212" s="29"/>
      <c r="C212" s="30"/>
      <c r="D212" s="29"/>
      <c r="E212" s="31" t="str">
        <f aca="false">IF($C212="","",IF(NOT(OR(M212="Completed",M212="NA",M212="Cancelled")),"S1 Schematic",IF(NOT(OR(R212="Completed",R212="NA",R212="Cancelled")),"S2 PCB Layout",IF(NOT(OR(W212="Completed",W212="NA",W212="Cancelled")),"S3 SI &amp; PI",IF(NOT(OR(AB212="Completed",AB212="NA",AB212="Cancelled")),"S4 Bare-PCB Fab",IF(NOT(OR(AG212="Completed",AG212="NA",AG212="Cancelled")),"S5 Assembly",IF(NOT(OR(AL212="Completed",AL212="NA",AL212="Cancelled")),"S6 Bring-up",IF(NOT(OR(AQ212="Completed",AQ212="NA",AQ212="Cancelled")),"S7 BOM Procurement","All Stages Closed"))))))))</f>
        <v/>
      </c>
      <c r="F212" s="32" t="str">
        <f aca="false">IF($C212="","",IF(COUNTIF(M212,"Cancelled")+COUNTIF(R212,"Cancelled")+COUNTIF(W212,"Cancelled")+COUNTIF(AB212,"Cancelled")+COUNTIF(AG212,"Cancelled")+COUNTIF(AL212,"Cancelled")+COUNTIF(AQ212,"Cancelled")&gt;0,"Cancelled",IF(E212="All Stages Closed","Completed",IF(E212="S1 Schematic",M212,IF(E212="S2 PCB Layout",R212,IF(E212="S3 SI &amp; PI",W212,IF(E212="S4 Bare-PCB Fab",AB212,IF(E212="S5 Assembly",AG212,IF(E212="S6 Bring-up",AL212,AQ212)))))))))</f>
        <v/>
      </c>
      <c r="G212" s="33" t="str">
        <f aca="false">IF($C212="","",IF(E212="All Stages Closed","",IF(E212="S1 Schematic",IF(N212="","Not added",N212),IF(E212="S2 PCB Layout",IF(S212="","Not added",S212),IF(E212="S3 SI &amp; PI",IF(X212="","Not added",X212),IF(E212="S4 Bare-PCB Fab",IF(AC212="","Not added",AC212),IF(E212="S5 Assembly",IF(AH212="","Not added",AH212),IF(E212="S6 Bring-up",IF(AM212="","Not added",AM212),IF(AR212="","Not added",AR212)))))))))</f>
        <v/>
      </c>
      <c r="H212" s="32" t="str">
        <f aca="true">IF($C212="","",IF(OR(F212="Completed",F212="Cancelled"),"",IF(NOT(ISNUMBER(G212)),"No date set",IF(TODAY()&gt;G212,TODAY()-G212&amp;" days late",G212-TODAY()&amp;" days left"))))</f>
        <v/>
      </c>
      <c r="I212" s="31" t="str">
        <f aca="false">IF($C212="","",COUNTIF(M212,"Completed")+COUNTIF(R212,"Completed")+COUNTIF(W212,"Completed")+COUNTIF(AB212,"Completed")+COUNTIF(AG212,"Completed")+COUNTIF(AL212,"Completed")+COUNTIF(AQ212,"Completed"))</f>
        <v/>
      </c>
      <c r="J212" s="31" t="str">
        <f aca="false">IF($C212="","",7-(COUNTIF(M212,"NA")+COUNTIF(R212,"NA")+COUNTIF(W212,"NA")+COUNTIF(AB212,"NA")+COUNTIF(AG212,"NA")+COUNTIF(AL212,"NA")+COUNTIF(AQ212,"NA")))</f>
        <v/>
      </c>
      <c r="K212" s="34" t="str">
        <f aca="false">IFERROR(I212/J212,"")</f>
        <v/>
      </c>
      <c r="L212" s="29"/>
      <c r="M212" s="35"/>
      <c r="N212" s="36"/>
      <c r="O212" s="36"/>
      <c r="P212" s="30"/>
      <c r="Q212" s="29"/>
      <c r="R212" s="35"/>
      <c r="S212" s="36"/>
      <c r="T212" s="36"/>
      <c r="U212" s="30"/>
      <c r="V212" s="29"/>
      <c r="W212" s="35"/>
      <c r="X212" s="36"/>
      <c r="Y212" s="36"/>
      <c r="Z212" s="30"/>
      <c r="AA212" s="29"/>
      <c r="AB212" s="35"/>
      <c r="AC212" s="36"/>
      <c r="AD212" s="36"/>
      <c r="AE212" s="30"/>
      <c r="AF212" s="29"/>
      <c r="AG212" s="35"/>
      <c r="AH212" s="36"/>
      <c r="AI212" s="36"/>
      <c r="AJ212" s="30"/>
      <c r="AK212" s="29"/>
      <c r="AL212" s="35"/>
      <c r="AM212" s="36"/>
      <c r="AN212" s="36"/>
      <c r="AO212" s="30"/>
      <c r="AP212" s="29"/>
      <c r="AQ212" s="35"/>
      <c r="AR212" s="36"/>
      <c r="AS212" s="36"/>
      <c r="AT212" s="30"/>
      <c r="AU212" s="29"/>
      <c r="AV212" s="29"/>
      <c r="AW212" s="29"/>
      <c r="AX212" s="37"/>
      <c r="AY212" s="39" t="str">
        <f aca="false">IF(AU212&lt;&gt;"Yes","",IF(AV212="","SELECT RE-ENTRY STAGE","MOVE TO ACTIVE at "&amp;AV212))</f>
        <v/>
      </c>
      <c r="AZ212" s="40" t="str">
        <f aca="false">IF(AU212="Yes",COUNTIF($AU$6:AU212,"Yes"),"")</f>
        <v/>
      </c>
      <c r="BA212" s="29"/>
      <c r="BB212" s="38" t="str">
        <f aca="false">IF($C212="","",IF(OR(F212="Completed",F212="Cancelled"),"",IF(AND(OR(F212="On Hold",ISNUMBER(VALUE(LEFT(H212,2)))),BA212=""),"Reason not given","")))</f>
        <v/>
      </c>
      <c r="BC212" s="30"/>
    </row>
    <row r="213" customFormat="false" ht="19.5" hidden="false" customHeight="true" outlineLevel="0" collapsed="false">
      <c r="A213" s="28" t="str">
        <f aca="false">IF($C213="","",COUNTA($C$6:$C213))</f>
        <v/>
      </c>
      <c r="B213" s="29"/>
      <c r="C213" s="30"/>
      <c r="D213" s="29"/>
      <c r="E213" s="31" t="str">
        <f aca="false">IF($C213="","",IF(NOT(OR(M213="Completed",M213="NA",M213="Cancelled")),"S1 Schematic",IF(NOT(OR(R213="Completed",R213="NA",R213="Cancelled")),"S2 PCB Layout",IF(NOT(OR(W213="Completed",W213="NA",W213="Cancelled")),"S3 SI &amp; PI",IF(NOT(OR(AB213="Completed",AB213="NA",AB213="Cancelled")),"S4 Bare-PCB Fab",IF(NOT(OR(AG213="Completed",AG213="NA",AG213="Cancelled")),"S5 Assembly",IF(NOT(OR(AL213="Completed",AL213="NA",AL213="Cancelled")),"S6 Bring-up",IF(NOT(OR(AQ213="Completed",AQ213="NA",AQ213="Cancelled")),"S7 BOM Procurement","All Stages Closed"))))))))</f>
        <v/>
      </c>
      <c r="F213" s="32" t="str">
        <f aca="false">IF($C213="","",IF(COUNTIF(M213,"Cancelled")+COUNTIF(R213,"Cancelled")+COUNTIF(W213,"Cancelled")+COUNTIF(AB213,"Cancelled")+COUNTIF(AG213,"Cancelled")+COUNTIF(AL213,"Cancelled")+COUNTIF(AQ213,"Cancelled")&gt;0,"Cancelled",IF(E213="All Stages Closed","Completed",IF(E213="S1 Schematic",M213,IF(E213="S2 PCB Layout",R213,IF(E213="S3 SI &amp; PI",W213,IF(E213="S4 Bare-PCB Fab",AB213,IF(E213="S5 Assembly",AG213,IF(E213="S6 Bring-up",AL213,AQ213)))))))))</f>
        <v/>
      </c>
      <c r="G213" s="33" t="str">
        <f aca="false">IF($C213="","",IF(E213="All Stages Closed","",IF(E213="S1 Schematic",IF(N213="","Not added",N213),IF(E213="S2 PCB Layout",IF(S213="","Not added",S213),IF(E213="S3 SI &amp; PI",IF(X213="","Not added",X213),IF(E213="S4 Bare-PCB Fab",IF(AC213="","Not added",AC213),IF(E213="S5 Assembly",IF(AH213="","Not added",AH213),IF(E213="S6 Bring-up",IF(AM213="","Not added",AM213),IF(AR213="","Not added",AR213)))))))))</f>
        <v/>
      </c>
      <c r="H213" s="32" t="str">
        <f aca="true">IF($C213="","",IF(OR(F213="Completed",F213="Cancelled"),"",IF(NOT(ISNUMBER(G213)),"No date set",IF(TODAY()&gt;G213,TODAY()-G213&amp;" days late",G213-TODAY()&amp;" days left"))))</f>
        <v/>
      </c>
      <c r="I213" s="31" t="str">
        <f aca="false">IF($C213="","",COUNTIF(M213,"Completed")+COUNTIF(R213,"Completed")+COUNTIF(W213,"Completed")+COUNTIF(AB213,"Completed")+COUNTIF(AG213,"Completed")+COUNTIF(AL213,"Completed")+COUNTIF(AQ213,"Completed"))</f>
        <v/>
      </c>
      <c r="J213" s="31" t="str">
        <f aca="false">IF($C213="","",7-(COUNTIF(M213,"NA")+COUNTIF(R213,"NA")+COUNTIF(W213,"NA")+COUNTIF(AB213,"NA")+COUNTIF(AG213,"NA")+COUNTIF(AL213,"NA")+COUNTIF(AQ213,"NA")))</f>
        <v/>
      </c>
      <c r="K213" s="34" t="str">
        <f aca="false">IFERROR(I213/J213,"")</f>
        <v/>
      </c>
      <c r="L213" s="29"/>
      <c r="M213" s="35"/>
      <c r="N213" s="36"/>
      <c r="O213" s="36"/>
      <c r="P213" s="30"/>
      <c r="Q213" s="29"/>
      <c r="R213" s="35"/>
      <c r="S213" s="36"/>
      <c r="T213" s="36"/>
      <c r="U213" s="30"/>
      <c r="V213" s="29"/>
      <c r="W213" s="35"/>
      <c r="X213" s="36"/>
      <c r="Y213" s="36"/>
      <c r="Z213" s="30"/>
      <c r="AA213" s="29"/>
      <c r="AB213" s="35"/>
      <c r="AC213" s="36"/>
      <c r="AD213" s="36"/>
      <c r="AE213" s="30"/>
      <c r="AF213" s="29"/>
      <c r="AG213" s="35"/>
      <c r="AH213" s="36"/>
      <c r="AI213" s="36"/>
      <c r="AJ213" s="30"/>
      <c r="AK213" s="29"/>
      <c r="AL213" s="35"/>
      <c r="AM213" s="36"/>
      <c r="AN213" s="36"/>
      <c r="AO213" s="30"/>
      <c r="AP213" s="29"/>
      <c r="AQ213" s="35"/>
      <c r="AR213" s="36"/>
      <c r="AS213" s="36"/>
      <c r="AT213" s="30"/>
      <c r="AU213" s="29"/>
      <c r="AV213" s="29"/>
      <c r="AW213" s="29"/>
      <c r="AX213" s="37"/>
      <c r="AY213" s="39" t="str">
        <f aca="false">IF(AU213&lt;&gt;"Yes","",IF(AV213="","SELECT RE-ENTRY STAGE","MOVE TO ACTIVE at "&amp;AV213))</f>
        <v/>
      </c>
      <c r="AZ213" s="40" t="str">
        <f aca="false">IF(AU213="Yes",COUNTIF($AU$6:AU213,"Yes"),"")</f>
        <v/>
      </c>
      <c r="BA213" s="29"/>
      <c r="BB213" s="38" t="str">
        <f aca="false">IF($C213="","",IF(OR(F213="Completed",F213="Cancelled"),"",IF(AND(OR(F213="On Hold",ISNUMBER(VALUE(LEFT(H213,2)))),BA213=""),"Reason not given","")))</f>
        <v/>
      </c>
      <c r="BC213" s="30"/>
    </row>
    <row r="214" customFormat="false" ht="19.5" hidden="false" customHeight="true" outlineLevel="0" collapsed="false">
      <c r="A214" s="28" t="str">
        <f aca="false">IF($C214="","",COUNTA($C$6:$C214))</f>
        <v/>
      </c>
      <c r="B214" s="29"/>
      <c r="C214" s="30"/>
      <c r="D214" s="29"/>
      <c r="E214" s="31" t="str">
        <f aca="false">IF($C214="","",IF(NOT(OR(M214="Completed",M214="NA",M214="Cancelled")),"S1 Schematic",IF(NOT(OR(R214="Completed",R214="NA",R214="Cancelled")),"S2 PCB Layout",IF(NOT(OR(W214="Completed",W214="NA",W214="Cancelled")),"S3 SI &amp; PI",IF(NOT(OR(AB214="Completed",AB214="NA",AB214="Cancelled")),"S4 Bare-PCB Fab",IF(NOT(OR(AG214="Completed",AG214="NA",AG214="Cancelled")),"S5 Assembly",IF(NOT(OR(AL214="Completed",AL214="NA",AL214="Cancelled")),"S6 Bring-up",IF(NOT(OR(AQ214="Completed",AQ214="NA",AQ214="Cancelled")),"S7 BOM Procurement","All Stages Closed"))))))))</f>
        <v/>
      </c>
      <c r="F214" s="32" t="str">
        <f aca="false">IF($C214="","",IF(COUNTIF(M214,"Cancelled")+COUNTIF(R214,"Cancelled")+COUNTIF(W214,"Cancelled")+COUNTIF(AB214,"Cancelled")+COUNTIF(AG214,"Cancelled")+COUNTIF(AL214,"Cancelled")+COUNTIF(AQ214,"Cancelled")&gt;0,"Cancelled",IF(E214="All Stages Closed","Completed",IF(E214="S1 Schematic",M214,IF(E214="S2 PCB Layout",R214,IF(E214="S3 SI &amp; PI",W214,IF(E214="S4 Bare-PCB Fab",AB214,IF(E214="S5 Assembly",AG214,IF(E214="S6 Bring-up",AL214,AQ214)))))))))</f>
        <v/>
      </c>
      <c r="G214" s="33" t="str">
        <f aca="false">IF($C214="","",IF(E214="All Stages Closed","",IF(E214="S1 Schematic",IF(N214="","Not added",N214),IF(E214="S2 PCB Layout",IF(S214="","Not added",S214),IF(E214="S3 SI &amp; PI",IF(X214="","Not added",X214),IF(E214="S4 Bare-PCB Fab",IF(AC214="","Not added",AC214),IF(E214="S5 Assembly",IF(AH214="","Not added",AH214),IF(E214="S6 Bring-up",IF(AM214="","Not added",AM214),IF(AR214="","Not added",AR214)))))))))</f>
        <v/>
      </c>
      <c r="H214" s="32" t="str">
        <f aca="true">IF($C214="","",IF(OR(F214="Completed",F214="Cancelled"),"",IF(NOT(ISNUMBER(G214)),"No date set",IF(TODAY()&gt;G214,TODAY()-G214&amp;" days late",G214-TODAY()&amp;" days left"))))</f>
        <v/>
      </c>
      <c r="I214" s="31" t="str">
        <f aca="false">IF($C214="","",COUNTIF(M214,"Completed")+COUNTIF(R214,"Completed")+COUNTIF(W214,"Completed")+COUNTIF(AB214,"Completed")+COUNTIF(AG214,"Completed")+COUNTIF(AL214,"Completed")+COUNTIF(AQ214,"Completed"))</f>
        <v/>
      </c>
      <c r="J214" s="31" t="str">
        <f aca="false">IF($C214="","",7-(COUNTIF(M214,"NA")+COUNTIF(R214,"NA")+COUNTIF(W214,"NA")+COUNTIF(AB214,"NA")+COUNTIF(AG214,"NA")+COUNTIF(AL214,"NA")+COUNTIF(AQ214,"NA")))</f>
        <v/>
      </c>
      <c r="K214" s="34" t="str">
        <f aca="false">IFERROR(I214/J214,"")</f>
        <v/>
      </c>
      <c r="L214" s="29"/>
      <c r="M214" s="35"/>
      <c r="N214" s="36"/>
      <c r="O214" s="36"/>
      <c r="P214" s="30"/>
      <c r="Q214" s="29"/>
      <c r="R214" s="35"/>
      <c r="S214" s="36"/>
      <c r="T214" s="36"/>
      <c r="U214" s="30"/>
      <c r="V214" s="29"/>
      <c r="W214" s="35"/>
      <c r="X214" s="36"/>
      <c r="Y214" s="36"/>
      <c r="Z214" s="30"/>
      <c r="AA214" s="29"/>
      <c r="AB214" s="35"/>
      <c r="AC214" s="36"/>
      <c r="AD214" s="36"/>
      <c r="AE214" s="30"/>
      <c r="AF214" s="29"/>
      <c r="AG214" s="35"/>
      <c r="AH214" s="36"/>
      <c r="AI214" s="36"/>
      <c r="AJ214" s="30"/>
      <c r="AK214" s="29"/>
      <c r="AL214" s="35"/>
      <c r="AM214" s="36"/>
      <c r="AN214" s="36"/>
      <c r="AO214" s="30"/>
      <c r="AP214" s="29"/>
      <c r="AQ214" s="35"/>
      <c r="AR214" s="36"/>
      <c r="AS214" s="36"/>
      <c r="AT214" s="30"/>
      <c r="AU214" s="29"/>
      <c r="AV214" s="29"/>
      <c r="AW214" s="29"/>
      <c r="AX214" s="37"/>
      <c r="AY214" s="39" t="str">
        <f aca="false">IF(AU214&lt;&gt;"Yes","",IF(AV214="","SELECT RE-ENTRY STAGE","MOVE TO ACTIVE at "&amp;AV214))</f>
        <v/>
      </c>
      <c r="AZ214" s="40" t="str">
        <f aca="false">IF(AU214="Yes",COUNTIF($AU$6:AU214,"Yes"),"")</f>
        <v/>
      </c>
      <c r="BA214" s="29"/>
      <c r="BB214" s="38" t="str">
        <f aca="false">IF($C214="","",IF(OR(F214="Completed",F214="Cancelled"),"",IF(AND(OR(F214="On Hold",ISNUMBER(VALUE(LEFT(H214,2)))),BA214=""),"Reason not given","")))</f>
        <v/>
      </c>
      <c r="BC214" s="30"/>
    </row>
    <row r="215" customFormat="false" ht="19.5" hidden="false" customHeight="true" outlineLevel="0" collapsed="false">
      <c r="A215" s="28" t="str">
        <f aca="false">IF($C215="","",COUNTA($C$6:$C215))</f>
        <v/>
      </c>
      <c r="B215" s="29"/>
      <c r="C215" s="30"/>
      <c r="D215" s="29"/>
      <c r="E215" s="31" t="str">
        <f aca="false">IF($C215="","",IF(NOT(OR(M215="Completed",M215="NA",M215="Cancelled")),"S1 Schematic",IF(NOT(OR(R215="Completed",R215="NA",R215="Cancelled")),"S2 PCB Layout",IF(NOT(OR(W215="Completed",W215="NA",W215="Cancelled")),"S3 SI &amp; PI",IF(NOT(OR(AB215="Completed",AB215="NA",AB215="Cancelled")),"S4 Bare-PCB Fab",IF(NOT(OR(AG215="Completed",AG215="NA",AG215="Cancelled")),"S5 Assembly",IF(NOT(OR(AL215="Completed",AL215="NA",AL215="Cancelled")),"S6 Bring-up",IF(NOT(OR(AQ215="Completed",AQ215="NA",AQ215="Cancelled")),"S7 BOM Procurement","All Stages Closed"))))))))</f>
        <v/>
      </c>
      <c r="F215" s="32" t="str">
        <f aca="false">IF($C215="","",IF(COUNTIF(M215,"Cancelled")+COUNTIF(R215,"Cancelled")+COUNTIF(W215,"Cancelled")+COUNTIF(AB215,"Cancelled")+COUNTIF(AG215,"Cancelled")+COUNTIF(AL215,"Cancelled")+COUNTIF(AQ215,"Cancelled")&gt;0,"Cancelled",IF(E215="All Stages Closed","Completed",IF(E215="S1 Schematic",M215,IF(E215="S2 PCB Layout",R215,IF(E215="S3 SI &amp; PI",W215,IF(E215="S4 Bare-PCB Fab",AB215,IF(E215="S5 Assembly",AG215,IF(E215="S6 Bring-up",AL215,AQ215)))))))))</f>
        <v/>
      </c>
      <c r="G215" s="33" t="str">
        <f aca="false">IF($C215="","",IF(E215="All Stages Closed","",IF(E215="S1 Schematic",IF(N215="","Not added",N215),IF(E215="S2 PCB Layout",IF(S215="","Not added",S215),IF(E215="S3 SI &amp; PI",IF(X215="","Not added",X215),IF(E215="S4 Bare-PCB Fab",IF(AC215="","Not added",AC215),IF(E215="S5 Assembly",IF(AH215="","Not added",AH215),IF(E215="S6 Bring-up",IF(AM215="","Not added",AM215),IF(AR215="","Not added",AR215)))))))))</f>
        <v/>
      </c>
      <c r="H215" s="32" t="str">
        <f aca="true">IF($C215="","",IF(OR(F215="Completed",F215="Cancelled"),"",IF(NOT(ISNUMBER(G215)),"No date set",IF(TODAY()&gt;G215,TODAY()-G215&amp;" days late",G215-TODAY()&amp;" days left"))))</f>
        <v/>
      </c>
      <c r="I215" s="31" t="str">
        <f aca="false">IF($C215="","",COUNTIF(M215,"Completed")+COUNTIF(R215,"Completed")+COUNTIF(W215,"Completed")+COUNTIF(AB215,"Completed")+COUNTIF(AG215,"Completed")+COUNTIF(AL215,"Completed")+COUNTIF(AQ215,"Completed"))</f>
        <v/>
      </c>
      <c r="J215" s="31" t="str">
        <f aca="false">IF($C215="","",7-(COUNTIF(M215,"NA")+COUNTIF(R215,"NA")+COUNTIF(W215,"NA")+COUNTIF(AB215,"NA")+COUNTIF(AG215,"NA")+COUNTIF(AL215,"NA")+COUNTIF(AQ215,"NA")))</f>
        <v/>
      </c>
      <c r="K215" s="34" t="str">
        <f aca="false">IFERROR(I215/J215,"")</f>
        <v/>
      </c>
      <c r="L215" s="29"/>
      <c r="M215" s="35"/>
      <c r="N215" s="36"/>
      <c r="O215" s="36"/>
      <c r="P215" s="30"/>
      <c r="Q215" s="29"/>
      <c r="R215" s="35"/>
      <c r="S215" s="36"/>
      <c r="T215" s="36"/>
      <c r="U215" s="30"/>
      <c r="V215" s="29"/>
      <c r="W215" s="35"/>
      <c r="X215" s="36"/>
      <c r="Y215" s="36"/>
      <c r="Z215" s="30"/>
      <c r="AA215" s="29"/>
      <c r="AB215" s="35"/>
      <c r="AC215" s="36"/>
      <c r="AD215" s="36"/>
      <c r="AE215" s="30"/>
      <c r="AF215" s="29"/>
      <c r="AG215" s="35"/>
      <c r="AH215" s="36"/>
      <c r="AI215" s="36"/>
      <c r="AJ215" s="30"/>
      <c r="AK215" s="29"/>
      <c r="AL215" s="35"/>
      <c r="AM215" s="36"/>
      <c r="AN215" s="36"/>
      <c r="AO215" s="30"/>
      <c r="AP215" s="29"/>
      <c r="AQ215" s="35"/>
      <c r="AR215" s="36"/>
      <c r="AS215" s="36"/>
      <c r="AT215" s="30"/>
      <c r="AU215" s="29"/>
      <c r="AV215" s="29"/>
      <c r="AW215" s="29"/>
      <c r="AX215" s="37"/>
      <c r="AY215" s="39" t="str">
        <f aca="false">IF(AU215&lt;&gt;"Yes","",IF(AV215="","SELECT RE-ENTRY STAGE","MOVE TO ACTIVE at "&amp;AV215))</f>
        <v/>
      </c>
      <c r="AZ215" s="40" t="str">
        <f aca="false">IF(AU215="Yes",COUNTIF($AU$6:AU215,"Yes"),"")</f>
        <v/>
      </c>
      <c r="BA215" s="29"/>
      <c r="BB215" s="38" t="str">
        <f aca="false">IF($C215="","",IF(OR(F215="Completed",F215="Cancelled"),"",IF(AND(OR(F215="On Hold",ISNUMBER(VALUE(LEFT(H215,2)))),BA215=""),"Reason not given","")))</f>
        <v/>
      </c>
      <c r="BC215" s="30"/>
    </row>
    <row r="216" customFormat="false" ht="19.5" hidden="false" customHeight="true" outlineLevel="0" collapsed="false">
      <c r="A216" s="28" t="str">
        <f aca="false">IF($C216="","",COUNTA($C$6:$C216))</f>
        <v/>
      </c>
      <c r="B216" s="29"/>
      <c r="C216" s="30"/>
      <c r="D216" s="29"/>
      <c r="E216" s="31" t="str">
        <f aca="false">IF($C216="","",IF(NOT(OR(M216="Completed",M216="NA",M216="Cancelled")),"S1 Schematic",IF(NOT(OR(R216="Completed",R216="NA",R216="Cancelled")),"S2 PCB Layout",IF(NOT(OR(W216="Completed",W216="NA",W216="Cancelled")),"S3 SI &amp; PI",IF(NOT(OR(AB216="Completed",AB216="NA",AB216="Cancelled")),"S4 Bare-PCB Fab",IF(NOT(OR(AG216="Completed",AG216="NA",AG216="Cancelled")),"S5 Assembly",IF(NOT(OR(AL216="Completed",AL216="NA",AL216="Cancelled")),"S6 Bring-up",IF(NOT(OR(AQ216="Completed",AQ216="NA",AQ216="Cancelled")),"S7 BOM Procurement","All Stages Closed"))))))))</f>
        <v/>
      </c>
      <c r="F216" s="32" t="str">
        <f aca="false">IF($C216="","",IF(COUNTIF(M216,"Cancelled")+COUNTIF(R216,"Cancelled")+COUNTIF(W216,"Cancelled")+COUNTIF(AB216,"Cancelled")+COUNTIF(AG216,"Cancelled")+COUNTIF(AL216,"Cancelled")+COUNTIF(AQ216,"Cancelled")&gt;0,"Cancelled",IF(E216="All Stages Closed","Completed",IF(E216="S1 Schematic",M216,IF(E216="S2 PCB Layout",R216,IF(E216="S3 SI &amp; PI",W216,IF(E216="S4 Bare-PCB Fab",AB216,IF(E216="S5 Assembly",AG216,IF(E216="S6 Bring-up",AL216,AQ216)))))))))</f>
        <v/>
      </c>
      <c r="G216" s="33" t="str">
        <f aca="false">IF($C216="","",IF(E216="All Stages Closed","",IF(E216="S1 Schematic",IF(N216="","Not added",N216),IF(E216="S2 PCB Layout",IF(S216="","Not added",S216),IF(E216="S3 SI &amp; PI",IF(X216="","Not added",X216),IF(E216="S4 Bare-PCB Fab",IF(AC216="","Not added",AC216),IF(E216="S5 Assembly",IF(AH216="","Not added",AH216),IF(E216="S6 Bring-up",IF(AM216="","Not added",AM216),IF(AR216="","Not added",AR216)))))))))</f>
        <v/>
      </c>
      <c r="H216" s="32" t="str">
        <f aca="true">IF($C216="","",IF(OR(F216="Completed",F216="Cancelled"),"",IF(NOT(ISNUMBER(G216)),"No date set",IF(TODAY()&gt;G216,TODAY()-G216&amp;" days late",G216-TODAY()&amp;" days left"))))</f>
        <v/>
      </c>
      <c r="I216" s="31" t="str">
        <f aca="false">IF($C216="","",COUNTIF(M216,"Completed")+COUNTIF(R216,"Completed")+COUNTIF(W216,"Completed")+COUNTIF(AB216,"Completed")+COUNTIF(AG216,"Completed")+COUNTIF(AL216,"Completed")+COUNTIF(AQ216,"Completed"))</f>
        <v/>
      </c>
      <c r="J216" s="31" t="str">
        <f aca="false">IF($C216="","",7-(COUNTIF(M216,"NA")+COUNTIF(R216,"NA")+COUNTIF(W216,"NA")+COUNTIF(AB216,"NA")+COUNTIF(AG216,"NA")+COUNTIF(AL216,"NA")+COUNTIF(AQ216,"NA")))</f>
        <v/>
      </c>
      <c r="K216" s="34" t="str">
        <f aca="false">IFERROR(I216/J216,"")</f>
        <v/>
      </c>
      <c r="L216" s="29"/>
      <c r="M216" s="35"/>
      <c r="N216" s="36"/>
      <c r="O216" s="36"/>
      <c r="P216" s="30"/>
      <c r="Q216" s="29"/>
      <c r="R216" s="35"/>
      <c r="S216" s="36"/>
      <c r="T216" s="36"/>
      <c r="U216" s="30"/>
      <c r="V216" s="29"/>
      <c r="W216" s="35"/>
      <c r="X216" s="36"/>
      <c r="Y216" s="36"/>
      <c r="Z216" s="30"/>
      <c r="AA216" s="29"/>
      <c r="AB216" s="35"/>
      <c r="AC216" s="36"/>
      <c r="AD216" s="36"/>
      <c r="AE216" s="30"/>
      <c r="AF216" s="29"/>
      <c r="AG216" s="35"/>
      <c r="AH216" s="36"/>
      <c r="AI216" s="36"/>
      <c r="AJ216" s="30"/>
      <c r="AK216" s="29"/>
      <c r="AL216" s="35"/>
      <c r="AM216" s="36"/>
      <c r="AN216" s="36"/>
      <c r="AO216" s="30"/>
      <c r="AP216" s="29"/>
      <c r="AQ216" s="35"/>
      <c r="AR216" s="36"/>
      <c r="AS216" s="36"/>
      <c r="AT216" s="30"/>
      <c r="AU216" s="29"/>
      <c r="AV216" s="29"/>
      <c r="AW216" s="29"/>
      <c r="AX216" s="37"/>
      <c r="AY216" s="39" t="str">
        <f aca="false">IF(AU216&lt;&gt;"Yes","",IF(AV216="","SELECT RE-ENTRY STAGE","MOVE TO ACTIVE at "&amp;AV216))</f>
        <v/>
      </c>
      <c r="AZ216" s="40" t="str">
        <f aca="false">IF(AU216="Yes",COUNTIF($AU$6:AU216,"Yes"),"")</f>
        <v/>
      </c>
      <c r="BA216" s="29"/>
      <c r="BB216" s="38" t="str">
        <f aca="false">IF($C216="","",IF(OR(F216="Completed",F216="Cancelled"),"",IF(AND(OR(F216="On Hold",ISNUMBER(VALUE(LEFT(H216,2)))),BA216=""),"Reason not given","")))</f>
        <v/>
      </c>
      <c r="BC216" s="30"/>
    </row>
    <row r="217" customFormat="false" ht="19.5" hidden="false" customHeight="true" outlineLevel="0" collapsed="false">
      <c r="A217" s="28" t="str">
        <f aca="false">IF($C217="","",COUNTA($C$6:$C217))</f>
        <v/>
      </c>
      <c r="B217" s="29"/>
      <c r="C217" s="30"/>
      <c r="D217" s="29"/>
      <c r="E217" s="31" t="str">
        <f aca="false">IF($C217="","",IF(NOT(OR(M217="Completed",M217="NA",M217="Cancelled")),"S1 Schematic",IF(NOT(OR(R217="Completed",R217="NA",R217="Cancelled")),"S2 PCB Layout",IF(NOT(OR(W217="Completed",W217="NA",W217="Cancelled")),"S3 SI &amp; PI",IF(NOT(OR(AB217="Completed",AB217="NA",AB217="Cancelled")),"S4 Bare-PCB Fab",IF(NOT(OR(AG217="Completed",AG217="NA",AG217="Cancelled")),"S5 Assembly",IF(NOT(OR(AL217="Completed",AL217="NA",AL217="Cancelled")),"S6 Bring-up",IF(NOT(OR(AQ217="Completed",AQ217="NA",AQ217="Cancelled")),"S7 BOM Procurement","All Stages Closed"))))))))</f>
        <v/>
      </c>
      <c r="F217" s="32" t="str">
        <f aca="false">IF($C217="","",IF(COUNTIF(M217,"Cancelled")+COUNTIF(R217,"Cancelled")+COUNTIF(W217,"Cancelled")+COUNTIF(AB217,"Cancelled")+COUNTIF(AG217,"Cancelled")+COUNTIF(AL217,"Cancelled")+COUNTIF(AQ217,"Cancelled")&gt;0,"Cancelled",IF(E217="All Stages Closed","Completed",IF(E217="S1 Schematic",M217,IF(E217="S2 PCB Layout",R217,IF(E217="S3 SI &amp; PI",W217,IF(E217="S4 Bare-PCB Fab",AB217,IF(E217="S5 Assembly",AG217,IF(E217="S6 Bring-up",AL217,AQ217)))))))))</f>
        <v/>
      </c>
      <c r="G217" s="33" t="str">
        <f aca="false">IF($C217="","",IF(E217="All Stages Closed","",IF(E217="S1 Schematic",IF(N217="","Not added",N217),IF(E217="S2 PCB Layout",IF(S217="","Not added",S217),IF(E217="S3 SI &amp; PI",IF(X217="","Not added",X217),IF(E217="S4 Bare-PCB Fab",IF(AC217="","Not added",AC217),IF(E217="S5 Assembly",IF(AH217="","Not added",AH217),IF(E217="S6 Bring-up",IF(AM217="","Not added",AM217),IF(AR217="","Not added",AR217)))))))))</f>
        <v/>
      </c>
      <c r="H217" s="32" t="str">
        <f aca="true">IF($C217="","",IF(OR(F217="Completed",F217="Cancelled"),"",IF(NOT(ISNUMBER(G217)),"No date set",IF(TODAY()&gt;G217,TODAY()-G217&amp;" days late",G217-TODAY()&amp;" days left"))))</f>
        <v/>
      </c>
      <c r="I217" s="31" t="str">
        <f aca="false">IF($C217="","",COUNTIF(M217,"Completed")+COUNTIF(R217,"Completed")+COUNTIF(W217,"Completed")+COUNTIF(AB217,"Completed")+COUNTIF(AG217,"Completed")+COUNTIF(AL217,"Completed")+COUNTIF(AQ217,"Completed"))</f>
        <v/>
      </c>
      <c r="J217" s="31" t="str">
        <f aca="false">IF($C217="","",7-(COUNTIF(M217,"NA")+COUNTIF(R217,"NA")+COUNTIF(W217,"NA")+COUNTIF(AB217,"NA")+COUNTIF(AG217,"NA")+COUNTIF(AL217,"NA")+COUNTIF(AQ217,"NA")))</f>
        <v/>
      </c>
      <c r="K217" s="34" t="str">
        <f aca="false">IFERROR(I217/J217,"")</f>
        <v/>
      </c>
      <c r="L217" s="29"/>
      <c r="M217" s="35"/>
      <c r="N217" s="36"/>
      <c r="O217" s="36"/>
      <c r="P217" s="30"/>
      <c r="Q217" s="29"/>
      <c r="R217" s="35"/>
      <c r="S217" s="36"/>
      <c r="T217" s="36"/>
      <c r="U217" s="30"/>
      <c r="V217" s="29"/>
      <c r="W217" s="35"/>
      <c r="X217" s="36"/>
      <c r="Y217" s="36"/>
      <c r="Z217" s="30"/>
      <c r="AA217" s="29"/>
      <c r="AB217" s="35"/>
      <c r="AC217" s="36"/>
      <c r="AD217" s="36"/>
      <c r="AE217" s="30"/>
      <c r="AF217" s="29"/>
      <c r="AG217" s="35"/>
      <c r="AH217" s="36"/>
      <c r="AI217" s="36"/>
      <c r="AJ217" s="30"/>
      <c r="AK217" s="29"/>
      <c r="AL217" s="35"/>
      <c r="AM217" s="36"/>
      <c r="AN217" s="36"/>
      <c r="AO217" s="30"/>
      <c r="AP217" s="29"/>
      <c r="AQ217" s="35"/>
      <c r="AR217" s="36"/>
      <c r="AS217" s="36"/>
      <c r="AT217" s="30"/>
      <c r="AU217" s="29"/>
      <c r="AV217" s="29"/>
      <c r="AW217" s="29"/>
      <c r="AX217" s="37"/>
      <c r="AY217" s="39" t="str">
        <f aca="false">IF(AU217&lt;&gt;"Yes","",IF(AV217="","SELECT RE-ENTRY STAGE","MOVE TO ACTIVE at "&amp;AV217))</f>
        <v/>
      </c>
      <c r="AZ217" s="40" t="str">
        <f aca="false">IF(AU217="Yes",COUNTIF($AU$6:AU217,"Yes"),"")</f>
        <v/>
      </c>
      <c r="BA217" s="29"/>
      <c r="BB217" s="38" t="str">
        <f aca="false">IF($C217="","",IF(OR(F217="Completed",F217="Cancelled"),"",IF(AND(OR(F217="On Hold",ISNUMBER(VALUE(LEFT(H217,2)))),BA217=""),"Reason not given","")))</f>
        <v/>
      </c>
      <c r="BC217" s="30"/>
    </row>
    <row r="218" customFormat="false" ht="19.5" hidden="false" customHeight="true" outlineLevel="0" collapsed="false">
      <c r="A218" s="28" t="str">
        <f aca="false">IF($C218="","",COUNTA($C$6:$C218))</f>
        <v/>
      </c>
      <c r="B218" s="29"/>
      <c r="C218" s="30"/>
      <c r="D218" s="29"/>
      <c r="E218" s="31" t="str">
        <f aca="false">IF($C218="","",IF(NOT(OR(M218="Completed",M218="NA",M218="Cancelled")),"S1 Schematic",IF(NOT(OR(R218="Completed",R218="NA",R218="Cancelled")),"S2 PCB Layout",IF(NOT(OR(W218="Completed",W218="NA",W218="Cancelled")),"S3 SI &amp; PI",IF(NOT(OR(AB218="Completed",AB218="NA",AB218="Cancelled")),"S4 Bare-PCB Fab",IF(NOT(OR(AG218="Completed",AG218="NA",AG218="Cancelled")),"S5 Assembly",IF(NOT(OR(AL218="Completed",AL218="NA",AL218="Cancelled")),"S6 Bring-up",IF(NOT(OR(AQ218="Completed",AQ218="NA",AQ218="Cancelled")),"S7 BOM Procurement","All Stages Closed"))))))))</f>
        <v/>
      </c>
      <c r="F218" s="32" t="str">
        <f aca="false">IF($C218="","",IF(COUNTIF(M218,"Cancelled")+COUNTIF(R218,"Cancelled")+COUNTIF(W218,"Cancelled")+COUNTIF(AB218,"Cancelled")+COUNTIF(AG218,"Cancelled")+COUNTIF(AL218,"Cancelled")+COUNTIF(AQ218,"Cancelled")&gt;0,"Cancelled",IF(E218="All Stages Closed","Completed",IF(E218="S1 Schematic",M218,IF(E218="S2 PCB Layout",R218,IF(E218="S3 SI &amp; PI",W218,IF(E218="S4 Bare-PCB Fab",AB218,IF(E218="S5 Assembly",AG218,IF(E218="S6 Bring-up",AL218,AQ218)))))))))</f>
        <v/>
      </c>
      <c r="G218" s="33" t="str">
        <f aca="false">IF($C218="","",IF(E218="All Stages Closed","",IF(E218="S1 Schematic",IF(N218="","Not added",N218),IF(E218="S2 PCB Layout",IF(S218="","Not added",S218),IF(E218="S3 SI &amp; PI",IF(X218="","Not added",X218),IF(E218="S4 Bare-PCB Fab",IF(AC218="","Not added",AC218),IF(E218="S5 Assembly",IF(AH218="","Not added",AH218),IF(E218="S6 Bring-up",IF(AM218="","Not added",AM218),IF(AR218="","Not added",AR218)))))))))</f>
        <v/>
      </c>
      <c r="H218" s="32" t="str">
        <f aca="true">IF($C218="","",IF(OR(F218="Completed",F218="Cancelled"),"",IF(NOT(ISNUMBER(G218)),"No date set",IF(TODAY()&gt;G218,TODAY()-G218&amp;" days late",G218-TODAY()&amp;" days left"))))</f>
        <v/>
      </c>
      <c r="I218" s="31" t="str">
        <f aca="false">IF($C218="","",COUNTIF(M218,"Completed")+COUNTIF(R218,"Completed")+COUNTIF(W218,"Completed")+COUNTIF(AB218,"Completed")+COUNTIF(AG218,"Completed")+COUNTIF(AL218,"Completed")+COUNTIF(AQ218,"Completed"))</f>
        <v/>
      </c>
      <c r="J218" s="31" t="str">
        <f aca="false">IF($C218="","",7-(COUNTIF(M218,"NA")+COUNTIF(R218,"NA")+COUNTIF(W218,"NA")+COUNTIF(AB218,"NA")+COUNTIF(AG218,"NA")+COUNTIF(AL218,"NA")+COUNTIF(AQ218,"NA")))</f>
        <v/>
      </c>
      <c r="K218" s="34" t="str">
        <f aca="false">IFERROR(I218/J218,"")</f>
        <v/>
      </c>
      <c r="L218" s="29"/>
      <c r="M218" s="35"/>
      <c r="N218" s="36"/>
      <c r="O218" s="36"/>
      <c r="P218" s="30"/>
      <c r="Q218" s="29"/>
      <c r="R218" s="35"/>
      <c r="S218" s="36"/>
      <c r="T218" s="36"/>
      <c r="U218" s="30"/>
      <c r="V218" s="29"/>
      <c r="W218" s="35"/>
      <c r="X218" s="36"/>
      <c r="Y218" s="36"/>
      <c r="Z218" s="30"/>
      <c r="AA218" s="29"/>
      <c r="AB218" s="35"/>
      <c r="AC218" s="36"/>
      <c r="AD218" s="36"/>
      <c r="AE218" s="30"/>
      <c r="AF218" s="29"/>
      <c r="AG218" s="35"/>
      <c r="AH218" s="36"/>
      <c r="AI218" s="36"/>
      <c r="AJ218" s="30"/>
      <c r="AK218" s="29"/>
      <c r="AL218" s="35"/>
      <c r="AM218" s="36"/>
      <c r="AN218" s="36"/>
      <c r="AO218" s="30"/>
      <c r="AP218" s="29"/>
      <c r="AQ218" s="35"/>
      <c r="AR218" s="36"/>
      <c r="AS218" s="36"/>
      <c r="AT218" s="30"/>
      <c r="AU218" s="29"/>
      <c r="AV218" s="29"/>
      <c r="AW218" s="29"/>
      <c r="AX218" s="37"/>
      <c r="AY218" s="39" t="str">
        <f aca="false">IF(AU218&lt;&gt;"Yes","",IF(AV218="","SELECT RE-ENTRY STAGE","MOVE TO ACTIVE at "&amp;AV218))</f>
        <v/>
      </c>
      <c r="AZ218" s="40" t="str">
        <f aca="false">IF(AU218="Yes",COUNTIF($AU$6:AU218,"Yes"),"")</f>
        <v/>
      </c>
      <c r="BA218" s="29"/>
      <c r="BB218" s="38" t="str">
        <f aca="false">IF($C218="","",IF(OR(F218="Completed",F218="Cancelled"),"",IF(AND(OR(F218="On Hold",ISNUMBER(VALUE(LEFT(H218,2)))),BA218=""),"Reason not given","")))</f>
        <v/>
      </c>
      <c r="BC218" s="30"/>
    </row>
    <row r="219" customFormat="false" ht="19.5" hidden="false" customHeight="true" outlineLevel="0" collapsed="false">
      <c r="A219" s="28" t="str">
        <f aca="false">IF($C219="","",COUNTA($C$6:$C219))</f>
        <v/>
      </c>
      <c r="B219" s="29"/>
      <c r="C219" s="30"/>
      <c r="D219" s="29"/>
      <c r="E219" s="31" t="str">
        <f aca="false">IF($C219="","",IF(NOT(OR(M219="Completed",M219="NA",M219="Cancelled")),"S1 Schematic",IF(NOT(OR(R219="Completed",R219="NA",R219="Cancelled")),"S2 PCB Layout",IF(NOT(OR(W219="Completed",W219="NA",W219="Cancelled")),"S3 SI &amp; PI",IF(NOT(OR(AB219="Completed",AB219="NA",AB219="Cancelled")),"S4 Bare-PCB Fab",IF(NOT(OR(AG219="Completed",AG219="NA",AG219="Cancelled")),"S5 Assembly",IF(NOT(OR(AL219="Completed",AL219="NA",AL219="Cancelled")),"S6 Bring-up",IF(NOT(OR(AQ219="Completed",AQ219="NA",AQ219="Cancelled")),"S7 BOM Procurement","All Stages Closed"))))))))</f>
        <v/>
      </c>
      <c r="F219" s="32" t="str">
        <f aca="false">IF($C219="","",IF(COUNTIF(M219,"Cancelled")+COUNTIF(R219,"Cancelled")+COUNTIF(W219,"Cancelled")+COUNTIF(AB219,"Cancelled")+COUNTIF(AG219,"Cancelled")+COUNTIF(AL219,"Cancelled")+COUNTIF(AQ219,"Cancelled")&gt;0,"Cancelled",IF(E219="All Stages Closed","Completed",IF(E219="S1 Schematic",M219,IF(E219="S2 PCB Layout",R219,IF(E219="S3 SI &amp; PI",W219,IF(E219="S4 Bare-PCB Fab",AB219,IF(E219="S5 Assembly",AG219,IF(E219="S6 Bring-up",AL219,AQ219)))))))))</f>
        <v/>
      </c>
      <c r="G219" s="33" t="str">
        <f aca="false">IF($C219="","",IF(E219="All Stages Closed","",IF(E219="S1 Schematic",IF(N219="","Not added",N219),IF(E219="S2 PCB Layout",IF(S219="","Not added",S219),IF(E219="S3 SI &amp; PI",IF(X219="","Not added",X219),IF(E219="S4 Bare-PCB Fab",IF(AC219="","Not added",AC219),IF(E219="S5 Assembly",IF(AH219="","Not added",AH219),IF(E219="S6 Bring-up",IF(AM219="","Not added",AM219),IF(AR219="","Not added",AR219)))))))))</f>
        <v/>
      </c>
      <c r="H219" s="32" t="str">
        <f aca="true">IF($C219="","",IF(OR(F219="Completed",F219="Cancelled"),"",IF(NOT(ISNUMBER(G219)),"No date set",IF(TODAY()&gt;G219,TODAY()-G219&amp;" days late",G219-TODAY()&amp;" days left"))))</f>
        <v/>
      </c>
      <c r="I219" s="31" t="str">
        <f aca="false">IF($C219="","",COUNTIF(M219,"Completed")+COUNTIF(R219,"Completed")+COUNTIF(W219,"Completed")+COUNTIF(AB219,"Completed")+COUNTIF(AG219,"Completed")+COUNTIF(AL219,"Completed")+COUNTIF(AQ219,"Completed"))</f>
        <v/>
      </c>
      <c r="J219" s="31" t="str">
        <f aca="false">IF($C219="","",7-(COUNTIF(M219,"NA")+COUNTIF(R219,"NA")+COUNTIF(W219,"NA")+COUNTIF(AB219,"NA")+COUNTIF(AG219,"NA")+COUNTIF(AL219,"NA")+COUNTIF(AQ219,"NA")))</f>
        <v/>
      </c>
      <c r="K219" s="34" t="str">
        <f aca="false">IFERROR(I219/J219,"")</f>
        <v/>
      </c>
      <c r="L219" s="29"/>
      <c r="M219" s="35"/>
      <c r="N219" s="36"/>
      <c r="O219" s="36"/>
      <c r="P219" s="30"/>
      <c r="Q219" s="29"/>
      <c r="R219" s="35"/>
      <c r="S219" s="36"/>
      <c r="T219" s="36"/>
      <c r="U219" s="30"/>
      <c r="V219" s="29"/>
      <c r="W219" s="35"/>
      <c r="X219" s="36"/>
      <c r="Y219" s="36"/>
      <c r="Z219" s="30"/>
      <c r="AA219" s="29"/>
      <c r="AB219" s="35"/>
      <c r="AC219" s="36"/>
      <c r="AD219" s="36"/>
      <c r="AE219" s="30"/>
      <c r="AF219" s="29"/>
      <c r="AG219" s="35"/>
      <c r="AH219" s="36"/>
      <c r="AI219" s="36"/>
      <c r="AJ219" s="30"/>
      <c r="AK219" s="29"/>
      <c r="AL219" s="35"/>
      <c r="AM219" s="36"/>
      <c r="AN219" s="36"/>
      <c r="AO219" s="30"/>
      <c r="AP219" s="29"/>
      <c r="AQ219" s="35"/>
      <c r="AR219" s="36"/>
      <c r="AS219" s="36"/>
      <c r="AT219" s="30"/>
      <c r="AU219" s="29"/>
      <c r="AV219" s="29"/>
      <c r="AW219" s="29"/>
      <c r="AX219" s="37"/>
      <c r="AY219" s="39" t="str">
        <f aca="false">IF(AU219&lt;&gt;"Yes","",IF(AV219="","SELECT RE-ENTRY STAGE","MOVE TO ACTIVE at "&amp;AV219))</f>
        <v/>
      </c>
      <c r="AZ219" s="40" t="str">
        <f aca="false">IF(AU219="Yes",COUNTIF($AU$6:AU219,"Yes"),"")</f>
        <v/>
      </c>
      <c r="BA219" s="29"/>
      <c r="BB219" s="38" t="str">
        <f aca="false">IF($C219="","",IF(OR(F219="Completed",F219="Cancelled"),"",IF(AND(OR(F219="On Hold",ISNUMBER(VALUE(LEFT(H219,2)))),BA219=""),"Reason not given","")))</f>
        <v/>
      </c>
      <c r="BC219" s="30"/>
    </row>
    <row r="220" customFormat="false" ht="19.5" hidden="false" customHeight="true" outlineLevel="0" collapsed="false">
      <c r="A220" s="28" t="str">
        <f aca="false">IF($C220="","",COUNTA($C$6:$C220))</f>
        <v/>
      </c>
      <c r="B220" s="29"/>
      <c r="C220" s="30"/>
      <c r="D220" s="29"/>
      <c r="E220" s="31" t="str">
        <f aca="false">IF($C220="","",IF(NOT(OR(M220="Completed",M220="NA",M220="Cancelled")),"S1 Schematic",IF(NOT(OR(R220="Completed",R220="NA",R220="Cancelled")),"S2 PCB Layout",IF(NOT(OR(W220="Completed",W220="NA",W220="Cancelled")),"S3 SI &amp; PI",IF(NOT(OR(AB220="Completed",AB220="NA",AB220="Cancelled")),"S4 Bare-PCB Fab",IF(NOT(OR(AG220="Completed",AG220="NA",AG220="Cancelled")),"S5 Assembly",IF(NOT(OR(AL220="Completed",AL220="NA",AL220="Cancelled")),"S6 Bring-up",IF(NOT(OR(AQ220="Completed",AQ220="NA",AQ220="Cancelled")),"S7 BOM Procurement","All Stages Closed"))))))))</f>
        <v/>
      </c>
      <c r="F220" s="32" t="str">
        <f aca="false">IF($C220="","",IF(COUNTIF(M220,"Cancelled")+COUNTIF(R220,"Cancelled")+COUNTIF(W220,"Cancelled")+COUNTIF(AB220,"Cancelled")+COUNTIF(AG220,"Cancelled")+COUNTIF(AL220,"Cancelled")+COUNTIF(AQ220,"Cancelled")&gt;0,"Cancelled",IF(E220="All Stages Closed","Completed",IF(E220="S1 Schematic",M220,IF(E220="S2 PCB Layout",R220,IF(E220="S3 SI &amp; PI",W220,IF(E220="S4 Bare-PCB Fab",AB220,IF(E220="S5 Assembly",AG220,IF(E220="S6 Bring-up",AL220,AQ220)))))))))</f>
        <v/>
      </c>
      <c r="G220" s="33" t="str">
        <f aca="false">IF($C220="","",IF(E220="All Stages Closed","",IF(E220="S1 Schematic",IF(N220="","Not added",N220),IF(E220="S2 PCB Layout",IF(S220="","Not added",S220),IF(E220="S3 SI &amp; PI",IF(X220="","Not added",X220),IF(E220="S4 Bare-PCB Fab",IF(AC220="","Not added",AC220),IF(E220="S5 Assembly",IF(AH220="","Not added",AH220),IF(E220="S6 Bring-up",IF(AM220="","Not added",AM220),IF(AR220="","Not added",AR220)))))))))</f>
        <v/>
      </c>
      <c r="H220" s="32" t="str">
        <f aca="true">IF($C220="","",IF(OR(F220="Completed",F220="Cancelled"),"",IF(NOT(ISNUMBER(G220)),"No date set",IF(TODAY()&gt;G220,TODAY()-G220&amp;" days late",G220-TODAY()&amp;" days left"))))</f>
        <v/>
      </c>
      <c r="I220" s="31" t="str">
        <f aca="false">IF($C220="","",COUNTIF(M220,"Completed")+COUNTIF(R220,"Completed")+COUNTIF(W220,"Completed")+COUNTIF(AB220,"Completed")+COUNTIF(AG220,"Completed")+COUNTIF(AL220,"Completed")+COUNTIF(AQ220,"Completed"))</f>
        <v/>
      </c>
      <c r="J220" s="31" t="str">
        <f aca="false">IF($C220="","",7-(COUNTIF(M220,"NA")+COUNTIF(R220,"NA")+COUNTIF(W220,"NA")+COUNTIF(AB220,"NA")+COUNTIF(AG220,"NA")+COUNTIF(AL220,"NA")+COUNTIF(AQ220,"NA")))</f>
        <v/>
      </c>
      <c r="K220" s="34" t="str">
        <f aca="false">IFERROR(I220/J220,"")</f>
        <v/>
      </c>
      <c r="L220" s="29"/>
      <c r="M220" s="35"/>
      <c r="N220" s="36"/>
      <c r="O220" s="36"/>
      <c r="P220" s="30"/>
      <c r="Q220" s="29"/>
      <c r="R220" s="35"/>
      <c r="S220" s="36"/>
      <c r="T220" s="36"/>
      <c r="U220" s="30"/>
      <c r="V220" s="29"/>
      <c r="W220" s="35"/>
      <c r="X220" s="36"/>
      <c r="Y220" s="36"/>
      <c r="Z220" s="30"/>
      <c r="AA220" s="29"/>
      <c r="AB220" s="35"/>
      <c r="AC220" s="36"/>
      <c r="AD220" s="36"/>
      <c r="AE220" s="30"/>
      <c r="AF220" s="29"/>
      <c r="AG220" s="35"/>
      <c r="AH220" s="36"/>
      <c r="AI220" s="36"/>
      <c r="AJ220" s="30"/>
      <c r="AK220" s="29"/>
      <c r="AL220" s="35"/>
      <c r="AM220" s="36"/>
      <c r="AN220" s="36"/>
      <c r="AO220" s="30"/>
      <c r="AP220" s="29"/>
      <c r="AQ220" s="35"/>
      <c r="AR220" s="36"/>
      <c r="AS220" s="36"/>
      <c r="AT220" s="30"/>
      <c r="AU220" s="29"/>
      <c r="AV220" s="29"/>
      <c r="AW220" s="29"/>
      <c r="AX220" s="37"/>
      <c r="AY220" s="39" t="str">
        <f aca="false">IF(AU220&lt;&gt;"Yes","",IF(AV220="","SELECT RE-ENTRY STAGE","MOVE TO ACTIVE at "&amp;AV220))</f>
        <v/>
      </c>
      <c r="AZ220" s="40" t="str">
        <f aca="false">IF(AU220="Yes",COUNTIF($AU$6:AU220,"Yes"),"")</f>
        <v/>
      </c>
      <c r="BA220" s="29"/>
      <c r="BB220" s="38" t="str">
        <f aca="false">IF($C220="","",IF(OR(F220="Completed",F220="Cancelled"),"",IF(AND(OR(F220="On Hold",ISNUMBER(VALUE(LEFT(H220,2)))),BA220=""),"Reason not given","")))</f>
        <v/>
      </c>
      <c r="BC220" s="30"/>
    </row>
    <row r="221" customFormat="false" ht="19.5" hidden="false" customHeight="true" outlineLevel="0" collapsed="false">
      <c r="A221" s="28" t="str">
        <f aca="false">IF($C221="","",COUNTA($C$6:$C221))</f>
        <v/>
      </c>
      <c r="B221" s="29"/>
      <c r="C221" s="30"/>
      <c r="D221" s="29"/>
      <c r="E221" s="31" t="str">
        <f aca="false">IF($C221="","",IF(NOT(OR(M221="Completed",M221="NA",M221="Cancelled")),"S1 Schematic",IF(NOT(OR(R221="Completed",R221="NA",R221="Cancelled")),"S2 PCB Layout",IF(NOT(OR(W221="Completed",W221="NA",W221="Cancelled")),"S3 SI &amp; PI",IF(NOT(OR(AB221="Completed",AB221="NA",AB221="Cancelled")),"S4 Bare-PCB Fab",IF(NOT(OR(AG221="Completed",AG221="NA",AG221="Cancelled")),"S5 Assembly",IF(NOT(OR(AL221="Completed",AL221="NA",AL221="Cancelled")),"S6 Bring-up",IF(NOT(OR(AQ221="Completed",AQ221="NA",AQ221="Cancelled")),"S7 BOM Procurement","All Stages Closed"))))))))</f>
        <v/>
      </c>
      <c r="F221" s="32" t="str">
        <f aca="false">IF($C221="","",IF(COUNTIF(M221,"Cancelled")+COUNTIF(R221,"Cancelled")+COUNTIF(W221,"Cancelled")+COUNTIF(AB221,"Cancelled")+COUNTIF(AG221,"Cancelled")+COUNTIF(AL221,"Cancelled")+COUNTIF(AQ221,"Cancelled")&gt;0,"Cancelled",IF(E221="All Stages Closed","Completed",IF(E221="S1 Schematic",M221,IF(E221="S2 PCB Layout",R221,IF(E221="S3 SI &amp; PI",W221,IF(E221="S4 Bare-PCB Fab",AB221,IF(E221="S5 Assembly",AG221,IF(E221="S6 Bring-up",AL221,AQ221)))))))))</f>
        <v/>
      </c>
      <c r="G221" s="33" t="str">
        <f aca="false">IF($C221="","",IF(E221="All Stages Closed","",IF(E221="S1 Schematic",IF(N221="","Not added",N221),IF(E221="S2 PCB Layout",IF(S221="","Not added",S221),IF(E221="S3 SI &amp; PI",IF(X221="","Not added",X221),IF(E221="S4 Bare-PCB Fab",IF(AC221="","Not added",AC221),IF(E221="S5 Assembly",IF(AH221="","Not added",AH221),IF(E221="S6 Bring-up",IF(AM221="","Not added",AM221),IF(AR221="","Not added",AR221)))))))))</f>
        <v/>
      </c>
      <c r="H221" s="32" t="str">
        <f aca="true">IF($C221="","",IF(OR(F221="Completed",F221="Cancelled"),"",IF(NOT(ISNUMBER(G221)),"No date set",IF(TODAY()&gt;G221,TODAY()-G221&amp;" days late",G221-TODAY()&amp;" days left"))))</f>
        <v/>
      </c>
      <c r="I221" s="31" t="str">
        <f aca="false">IF($C221="","",COUNTIF(M221,"Completed")+COUNTIF(R221,"Completed")+COUNTIF(W221,"Completed")+COUNTIF(AB221,"Completed")+COUNTIF(AG221,"Completed")+COUNTIF(AL221,"Completed")+COUNTIF(AQ221,"Completed"))</f>
        <v/>
      </c>
      <c r="J221" s="31" t="str">
        <f aca="false">IF($C221="","",7-(COUNTIF(M221,"NA")+COUNTIF(R221,"NA")+COUNTIF(W221,"NA")+COUNTIF(AB221,"NA")+COUNTIF(AG221,"NA")+COUNTIF(AL221,"NA")+COUNTIF(AQ221,"NA")))</f>
        <v/>
      </c>
      <c r="K221" s="34" t="str">
        <f aca="false">IFERROR(I221/J221,"")</f>
        <v/>
      </c>
      <c r="L221" s="29"/>
      <c r="M221" s="35"/>
      <c r="N221" s="36"/>
      <c r="O221" s="36"/>
      <c r="P221" s="30"/>
      <c r="Q221" s="29"/>
      <c r="R221" s="35"/>
      <c r="S221" s="36"/>
      <c r="T221" s="36"/>
      <c r="U221" s="30"/>
      <c r="V221" s="29"/>
      <c r="W221" s="35"/>
      <c r="X221" s="36"/>
      <c r="Y221" s="36"/>
      <c r="Z221" s="30"/>
      <c r="AA221" s="29"/>
      <c r="AB221" s="35"/>
      <c r="AC221" s="36"/>
      <c r="AD221" s="36"/>
      <c r="AE221" s="30"/>
      <c r="AF221" s="29"/>
      <c r="AG221" s="35"/>
      <c r="AH221" s="36"/>
      <c r="AI221" s="36"/>
      <c r="AJ221" s="30"/>
      <c r="AK221" s="29"/>
      <c r="AL221" s="35"/>
      <c r="AM221" s="36"/>
      <c r="AN221" s="36"/>
      <c r="AO221" s="30"/>
      <c r="AP221" s="29"/>
      <c r="AQ221" s="35"/>
      <c r="AR221" s="36"/>
      <c r="AS221" s="36"/>
      <c r="AT221" s="30"/>
      <c r="AU221" s="29"/>
      <c r="AV221" s="29"/>
      <c r="AW221" s="29"/>
      <c r="AX221" s="37"/>
      <c r="AY221" s="39" t="str">
        <f aca="false">IF(AU221&lt;&gt;"Yes","",IF(AV221="","SELECT RE-ENTRY STAGE","MOVE TO ACTIVE at "&amp;AV221))</f>
        <v/>
      </c>
      <c r="AZ221" s="40" t="str">
        <f aca="false">IF(AU221="Yes",COUNTIF($AU$6:AU221,"Yes"),"")</f>
        <v/>
      </c>
      <c r="BA221" s="29"/>
      <c r="BB221" s="38" t="str">
        <f aca="false">IF($C221="","",IF(OR(F221="Completed",F221="Cancelled"),"",IF(AND(OR(F221="On Hold",ISNUMBER(VALUE(LEFT(H221,2)))),BA221=""),"Reason not given","")))</f>
        <v/>
      </c>
      <c r="BC221" s="30"/>
    </row>
    <row r="222" customFormat="false" ht="19.5" hidden="false" customHeight="true" outlineLevel="0" collapsed="false">
      <c r="A222" s="28" t="str">
        <f aca="false">IF($C222="","",COUNTA($C$6:$C222))</f>
        <v/>
      </c>
      <c r="B222" s="29"/>
      <c r="C222" s="30"/>
      <c r="D222" s="29"/>
      <c r="E222" s="31" t="str">
        <f aca="false">IF($C222="","",IF(NOT(OR(M222="Completed",M222="NA",M222="Cancelled")),"S1 Schematic",IF(NOT(OR(R222="Completed",R222="NA",R222="Cancelled")),"S2 PCB Layout",IF(NOT(OR(W222="Completed",W222="NA",W222="Cancelled")),"S3 SI &amp; PI",IF(NOT(OR(AB222="Completed",AB222="NA",AB222="Cancelled")),"S4 Bare-PCB Fab",IF(NOT(OR(AG222="Completed",AG222="NA",AG222="Cancelled")),"S5 Assembly",IF(NOT(OR(AL222="Completed",AL222="NA",AL222="Cancelled")),"S6 Bring-up",IF(NOT(OR(AQ222="Completed",AQ222="NA",AQ222="Cancelled")),"S7 BOM Procurement","All Stages Closed"))))))))</f>
        <v/>
      </c>
      <c r="F222" s="32" t="str">
        <f aca="false">IF($C222="","",IF(COUNTIF(M222,"Cancelled")+COUNTIF(R222,"Cancelled")+COUNTIF(W222,"Cancelled")+COUNTIF(AB222,"Cancelled")+COUNTIF(AG222,"Cancelled")+COUNTIF(AL222,"Cancelled")+COUNTIF(AQ222,"Cancelled")&gt;0,"Cancelled",IF(E222="All Stages Closed","Completed",IF(E222="S1 Schematic",M222,IF(E222="S2 PCB Layout",R222,IF(E222="S3 SI &amp; PI",W222,IF(E222="S4 Bare-PCB Fab",AB222,IF(E222="S5 Assembly",AG222,IF(E222="S6 Bring-up",AL222,AQ222)))))))))</f>
        <v/>
      </c>
      <c r="G222" s="33" t="str">
        <f aca="false">IF($C222="","",IF(E222="All Stages Closed","",IF(E222="S1 Schematic",IF(N222="","Not added",N222),IF(E222="S2 PCB Layout",IF(S222="","Not added",S222),IF(E222="S3 SI &amp; PI",IF(X222="","Not added",X222),IF(E222="S4 Bare-PCB Fab",IF(AC222="","Not added",AC222),IF(E222="S5 Assembly",IF(AH222="","Not added",AH222),IF(E222="S6 Bring-up",IF(AM222="","Not added",AM222),IF(AR222="","Not added",AR222)))))))))</f>
        <v/>
      </c>
      <c r="H222" s="32" t="str">
        <f aca="true">IF($C222="","",IF(OR(F222="Completed",F222="Cancelled"),"",IF(NOT(ISNUMBER(G222)),"No date set",IF(TODAY()&gt;G222,TODAY()-G222&amp;" days late",G222-TODAY()&amp;" days left"))))</f>
        <v/>
      </c>
      <c r="I222" s="31" t="str">
        <f aca="false">IF($C222="","",COUNTIF(M222,"Completed")+COUNTIF(R222,"Completed")+COUNTIF(W222,"Completed")+COUNTIF(AB222,"Completed")+COUNTIF(AG222,"Completed")+COUNTIF(AL222,"Completed")+COUNTIF(AQ222,"Completed"))</f>
        <v/>
      </c>
      <c r="J222" s="31" t="str">
        <f aca="false">IF($C222="","",7-(COUNTIF(M222,"NA")+COUNTIF(R222,"NA")+COUNTIF(W222,"NA")+COUNTIF(AB222,"NA")+COUNTIF(AG222,"NA")+COUNTIF(AL222,"NA")+COUNTIF(AQ222,"NA")))</f>
        <v/>
      </c>
      <c r="K222" s="34" t="str">
        <f aca="false">IFERROR(I222/J222,"")</f>
        <v/>
      </c>
      <c r="L222" s="29"/>
      <c r="M222" s="35"/>
      <c r="N222" s="36"/>
      <c r="O222" s="36"/>
      <c r="P222" s="30"/>
      <c r="Q222" s="29"/>
      <c r="R222" s="35"/>
      <c r="S222" s="36"/>
      <c r="T222" s="36"/>
      <c r="U222" s="30"/>
      <c r="V222" s="29"/>
      <c r="W222" s="35"/>
      <c r="X222" s="36"/>
      <c r="Y222" s="36"/>
      <c r="Z222" s="30"/>
      <c r="AA222" s="29"/>
      <c r="AB222" s="35"/>
      <c r="AC222" s="36"/>
      <c r="AD222" s="36"/>
      <c r="AE222" s="30"/>
      <c r="AF222" s="29"/>
      <c r="AG222" s="35"/>
      <c r="AH222" s="36"/>
      <c r="AI222" s="36"/>
      <c r="AJ222" s="30"/>
      <c r="AK222" s="29"/>
      <c r="AL222" s="35"/>
      <c r="AM222" s="36"/>
      <c r="AN222" s="36"/>
      <c r="AO222" s="30"/>
      <c r="AP222" s="29"/>
      <c r="AQ222" s="35"/>
      <c r="AR222" s="36"/>
      <c r="AS222" s="36"/>
      <c r="AT222" s="30"/>
      <c r="AU222" s="29"/>
      <c r="AV222" s="29"/>
      <c r="AW222" s="29"/>
      <c r="AX222" s="37"/>
      <c r="AY222" s="39" t="str">
        <f aca="false">IF(AU222&lt;&gt;"Yes","",IF(AV222="","SELECT RE-ENTRY STAGE","MOVE TO ACTIVE at "&amp;AV222))</f>
        <v/>
      </c>
      <c r="AZ222" s="40" t="str">
        <f aca="false">IF(AU222="Yes",COUNTIF($AU$6:AU222,"Yes"),"")</f>
        <v/>
      </c>
      <c r="BA222" s="29"/>
      <c r="BB222" s="38" t="str">
        <f aca="false">IF($C222="","",IF(OR(F222="Completed",F222="Cancelled"),"",IF(AND(OR(F222="On Hold",ISNUMBER(VALUE(LEFT(H222,2)))),BA222=""),"Reason not given","")))</f>
        <v/>
      </c>
      <c r="BC222" s="30"/>
    </row>
    <row r="223" customFormat="false" ht="19.5" hidden="false" customHeight="true" outlineLevel="0" collapsed="false">
      <c r="A223" s="28" t="str">
        <f aca="false">IF($C223="","",COUNTA($C$6:$C223))</f>
        <v/>
      </c>
      <c r="B223" s="29"/>
      <c r="C223" s="30"/>
      <c r="D223" s="29"/>
      <c r="E223" s="31" t="str">
        <f aca="false">IF($C223="","",IF(NOT(OR(M223="Completed",M223="NA",M223="Cancelled")),"S1 Schematic",IF(NOT(OR(R223="Completed",R223="NA",R223="Cancelled")),"S2 PCB Layout",IF(NOT(OR(W223="Completed",W223="NA",W223="Cancelled")),"S3 SI &amp; PI",IF(NOT(OR(AB223="Completed",AB223="NA",AB223="Cancelled")),"S4 Bare-PCB Fab",IF(NOT(OR(AG223="Completed",AG223="NA",AG223="Cancelled")),"S5 Assembly",IF(NOT(OR(AL223="Completed",AL223="NA",AL223="Cancelled")),"S6 Bring-up",IF(NOT(OR(AQ223="Completed",AQ223="NA",AQ223="Cancelled")),"S7 BOM Procurement","All Stages Closed"))))))))</f>
        <v/>
      </c>
      <c r="F223" s="32" t="str">
        <f aca="false">IF($C223="","",IF(COUNTIF(M223,"Cancelled")+COUNTIF(R223,"Cancelled")+COUNTIF(W223,"Cancelled")+COUNTIF(AB223,"Cancelled")+COUNTIF(AG223,"Cancelled")+COUNTIF(AL223,"Cancelled")+COUNTIF(AQ223,"Cancelled")&gt;0,"Cancelled",IF(E223="All Stages Closed","Completed",IF(E223="S1 Schematic",M223,IF(E223="S2 PCB Layout",R223,IF(E223="S3 SI &amp; PI",W223,IF(E223="S4 Bare-PCB Fab",AB223,IF(E223="S5 Assembly",AG223,IF(E223="S6 Bring-up",AL223,AQ223)))))))))</f>
        <v/>
      </c>
      <c r="G223" s="33" t="str">
        <f aca="false">IF($C223="","",IF(E223="All Stages Closed","",IF(E223="S1 Schematic",IF(N223="","Not added",N223),IF(E223="S2 PCB Layout",IF(S223="","Not added",S223),IF(E223="S3 SI &amp; PI",IF(X223="","Not added",X223),IF(E223="S4 Bare-PCB Fab",IF(AC223="","Not added",AC223),IF(E223="S5 Assembly",IF(AH223="","Not added",AH223),IF(E223="S6 Bring-up",IF(AM223="","Not added",AM223),IF(AR223="","Not added",AR223)))))))))</f>
        <v/>
      </c>
      <c r="H223" s="32" t="str">
        <f aca="true">IF($C223="","",IF(OR(F223="Completed",F223="Cancelled"),"",IF(NOT(ISNUMBER(G223)),"No date set",IF(TODAY()&gt;G223,TODAY()-G223&amp;" days late",G223-TODAY()&amp;" days left"))))</f>
        <v/>
      </c>
      <c r="I223" s="31" t="str">
        <f aca="false">IF($C223="","",COUNTIF(M223,"Completed")+COUNTIF(R223,"Completed")+COUNTIF(W223,"Completed")+COUNTIF(AB223,"Completed")+COUNTIF(AG223,"Completed")+COUNTIF(AL223,"Completed")+COUNTIF(AQ223,"Completed"))</f>
        <v/>
      </c>
      <c r="J223" s="31" t="str">
        <f aca="false">IF($C223="","",7-(COUNTIF(M223,"NA")+COUNTIF(R223,"NA")+COUNTIF(W223,"NA")+COUNTIF(AB223,"NA")+COUNTIF(AG223,"NA")+COUNTIF(AL223,"NA")+COUNTIF(AQ223,"NA")))</f>
        <v/>
      </c>
      <c r="K223" s="34" t="str">
        <f aca="false">IFERROR(I223/J223,"")</f>
        <v/>
      </c>
      <c r="L223" s="29"/>
      <c r="M223" s="35"/>
      <c r="N223" s="36"/>
      <c r="O223" s="36"/>
      <c r="P223" s="30"/>
      <c r="Q223" s="29"/>
      <c r="R223" s="35"/>
      <c r="S223" s="36"/>
      <c r="T223" s="36"/>
      <c r="U223" s="30"/>
      <c r="V223" s="29"/>
      <c r="W223" s="35"/>
      <c r="X223" s="36"/>
      <c r="Y223" s="36"/>
      <c r="Z223" s="30"/>
      <c r="AA223" s="29"/>
      <c r="AB223" s="35"/>
      <c r="AC223" s="36"/>
      <c r="AD223" s="36"/>
      <c r="AE223" s="30"/>
      <c r="AF223" s="29"/>
      <c r="AG223" s="35"/>
      <c r="AH223" s="36"/>
      <c r="AI223" s="36"/>
      <c r="AJ223" s="30"/>
      <c r="AK223" s="29"/>
      <c r="AL223" s="35"/>
      <c r="AM223" s="36"/>
      <c r="AN223" s="36"/>
      <c r="AO223" s="30"/>
      <c r="AP223" s="29"/>
      <c r="AQ223" s="35"/>
      <c r="AR223" s="36"/>
      <c r="AS223" s="36"/>
      <c r="AT223" s="30"/>
      <c r="AU223" s="29"/>
      <c r="AV223" s="29"/>
      <c r="AW223" s="29"/>
      <c r="AX223" s="37"/>
      <c r="AY223" s="39" t="str">
        <f aca="false">IF(AU223&lt;&gt;"Yes","",IF(AV223="","SELECT RE-ENTRY STAGE","MOVE TO ACTIVE at "&amp;AV223))</f>
        <v/>
      </c>
      <c r="AZ223" s="40" t="str">
        <f aca="false">IF(AU223="Yes",COUNTIF($AU$6:AU223,"Yes"),"")</f>
        <v/>
      </c>
      <c r="BA223" s="29"/>
      <c r="BB223" s="38" t="str">
        <f aca="false">IF($C223="","",IF(OR(F223="Completed",F223="Cancelled"),"",IF(AND(OR(F223="On Hold",ISNUMBER(VALUE(LEFT(H223,2)))),BA223=""),"Reason not given","")))</f>
        <v/>
      </c>
      <c r="BC223" s="30"/>
    </row>
    <row r="224" customFormat="false" ht="19.5" hidden="false" customHeight="true" outlineLevel="0" collapsed="false">
      <c r="A224" s="28" t="str">
        <f aca="false">IF($C224="","",COUNTA($C$6:$C224))</f>
        <v/>
      </c>
      <c r="B224" s="29"/>
      <c r="C224" s="30"/>
      <c r="D224" s="29"/>
      <c r="E224" s="31" t="str">
        <f aca="false">IF($C224="","",IF(NOT(OR(M224="Completed",M224="NA",M224="Cancelled")),"S1 Schematic",IF(NOT(OR(R224="Completed",R224="NA",R224="Cancelled")),"S2 PCB Layout",IF(NOT(OR(W224="Completed",W224="NA",W224="Cancelled")),"S3 SI &amp; PI",IF(NOT(OR(AB224="Completed",AB224="NA",AB224="Cancelled")),"S4 Bare-PCB Fab",IF(NOT(OR(AG224="Completed",AG224="NA",AG224="Cancelled")),"S5 Assembly",IF(NOT(OR(AL224="Completed",AL224="NA",AL224="Cancelled")),"S6 Bring-up",IF(NOT(OR(AQ224="Completed",AQ224="NA",AQ224="Cancelled")),"S7 BOM Procurement","All Stages Closed"))))))))</f>
        <v/>
      </c>
      <c r="F224" s="32" t="str">
        <f aca="false">IF($C224="","",IF(COUNTIF(M224,"Cancelled")+COUNTIF(R224,"Cancelled")+COUNTIF(W224,"Cancelled")+COUNTIF(AB224,"Cancelled")+COUNTIF(AG224,"Cancelled")+COUNTIF(AL224,"Cancelled")+COUNTIF(AQ224,"Cancelled")&gt;0,"Cancelled",IF(E224="All Stages Closed","Completed",IF(E224="S1 Schematic",M224,IF(E224="S2 PCB Layout",R224,IF(E224="S3 SI &amp; PI",W224,IF(E224="S4 Bare-PCB Fab",AB224,IF(E224="S5 Assembly",AG224,IF(E224="S6 Bring-up",AL224,AQ224)))))))))</f>
        <v/>
      </c>
      <c r="G224" s="33" t="str">
        <f aca="false">IF($C224="","",IF(E224="All Stages Closed","",IF(E224="S1 Schematic",IF(N224="","Not added",N224),IF(E224="S2 PCB Layout",IF(S224="","Not added",S224),IF(E224="S3 SI &amp; PI",IF(X224="","Not added",X224),IF(E224="S4 Bare-PCB Fab",IF(AC224="","Not added",AC224),IF(E224="S5 Assembly",IF(AH224="","Not added",AH224),IF(E224="S6 Bring-up",IF(AM224="","Not added",AM224),IF(AR224="","Not added",AR224)))))))))</f>
        <v/>
      </c>
      <c r="H224" s="32" t="str">
        <f aca="true">IF($C224="","",IF(OR(F224="Completed",F224="Cancelled"),"",IF(NOT(ISNUMBER(G224)),"No date set",IF(TODAY()&gt;G224,TODAY()-G224&amp;" days late",G224-TODAY()&amp;" days left"))))</f>
        <v/>
      </c>
      <c r="I224" s="31" t="str">
        <f aca="false">IF($C224="","",COUNTIF(M224,"Completed")+COUNTIF(R224,"Completed")+COUNTIF(W224,"Completed")+COUNTIF(AB224,"Completed")+COUNTIF(AG224,"Completed")+COUNTIF(AL224,"Completed")+COUNTIF(AQ224,"Completed"))</f>
        <v/>
      </c>
      <c r="J224" s="31" t="str">
        <f aca="false">IF($C224="","",7-(COUNTIF(M224,"NA")+COUNTIF(R224,"NA")+COUNTIF(W224,"NA")+COUNTIF(AB224,"NA")+COUNTIF(AG224,"NA")+COUNTIF(AL224,"NA")+COUNTIF(AQ224,"NA")))</f>
        <v/>
      </c>
      <c r="K224" s="34" t="str">
        <f aca="false">IFERROR(I224/J224,"")</f>
        <v/>
      </c>
      <c r="L224" s="29"/>
      <c r="M224" s="35"/>
      <c r="N224" s="36"/>
      <c r="O224" s="36"/>
      <c r="P224" s="30"/>
      <c r="Q224" s="29"/>
      <c r="R224" s="35"/>
      <c r="S224" s="36"/>
      <c r="T224" s="36"/>
      <c r="U224" s="30"/>
      <c r="V224" s="29"/>
      <c r="W224" s="35"/>
      <c r="X224" s="36"/>
      <c r="Y224" s="36"/>
      <c r="Z224" s="30"/>
      <c r="AA224" s="29"/>
      <c r="AB224" s="35"/>
      <c r="AC224" s="36"/>
      <c r="AD224" s="36"/>
      <c r="AE224" s="30"/>
      <c r="AF224" s="29"/>
      <c r="AG224" s="35"/>
      <c r="AH224" s="36"/>
      <c r="AI224" s="36"/>
      <c r="AJ224" s="30"/>
      <c r="AK224" s="29"/>
      <c r="AL224" s="35"/>
      <c r="AM224" s="36"/>
      <c r="AN224" s="36"/>
      <c r="AO224" s="30"/>
      <c r="AP224" s="29"/>
      <c r="AQ224" s="35"/>
      <c r="AR224" s="36"/>
      <c r="AS224" s="36"/>
      <c r="AT224" s="30"/>
      <c r="AU224" s="29"/>
      <c r="AV224" s="29"/>
      <c r="AW224" s="29"/>
      <c r="AX224" s="37"/>
      <c r="AY224" s="39" t="str">
        <f aca="false">IF(AU224&lt;&gt;"Yes","",IF(AV224="","SELECT RE-ENTRY STAGE","MOVE TO ACTIVE at "&amp;AV224))</f>
        <v/>
      </c>
      <c r="AZ224" s="40" t="str">
        <f aca="false">IF(AU224="Yes",COUNTIF($AU$6:AU224,"Yes"),"")</f>
        <v/>
      </c>
      <c r="BA224" s="29"/>
      <c r="BB224" s="38" t="str">
        <f aca="false">IF($C224="","",IF(OR(F224="Completed",F224="Cancelled"),"",IF(AND(OR(F224="On Hold",ISNUMBER(VALUE(LEFT(H224,2)))),BA224=""),"Reason not given","")))</f>
        <v/>
      </c>
      <c r="BC224" s="30"/>
    </row>
    <row r="225" customFormat="false" ht="19.5" hidden="false" customHeight="true" outlineLevel="0" collapsed="false">
      <c r="A225" s="28" t="str">
        <f aca="false">IF($C225="","",COUNTA($C$6:$C225))</f>
        <v/>
      </c>
      <c r="B225" s="29"/>
      <c r="C225" s="30"/>
      <c r="D225" s="29"/>
      <c r="E225" s="31" t="str">
        <f aca="false">IF($C225="","",IF(NOT(OR(M225="Completed",M225="NA",M225="Cancelled")),"S1 Schematic",IF(NOT(OR(R225="Completed",R225="NA",R225="Cancelled")),"S2 PCB Layout",IF(NOT(OR(W225="Completed",W225="NA",W225="Cancelled")),"S3 SI &amp; PI",IF(NOT(OR(AB225="Completed",AB225="NA",AB225="Cancelled")),"S4 Bare-PCB Fab",IF(NOT(OR(AG225="Completed",AG225="NA",AG225="Cancelled")),"S5 Assembly",IF(NOT(OR(AL225="Completed",AL225="NA",AL225="Cancelled")),"S6 Bring-up",IF(NOT(OR(AQ225="Completed",AQ225="NA",AQ225="Cancelled")),"S7 BOM Procurement","All Stages Closed"))))))))</f>
        <v/>
      </c>
      <c r="F225" s="32" t="str">
        <f aca="false">IF($C225="","",IF(COUNTIF(M225,"Cancelled")+COUNTIF(R225,"Cancelled")+COUNTIF(W225,"Cancelled")+COUNTIF(AB225,"Cancelled")+COUNTIF(AG225,"Cancelled")+COUNTIF(AL225,"Cancelled")+COUNTIF(AQ225,"Cancelled")&gt;0,"Cancelled",IF(E225="All Stages Closed","Completed",IF(E225="S1 Schematic",M225,IF(E225="S2 PCB Layout",R225,IF(E225="S3 SI &amp; PI",W225,IF(E225="S4 Bare-PCB Fab",AB225,IF(E225="S5 Assembly",AG225,IF(E225="S6 Bring-up",AL225,AQ225)))))))))</f>
        <v/>
      </c>
      <c r="G225" s="33" t="str">
        <f aca="false">IF($C225="","",IF(E225="All Stages Closed","",IF(E225="S1 Schematic",IF(N225="","Not added",N225),IF(E225="S2 PCB Layout",IF(S225="","Not added",S225),IF(E225="S3 SI &amp; PI",IF(X225="","Not added",X225),IF(E225="S4 Bare-PCB Fab",IF(AC225="","Not added",AC225),IF(E225="S5 Assembly",IF(AH225="","Not added",AH225),IF(E225="S6 Bring-up",IF(AM225="","Not added",AM225),IF(AR225="","Not added",AR225)))))))))</f>
        <v/>
      </c>
      <c r="H225" s="32" t="str">
        <f aca="true">IF($C225="","",IF(OR(F225="Completed",F225="Cancelled"),"",IF(NOT(ISNUMBER(G225)),"No date set",IF(TODAY()&gt;G225,TODAY()-G225&amp;" days late",G225-TODAY()&amp;" days left"))))</f>
        <v/>
      </c>
      <c r="I225" s="31" t="str">
        <f aca="false">IF($C225="","",COUNTIF(M225,"Completed")+COUNTIF(R225,"Completed")+COUNTIF(W225,"Completed")+COUNTIF(AB225,"Completed")+COUNTIF(AG225,"Completed")+COUNTIF(AL225,"Completed")+COUNTIF(AQ225,"Completed"))</f>
        <v/>
      </c>
      <c r="J225" s="31" t="str">
        <f aca="false">IF($C225="","",7-(COUNTIF(M225,"NA")+COUNTIF(R225,"NA")+COUNTIF(W225,"NA")+COUNTIF(AB225,"NA")+COUNTIF(AG225,"NA")+COUNTIF(AL225,"NA")+COUNTIF(AQ225,"NA")))</f>
        <v/>
      </c>
      <c r="K225" s="34" t="str">
        <f aca="false">IFERROR(I225/J225,"")</f>
        <v/>
      </c>
      <c r="L225" s="29"/>
      <c r="M225" s="35"/>
      <c r="N225" s="36"/>
      <c r="O225" s="36"/>
      <c r="P225" s="30"/>
      <c r="Q225" s="29"/>
      <c r="R225" s="35"/>
      <c r="S225" s="36"/>
      <c r="T225" s="36"/>
      <c r="U225" s="30"/>
      <c r="V225" s="29"/>
      <c r="W225" s="35"/>
      <c r="X225" s="36"/>
      <c r="Y225" s="36"/>
      <c r="Z225" s="30"/>
      <c r="AA225" s="29"/>
      <c r="AB225" s="35"/>
      <c r="AC225" s="36"/>
      <c r="AD225" s="36"/>
      <c r="AE225" s="30"/>
      <c r="AF225" s="29"/>
      <c r="AG225" s="35"/>
      <c r="AH225" s="36"/>
      <c r="AI225" s="36"/>
      <c r="AJ225" s="30"/>
      <c r="AK225" s="29"/>
      <c r="AL225" s="35"/>
      <c r="AM225" s="36"/>
      <c r="AN225" s="36"/>
      <c r="AO225" s="30"/>
      <c r="AP225" s="29"/>
      <c r="AQ225" s="35"/>
      <c r="AR225" s="36"/>
      <c r="AS225" s="36"/>
      <c r="AT225" s="30"/>
      <c r="AU225" s="29"/>
      <c r="AV225" s="29"/>
      <c r="AW225" s="29"/>
      <c r="AX225" s="37"/>
      <c r="AY225" s="39" t="str">
        <f aca="false">IF(AU225&lt;&gt;"Yes","",IF(AV225="","SELECT RE-ENTRY STAGE","MOVE TO ACTIVE at "&amp;AV225))</f>
        <v/>
      </c>
      <c r="AZ225" s="40" t="str">
        <f aca="false">IF(AU225="Yes",COUNTIF($AU$6:AU225,"Yes"),"")</f>
        <v/>
      </c>
      <c r="BA225" s="29"/>
      <c r="BB225" s="38" t="str">
        <f aca="false">IF($C225="","",IF(OR(F225="Completed",F225="Cancelled"),"",IF(AND(OR(F225="On Hold",ISNUMBER(VALUE(LEFT(H225,2)))),BA225=""),"Reason not given","")))</f>
        <v/>
      </c>
      <c r="BC225" s="30"/>
    </row>
    <row r="226" customFormat="false" ht="19.5" hidden="false" customHeight="true" outlineLevel="0" collapsed="false">
      <c r="A226" s="28" t="str">
        <f aca="false">IF($C226="","",COUNTA($C$6:$C226))</f>
        <v/>
      </c>
      <c r="B226" s="29"/>
      <c r="C226" s="30"/>
      <c r="D226" s="29"/>
      <c r="E226" s="31" t="str">
        <f aca="false">IF($C226="","",IF(NOT(OR(M226="Completed",M226="NA",M226="Cancelled")),"S1 Schematic",IF(NOT(OR(R226="Completed",R226="NA",R226="Cancelled")),"S2 PCB Layout",IF(NOT(OR(W226="Completed",W226="NA",W226="Cancelled")),"S3 SI &amp; PI",IF(NOT(OR(AB226="Completed",AB226="NA",AB226="Cancelled")),"S4 Bare-PCB Fab",IF(NOT(OR(AG226="Completed",AG226="NA",AG226="Cancelled")),"S5 Assembly",IF(NOT(OR(AL226="Completed",AL226="NA",AL226="Cancelled")),"S6 Bring-up",IF(NOT(OR(AQ226="Completed",AQ226="NA",AQ226="Cancelled")),"S7 BOM Procurement","All Stages Closed"))))))))</f>
        <v/>
      </c>
      <c r="F226" s="32" t="str">
        <f aca="false">IF($C226="","",IF(COUNTIF(M226,"Cancelled")+COUNTIF(R226,"Cancelled")+COUNTIF(W226,"Cancelled")+COUNTIF(AB226,"Cancelled")+COUNTIF(AG226,"Cancelled")+COUNTIF(AL226,"Cancelled")+COUNTIF(AQ226,"Cancelled")&gt;0,"Cancelled",IF(E226="All Stages Closed","Completed",IF(E226="S1 Schematic",M226,IF(E226="S2 PCB Layout",R226,IF(E226="S3 SI &amp; PI",W226,IF(E226="S4 Bare-PCB Fab",AB226,IF(E226="S5 Assembly",AG226,IF(E226="S6 Bring-up",AL226,AQ226)))))))))</f>
        <v/>
      </c>
      <c r="G226" s="33" t="str">
        <f aca="false">IF($C226="","",IF(E226="All Stages Closed","",IF(E226="S1 Schematic",IF(N226="","Not added",N226),IF(E226="S2 PCB Layout",IF(S226="","Not added",S226),IF(E226="S3 SI &amp; PI",IF(X226="","Not added",X226),IF(E226="S4 Bare-PCB Fab",IF(AC226="","Not added",AC226),IF(E226="S5 Assembly",IF(AH226="","Not added",AH226),IF(E226="S6 Bring-up",IF(AM226="","Not added",AM226),IF(AR226="","Not added",AR226)))))))))</f>
        <v/>
      </c>
      <c r="H226" s="32" t="str">
        <f aca="true">IF($C226="","",IF(OR(F226="Completed",F226="Cancelled"),"",IF(NOT(ISNUMBER(G226)),"No date set",IF(TODAY()&gt;G226,TODAY()-G226&amp;" days late",G226-TODAY()&amp;" days left"))))</f>
        <v/>
      </c>
      <c r="I226" s="31" t="str">
        <f aca="false">IF($C226="","",COUNTIF(M226,"Completed")+COUNTIF(R226,"Completed")+COUNTIF(W226,"Completed")+COUNTIF(AB226,"Completed")+COUNTIF(AG226,"Completed")+COUNTIF(AL226,"Completed")+COUNTIF(AQ226,"Completed"))</f>
        <v/>
      </c>
      <c r="J226" s="31" t="str">
        <f aca="false">IF($C226="","",7-(COUNTIF(M226,"NA")+COUNTIF(R226,"NA")+COUNTIF(W226,"NA")+COUNTIF(AB226,"NA")+COUNTIF(AG226,"NA")+COUNTIF(AL226,"NA")+COUNTIF(AQ226,"NA")))</f>
        <v/>
      </c>
      <c r="K226" s="34" t="str">
        <f aca="false">IFERROR(I226/J226,"")</f>
        <v/>
      </c>
      <c r="L226" s="29"/>
      <c r="M226" s="35"/>
      <c r="N226" s="36"/>
      <c r="O226" s="36"/>
      <c r="P226" s="30"/>
      <c r="Q226" s="29"/>
      <c r="R226" s="35"/>
      <c r="S226" s="36"/>
      <c r="T226" s="36"/>
      <c r="U226" s="30"/>
      <c r="V226" s="29"/>
      <c r="W226" s="35"/>
      <c r="X226" s="36"/>
      <c r="Y226" s="36"/>
      <c r="Z226" s="30"/>
      <c r="AA226" s="29"/>
      <c r="AB226" s="35"/>
      <c r="AC226" s="36"/>
      <c r="AD226" s="36"/>
      <c r="AE226" s="30"/>
      <c r="AF226" s="29"/>
      <c r="AG226" s="35"/>
      <c r="AH226" s="36"/>
      <c r="AI226" s="36"/>
      <c r="AJ226" s="30"/>
      <c r="AK226" s="29"/>
      <c r="AL226" s="35"/>
      <c r="AM226" s="36"/>
      <c r="AN226" s="36"/>
      <c r="AO226" s="30"/>
      <c r="AP226" s="29"/>
      <c r="AQ226" s="35"/>
      <c r="AR226" s="36"/>
      <c r="AS226" s="36"/>
      <c r="AT226" s="30"/>
      <c r="AU226" s="29"/>
      <c r="AV226" s="29"/>
      <c r="AW226" s="29"/>
      <c r="AX226" s="37"/>
      <c r="AY226" s="39" t="str">
        <f aca="false">IF(AU226&lt;&gt;"Yes","",IF(AV226="","SELECT RE-ENTRY STAGE","MOVE TO ACTIVE at "&amp;AV226))</f>
        <v/>
      </c>
      <c r="AZ226" s="40" t="str">
        <f aca="false">IF(AU226="Yes",COUNTIF($AU$6:AU226,"Yes"),"")</f>
        <v/>
      </c>
      <c r="BA226" s="29"/>
      <c r="BB226" s="38" t="str">
        <f aca="false">IF($C226="","",IF(OR(F226="Completed",F226="Cancelled"),"",IF(AND(OR(F226="On Hold",ISNUMBER(VALUE(LEFT(H226,2)))),BA226=""),"Reason not given","")))</f>
        <v/>
      </c>
      <c r="BC226" s="30"/>
    </row>
    <row r="227" customFormat="false" ht="19.5" hidden="false" customHeight="true" outlineLevel="0" collapsed="false">
      <c r="A227" s="28" t="str">
        <f aca="false">IF($C227="","",COUNTA($C$6:$C227))</f>
        <v/>
      </c>
      <c r="B227" s="29"/>
      <c r="C227" s="30"/>
      <c r="D227" s="29"/>
      <c r="E227" s="31" t="str">
        <f aca="false">IF($C227="","",IF(NOT(OR(M227="Completed",M227="NA",M227="Cancelled")),"S1 Schematic",IF(NOT(OR(R227="Completed",R227="NA",R227="Cancelled")),"S2 PCB Layout",IF(NOT(OR(W227="Completed",W227="NA",W227="Cancelled")),"S3 SI &amp; PI",IF(NOT(OR(AB227="Completed",AB227="NA",AB227="Cancelled")),"S4 Bare-PCB Fab",IF(NOT(OR(AG227="Completed",AG227="NA",AG227="Cancelled")),"S5 Assembly",IF(NOT(OR(AL227="Completed",AL227="NA",AL227="Cancelled")),"S6 Bring-up",IF(NOT(OR(AQ227="Completed",AQ227="NA",AQ227="Cancelled")),"S7 BOM Procurement","All Stages Closed"))))))))</f>
        <v/>
      </c>
      <c r="F227" s="32" t="str">
        <f aca="false">IF($C227="","",IF(COUNTIF(M227,"Cancelled")+COUNTIF(R227,"Cancelled")+COUNTIF(W227,"Cancelled")+COUNTIF(AB227,"Cancelled")+COUNTIF(AG227,"Cancelled")+COUNTIF(AL227,"Cancelled")+COUNTIF(AQ227,"Cancelled")&gt;0,"Cancelled",IF(E227="All Stages Closed","Completed",IF(E227="S1 Schematic",M227,IF(E227="S2 PCB Layout",R227,IF(E227="S3 SI &amp; PI",W227,IF(E227="S4 Bare-PCB Fab",AB227,IF(E227="S5 Assembly",AG227,IF(E227="S6 Bring-up",AL227,AQ227)))))))))</f>
        <v/>
      </c>
      <c r="G227" s="33" t="str">
        <f aca="false">IF($C227="","",IF(E227="All Stages Closed","",IF(E227="S1 Schematic",IF(N227="","Not added",N227),IF(E227="S2 PCB Layout",IF(S227="","Not added",S227),IF(E227="S3 SI &amp; PI",IF(X227="","Not added",X227),IF(E227="S4 Bare-PCB Fab",IF(AC227="","Not added",AC227),IF(E227="S5 Assembly",IF(AH227="","Not added",AH227),IF(E227="S6 Bring-up",IF(AM227="","Not added",AM227),IF(AR227="","Not added",AR227)))))))))</f>
        <v/>
      </c>
      <c r="H227" s="32" t="str">
        <f aca="true">IF($C227="","",IF(OR(F227="Completed",F227="Cancelled"),"",IF(NOT(ISNUMBER(G227)),"No date set",IF(TODAY()&gt;G227,TODAY()-G227&amp;" days late",G227-TODAY()&amp;" days left"))))</f>
        <v/>
      </c>
      <c r="I227" s="31" t="str">
        <f aca="false">IF($C227="","",COUNTIF(M227,"Completed")+COUNTIF(R227,"Completed")+COUNTIF(W227,"Completed")+COUNTIF(AB227,"Completed")+COUNTIF(AG227,"Completed")+COUNTIF(AL227,"Completed")+COUNTIF(AQ227,"Completed"))</f>
        <v/>
      </c>
      <c r="J227" s="31" t="str">
        <f aca="false">IF($C227="","",7-(COUNTIF(M227,"NA")+COUNTIF(R227,"NA")+COUNTIF(W227,"NA")+COUNTIF(AB227,"NA")+COUNTIF(AG227,"NA")+COUNTIF(AL227,"NA")+COUNTIF(AQ227,"NA")))</f>
        <v/>
      </c>
      <c r="K227" s="34" t="str">
        <f aca="false">IFERROR(I227/J227,"")</f>
        <v/>
      </c>
      <c r="L227" s="29"/>
      <c r="M227" s="35"/>
      <c r="N227" s="36"/>
      <c r="O227" s="36"/>
      <c r="P227" s="30"/>
      <c r="Q227" s="29"/>
      <c r="R227" s="35"/>
      <c r="S227" s="36"/>
      <c r="T227" s="36"/>
      <c r="U227" s="30"/>
      <c r="V227" s="29"/>
      <c r="W227" s="35"/>
      <c r="X227" s="36"/>
      <c r="Y227" s="36"/>
      <c r="Z227" s="30"/>
      <c r="AA227" s="29"/>
      <c r="AB227" s="35"/>
      <c r="AC227" s="36"/>
      <c r="AD227" s="36"/>
      <c r="AE227" s="30"/>
      <c r="AF227" s="29"/>
      <c r="AG227" s="35"/>
      <c r="AH227" s="36"/>
      <c r="AI227" s="36"/>
      <c r="AJ227" s="30"/>
      <c r="AK227" s="29"/>
      <c r="AL227" s="35"/>
      <c r="AM227" s="36"/>
      <c r="AN227" s="36"/>
      <c r="AO227" s="30"/>
      <c r="AP227" s="29"/>
      <c r="AQ227" s="35"/>
      <c r="AR227" s="36"/>
      <c r="AS227" s="36"/>
      <c r="AT227" s="30"/>
      <c r="AU227" s="29"/>
      <c r="AV227" s="29"/>
      <c r="AW227" s="29"/>
      <c r="AX227" s="37"/>
      <c r="AY227" s="39" t="str">
        <f aca="false">IF(AU227&lt;&gt;"Yes","",IF(AV227="","SELECT RE-ENTRY STAGE","MOVE TO ACTIVE at "&amp;AV227))</f>
        <v/>
      </c>
      <c r="AZ227" s="40" t="str">
        <f aca="false">IF(AU227="Yes",COUNTIF($AU$6:AU227,"Yes"),"")</f>
        <v/>
      </c>
      <c r="BA227" s="29"/>
      <c r="BB227" s="38" t="str">
        <f aca="false">IF($C227="","",IF(OR(F227="Completed",F227="Cancelled"),"",IF(AND(OR(F227="On Hold",ISNUMBER(VALUE(LEFT(H227,2)))),BA227=""),"Reason not given","")))</f>
        <v/>
      </c>
      <c r="BC227" s="30"/>
    </row>
    <row r="228" customFormat="false" ht="19.5" hidden="false" customHeight="true" outlineLevel="0" collapsed="false">
      <c r="A228" s="28" t="str">
        <f aca="false">IF($C228="","",COUNTA($C$6:$C228))</f>
        <v/>
      </c>
      <c r="B228" s="29"/>
      <c r="C228" s="30"/>
      <c r="D228" s="29"/>
      <c r="E228" s="31" t="str">
        <f aca="false">IF($C228="","",IF(NOT(OR(M228="Completed",M228="NA",M228="Cancelled")),"S1 Schematic",IF(NOT(OR(R228="Completed",R228="NA",R228="Cancelled")),"S2 PCB Layout",IF(NOT(OR(W228="Completed",W228="NA",W228="Cancelled")),"S3 SI &amp; PI",IF(NOT(OR(AB228="Completed",AB228="NA",AB228="Cancelled")),"S4 Bare-PCB Fab",IF(NOT(OR(AG228="Completed",AG228="NA",AG228="Cancelled")),"S5 Assembly",IF(NOT(OR(AL228="Completed",AL228="NA",AL228="Cancelled")),"S6 Bring-up",IF(NOT(OR(AQ228="Completed",AQ228="NA",AQ228="Cancelled")),"S7 BOM Procurement","All Stages Closed"))))))))</f>
        <v/>
      </c>
      <c r="F228" s="32" t="str">
        <f aca="false">IF($C228="","",IF(COUNTIF(M228,"Cancelled")+COUNTIF(R228,"Cancelled")+COUNTIF(W228,"Cancelled")+COUNTIF(AB228,"Cancelled")+COUNTIF(AG228,"Cancelled")+COUNTIF(AL228,"Cancelled")+COUNTIF(AQ228,"Cancelled")&gt;0,"Cancelled",IF(E228="All Stages Closed","Completed",IF(E228="S1 Schematic",M228,IF(E228="S2 PCB Layout",R228,IF(E228="S3 SI &amp; PI",W228,IF(E228="S4 Bare-PCB Fab",AB228,IF(E228="S5 Assembly",AG228,IF(E228="S6 Bring-up",AL228,AQ228)))))))))</f>
        <v/>
      </c>
      <c r="G228" s="33" t="str">
        <f aca="false">IF($C228="","",IF(E228="All Stages Closed","",IF(E228="S1 Schematic",IF(N228="","Not added",N228),IF(E228="S2 PCB Layout",IF(S228="","Not added",S228),IF(E228="S3 SI &amp; PI",IF(X228="","Not added",X228),IF(E228="S4 Bare-PCB Fab",IF(AC228="","Not added",AC228),IF(E228="S5 Assembly",IF(AH228="","Not added",AH228),IF(E228="S6 Bring-up",IF(AM228="","Not added",AM228),IF(AR228="","Not added",AR228)))))))))</f>
        <v/>
      </c>
      <c r="H228" s="32" t="str">
        <f aca="true">IF($C228="","",IF(OR(F228="Completed",F228="Cancelled"),"",IF(NOT(ISNUMBER(G228)),"No date set",IF(TODAY()&gt;G228,TODAY()-G228&amp;" days late",G228-TODAY()&amp;" days left"))))</f>
        <v/>
      </c>
      <c r="I228" s="31" t="str">
        <f aca="false">IF($C228="","",COUNTIF(M228,"Completed")+COUNTIF(R228,"Completed")+COUNTIF(W228,"Completed")+COUNTIF(AB228,"Completed")+COUNTIF(AG228,"Completed")+COUNTIF(AL228,"Completed")+COUNTIF(AQ228,"Completed"))</f>
        <v/>
      </c>
      <c r="J228" s="31" t="str">
        <f aca="false">IF($C228="","",7-(COUNTIF(M228,"NA")+COUNTIF(R228,"NA")+COUNTIF(W228,"NA")+COUNTIF(AB228,"NA")+COUNTIF(AG228,"NA")+COUNTIF(AL228,"NA")+COUNTIF(AQ228,"NA")))</f>
        <v/>
      </c>
      <c r="K228" s="34" t="str">
        <f aca="false">IFERROR(I228/J228,"")</f>
        <v/>
      </c>
      <c r="L228" s="29"/>
      <c r="M228" s="35"/>
      <c r="N228" s="36"/>
      <c r="O228" s="36"/>
      <c r="P228" s="30"/>
      <c r="Q228" s="29"/>
      <c r="R228" s="35"/>
      <c r="S228" s="36"/>
      <c r="T228" s="36"/>
      <c r="U228" s="30"/>
      <c r="V228" s="29"/>
      <c r="W228" s="35"/>
      <c r="X228" s="36"/>
      <c r="Y228" s="36"/>
      <c r="Z228" s="30"/>
      <c r="AA228" s="29"/>
      <c r="AB228" s="35"/>
      <c r="AC228" s="36"/>
      <c r="AD228" s="36"/>
      <c r="AE228" s="30"/>
      <c r="AF228" s="29"/>
      <c r="AG228" s="35"/>
      <c r="AH228" s="36"/>
      <c r="AI228" s="36"/>
      <c r="AJ228" s="30"/>
      <c r="AK228" s="29"/>
      <c r="AL228" s="35"/>
      <c r="AM228" s="36"/>
      <c r="AN228" s="36"/>
      <c r="AO228" s="30"/>
      <c r="AP228" s="29"/>
      <c r="AQ228" s="35"/>
      <c r="AR228" s="36"/>
      <c r="AS228" s="36"/>
      <c r="AT228" s="30"/>
      <c r="AU228" s="29"/>
      <c r="AV228" s="29"/>
      <c r="AW228" s="29"/>
      <c r="AX228" s="37"/>
      <c r="AY228" s="39" t="str">
        <f aca="false">IF(AU228&lt;&gt;"Yes","",IF(AV228="","SELECT RE-ENTRY STAGE","MOVE TO ACTIVE at "&amp;AV228))</f>
        <v/>
      </c>
      <c r="AZ228" s="40" t="str">
        <f aca="false">IF(AU228="Yes",COUNTIF($AU$6:AU228,"Yes"),"")</f>
        <v/>
      </c>
      <c r="BA228" s="29"/>
      <c r="BB228" s="38" t="str">
        <f aca="false">IF($C228="","",IF(OR(F228="Completed",F228="Cancelled"),"",IF(AND(OR(F228="On Hold",ISNUMBER(VALUE(LEFT(H228,2)))),BA228=""),"Reason not given","")))</f>
        <v/>
      </c>
      <c r="BC228" s="30"/>
    </row>
    <row r="229" customFormat="false" ht="19.5" hidden="false" customHeight="true" outlineLevel="0" collapsed="false">
      <c r="A229" s="28" t="str">
        <f aca="false">IF($C229="","",COUNTA($C$6:$C229))</f>
        <v/>
      </c>
      <c r="B229" s="29"/>
      <c r="C229" s="30"/>
      <c r="D229" s="29"/>
      <c r="E229" s="31" t="str">
        <f aca="false">IF($C229="","",IF(NOT(OR(M229="Completed",M229="NA",M229="Cancelled")),"S1 Schematic",IF(NOT(OR(R229="Completed",R229="NA",R229="Cancelled")),"S2 PCB Layout",IF(NOT(OR(W229="Completed",W229="NA",W229="Cancelled")),"S3 SI &amp; PI",IF(NOT(OR(AB229="Completed",AB229="NA",AB229="Cancelled")),"S4 Bare-PCB Fab",IF(NOT(OR(AG229="Completed",AG229="NA",AG229="Cancelled")),"S5 Assembly",IF(NOT(OR(AL229="Completed",AL229="NA",AL229="Cancelled")),"S6 Bring-up",IF(NOT(OR(AQ229="Completed",AQ229="NA",AQ229="Cancelled")),"S7 BOM Procurement","All Stages Closed"))))))))</f>
        <v/>
      </c>
      <c r="F229" s="32" t="str">
        <f aca="false">IF($C229="","",IF(COUNTIF(M229,"Cancelled")+COUNTIF(R229,"Cancelled")+COUNTIF(W229,"Cancelled")+COUNTIF(AB229,"Cancelled")+COUNTIF(AG229,"Cancelled")+COUNTIF(AL229,"Cancelled")+COUNTIF(AQ229,"Cancelled")&gt;0,"Cancelled",IF(E229="All Stages Closed","Completed",IF(E229="S1 Schematic",M229,IF(E229="S2 PCB Layout",R229,IF(E229="S3 SI &amp; PI",W229,IF(E229="S4 Bare-PCB Fab",AB229,IF(E229="S5 Assembly",AG229,IF(E229="S6 Bring-up",AL229,AQ229)))))))))</f>
        <v/>
      </c>
      <c r="G229" s="33" t="str">
        <f aca="false">IF($C229="","",IF(E229="All Stages Closed","",IF(E229="S1 Schematic",IF(N229="","Not added",N229),IF(E229="S2 PCB Layout",IF(S229="","Not added",S229),IF(E229="S3 SI &amp; PI",IF(X229="","Not added",X229),IF(E229="S4 Bare-PCB Fab",IF(AC229="","Not added",AC229),IF(E229="S5 Assembly",IF(AH229="","Not added",AH229),IF(E229="S6 Bring-up",IF(AM229="","Not added",AM229),IF(AR229="","Not added",AR229)))))))))</f>
        <v/>
      </c>
      <c r="H229" s="32" t="str">
        <f aca="true">IF($C229="","",IF(OR(F229="Completed",F229="Cancelled"),"",IF(NOT(ISNUMBER(G229)),"No date set",IF(TODAY()&gt;G229,TODAY()-G229&amp;" days late",G229-TODAY()&amp;" days left"))))</f>
        <v/>
      </c>
      <c r="I229" s="31" t="str">
        <f aca="false">IF($C229="","",COUNTIF(M229,"Completed")+COUNTIF(R229,"Completed")+COUNTIF(W229,"Completed")+COUNTIF(AB229,"Completed")+COUNTIF(AG229,"Completed")+COUNTIF(AL229,"Completed")+COUNTIF(AQ229,"Completed"))</f>
        <v/>
      </c>
      <c r="J229" s="31" t="str">
        <f aca="false">IF($C229="","",7-(COUNTIF(M229,"NA")+COUNTIF(R229,"NA")+COUNTIF(W229,"NA")+COUNTIF(AB229,"NA")+COUNTIF(AG229,"NA")+COUNTIF(AL229,"NA")+COUNTIF(AQ229,"NA")))</f>
        <v/>
      </c>
      <c r="K229" s="34" t="str">
        <f aca="false">IFERROR(I229/J229,"")</f>
        <v/>
      </c>
      <c r="L229" s="29"/>
      <c r="M229" s="35"/>
      <c r="N229" s="36"/>
      <c r="O229" s="36"/>
      <c r="P229" s="30"/>
      <c r="Q229" s="29"/>
      <c r="R229" s="35"/>
      <c r="S229" s="36"/>
      <c r="T229" s="36"/>
      <c r="U229" s="30"/>
      <c r="V229" s="29"/>
      <c r="W229" s="35"/>
      <c r="X229" s="36"/>
      <c r="Y229" s="36"/>
      <c r="Z229" s="30"/>
      <c r="AA229" s="29"/>
      <c r="AB229" s="35"/>
      <c r="AC229" s="36"/>
      <c r="AD229" s="36"/>
      <c r="AE229" s="30"/>
      <c r="AF229" s="29"/>
      <c r="AG229" s="35"/>
      <c r="AH229" s="36"/>
      <c r="AI229" s="36"/>
      <c r="AJ229" s="30"/>
      <c r="AK229" s="29"/>
      <c r="AL229" s="35"/>
      <c r="AM229" s="36"/>
      <c r="AN229" s="36"/>
      <c r="AO229" s="30"/>
      <c r="AP229" s="29"/>
      <c r="AQ229" s="35"/>
      <c r="AR229" s="36"/>
      <c r="AS229" s="36"/>
      <c r="AT229" s="30"/>
      <c r="AU229" s="29"/>
      <c r="AV229" s="29"/>
      <c r="AW229" s="29"/>
      <c r="AX229" s="37"/>
      <c r="AY229" s="39" t="str">
        <f aca="false">IF(AU229&lt;&gt;"Yes","",IF(AV229="","SELECT RE-ENTRY STAGE","MOVE TO ACTIVE at "&amp;AV229))</f>
        <v/>
      </c>
      <c r="AZ229" s="40" t="str">
        <f aca="false">IF(AU229="Yes",COUNTIF($AU$6:AU229,"Yes"),"")</f>
        <v/>
      </c>
      <c r="BA229" s="29"/>
      <c r="BB229" s="38" t="str">
        <f aca="false">IF($C229="","",IF(OR(F229="Completed",F229="Cancelled"),"",IF(AND(OR(F229="On Hold",ISNUMBER(VALUE(LEFT(H229,2)))),BA229=""),"Reason not given","")))</f>
        <v/>
      </c>
      <c r="BC229" s="30"/>
    </row>
    <row r="230" customFormat="false" ht="19.5" hidden="false" customHeight="true" outlineLevel="0" collapsed="false">
      <c r="A230" s="28" t="str">
        <f aca="false">IF($C230="","",COUNTA($C$6:$C230))</f>
        <v/>
      </c>
      <c r="B230" s="29"/>
      <c r="C230" s="30"/>
      <c r="D230" s="29"/>
      <c r="E230" s="31" t="str">
        <f aca="false">IF($C230="","",IF(NOT(OR(M230="Completed",M230="NA",M230="Cancelled")),"S1 Schematic",IF(NOT(OR(R230="Completed",R230="NA",R230="Cancelled")),"S2 PCB Layout",IF(NOT(OR(W230="Completed",W230="NA",W230="Cancelled")),"S3 SI &amp; PI",IF(NOT(OR(AB230="Completed",AB230="NA",AB230="Cancelled")),"S4 Bare-PCB Fab",IF(NOT(OR(AG230="Completed",AG230="NA",AG230="Cancelled")),"S5 Assembly",IF(NOT(OR(AL230="Completed",AL230="NA",AL230="Cancelled")),"S6 Bring-up",IF(NOT(OR(AQ230="Completed",AQ230="NA",AQ230="Cancelled")),"S7 BOM Procurement","All Stages Closed"))))))))</f>
        <v/>
      </c>
      <c r="F230" s="32" t="str">
        <f aca="false">IF($C230="","",IF(COUNTIF(M230,"Cancelled")+COUNTIF(R230,"Cancelled")+COUNTIF(W230,"Cancelled")+COUNTIF(AB230,"Cancelled")+COUNTIF(AG230,"Cancelled")+COUNTIF(AL230,"Cancelled")+COUNTIF(AQ230,"Cancelled")&gt;0,"Cancelled",IF(E230="All Stages Closed","Completed",IF(E230="S1 Schematic",M230,IF(E230="S2 PCB Layout",R230,IF(E230="S3 SI &amp; PI",W230,IF(E230="S4 Bare-PCB Fab",AB230,IF(E230="S5 Assembly",AG230,IF(E230="S6 Bring-up",AL230,AQ230)))))))))</f>
        <v/>
      </c>
      <c r="G230" s="33" t="str">
        <f aca="false">IF($C230="","",IF(E230="All Stages Closed","",IF(E230="S1 Schematic",IF(N230="","Not added",N230),IF(E230="S2 PCB Layout",IF(S230="","Not added",S230),IF(E230="S3 SI &amp; PI",IF(X230="","Not added",X230),IF(E230="S4 Bare-PCB Fab",IF(AC230="","Not added",AC230),IF(E230="S5 Assembly",IF(AH230="","Not added",AH230),IF(E230="S6 Bring-up",IF(AM230="","Not added",AM230),IF(AR230="","Not added",AR230)))))))))</f>
        <v/>
      </c>
      <c r="H230" s="32" t="str">
        <f aca="true">IF($C230="","",IF(OR(F230="Completed",F230="Cancelled"),"",IF(NOT(ISNUMBER(G230)),"No date set",IF(TODAY()&gt;G230,TODAY()-G230&amp;" days late",G230-TODAY()&amp;" days left"))))</f>
        <v/>
      </c>
      <c r="I230" s="31" t="str">
        <f aca="false">IF($C230="","",COUNTIF(M230,"Completed")+COUNTIF(R230,"Completed")+COUNTIF(W230,"Completed")+COUNTIF(AB230,"Completed")+COUNTIF(AG230,"Completed")+COUNTIF(AL230,"Completed")+COUNTIF(AQ230,"Completed"))</f>
        <v/>
      </c>
      <c r="J230" s="31" t="str">
        <f aca="false">IF($C230="","",7-(COUNTIF(M230,"NA")+COUNTIF(R230,"NA")+COUNTIF(W230,"NA")+COUNTIF(AB230,"NA")+COUNTIF(AG230,"NA")+COUNTIF(AL230,"NA")+COUNTIF(AQ230,"NA")))</f>
        <v/>
      </c>
      <c r="K230" s="34" t="str">
        <f aca="false">IFERROR(I230/J230,"")</f>
        <v/>
      </c>
      <c r="L230" s="29"/>
      <c r="M230" s="35"/>
      <c r="N230" s="36"/>
      <c r="O230" s="36"/>
      <c r="P230" s="30"/>
      <c r="Q230" s="29"/>
      <c r="R230" s="35"/>
      <c r="S230" s="36"/>
      <c r="T230" s="36"/>
      <c r="U230" s="30"/>
      <c r="V230" s="29"/>
      <c r="W230" s="35"/>
      <c r="X230" s="36"/>
      <c r="Y230" s="36"/>
      <c r="Z230" s="30"/>
      <c r="AA230" s="29"/>
      <c r="AB230" s="35"/>
      <c r="AC230" s="36"/>
      <c r="AD230" s="36"/>
      <c r="AE230" s="30"/>
      <c r="AF230" s="29"/>
      <c r="AG230" s="35"/>
      <c r="AH230" s="36"/>
      <c r="AI230" s="36"/>
      <c r="AJ230" s="30"/>
      <c r="AK230" s="29"/>
      <c r="AL230" s="35"/>
      <c r="AM230" s="36"/>
      <c r="AN230" s="36"/>
      <c r="AO230" s="30"/>
      <c r="AP230" s="29"/>
      <c r="AQ230" s="35"/>
      <c r="AR230" s="36"/>
      <c r="AS230" s="36"/>
      <c r="AT230" s="30"/>
      <c r="AU230" s="29"/>
      <c r="AV230" s="29"/>
      <c r="AW230" s="29"/>
      <c r="AX230" s="37"/>
      <c r="AY230" s="39" t="str">
        <f aca="false">IF(AU230&lt;&gt;"Yes","",IF(AV230="","SELECT RE-ENTRY STAGE","MOVE TO ACTIVE at "&amp;AV230))</f>
        <v/>
      </c>
      <c r="AZ230" s="40" t="str">
        <f aca="false">IF(AU230="Yes",COUNTIF($AU$6:AU230,"Yes"),"")</f>
        <v/>
      </c>
      <c r="BA230" s="29"/>
      <c r="BB230" s="38" t="str">
        <f aca="false">IF($C230="","",IF(OR(F230="Completed",F230="Cancelled"),"",IF(AND(OR(F230="On Hold",ISNUMBER(VALUE(LEFT(H230,2)))),BA230=""),"Reason not given","")))</f>
        <v/>
      </c>
      <c r="BC230" s="30"/>
    </row>
    <row r="231" customFormat="false" ht="19.5" hidden="false" customHeight="true" outlineLevel="0" collapsed="false">
      <c r="A231" s="28" t="str">
        <f aca="false">IF($C231="","",COUNTA($C$6:$C231))</f>
        <v/>
      </c>
      <c r="B231" s="29"/>
      <c r="C231" s="30"/>
      <c r="D231" s="29"/>
      <c r="E231" s="31" t="str">
        <f aca="false">IF($C231="","",IF(NOT(OR(M231="Completed",M231="NA",M231="Cancelled")),"S1 Schematic",IF(NOT(OR(R231="Completed",R231="NA",R231="Cancelled")),"S2 PCB Layout",IF(NOT(OR(W231="Completed",W231="NA",W231="Cancelled")),"S3 SI &amp; PI",IF(NOT(OR(AB231="Completed",AB231="NA",AB231="Cancelled")),"S4 Bare-PCB Fab",IF(NOT(OR(AG231="Completed",AG231="NA",AG231="Cancelled")),"S5 Assembly",IF(NOT(OR(AL231="Completed",AL231="NA",AL231="Cancelled")),"S6 Bring-up",IF(NOT(OR(AQ231="Completed",AQ231="NA",AQ231="Cancelled")),"S7 BOM Procurement","All Stages Closed"))))))))</f>
        <v/>
      </c>
      <c r="F231" s="32" t="str">
        <f aca="false">IF($C231="","",IF(COUNTIF(M231,"Cancelled")+COUNTIF(R231,"Cancelled")+COUNTIF(W231,"Cancelled")+COUNTIF(AB231,"Cancelled")+COUNTIF(AG231,"Cancelled")+COUNTIF(AL231,"Cancelled")+COUNTIF(AQ231,"Cancelled")&gt;0,"Cancelled",IF(E231="All Stages Closed","Completed",IF(E231="S1 Schematic",M231,IF(E231="S2 PCB Layout",R231,IF(E231="S3 SI &amp; PI",W231,IF(E231="S4 Bare-PCB Fab",AB231,IF(E231="S5 Assembly",AG231,IF(E231="S6 Bring-up",AL231,AQ231)))))))))</f>
        <v/>
      </c>
      <c r="G231" s="33" t="str">
        <f aca="false">IF($C231="","",IF(E231="All Stages Closed","",IF(E231="S1 Schematic",IF(N231="","Not added",N231),IF(E231="S2 PCB Layout",IF(S231="","Not added",S231),IF(E231="S3 SI &amp; PI",IF(X231="","Not added",X231),IF(E231="S4 Bare-PCB Fab",IF(AC231="","Not added",AC231),IF(E231="S5 Assembly",IF(AH231="","Not added",AH231),IF(E231="S6 Bring-up",IF(AM231="","Not added",AM231),IF(AR231="","Not added",AR231)))))))))</f>
        <v/>
      </c>
      <c r="H231" s="32" t="str">
        <f aca="true">IF($C231="","",IF(OR(F231="Completed",F231="Cancelled"),"",IF(NOT(ISNUMBER(G231)),"No date set",IF(TODAY()&gt;G231,TODAY()-G231&amp;" days late",G231-TODAY()&amp;" days left"))))</f>
        <v/>
      </c>
      <c r="I231" s="31" t="str">
        <f aca="false">IF($C231="","",COUNTIF(M231,"Completed")+COUNTIF(R231,"Completed")+COUNTIF(W231,"Completed")+COUNTIF(AB231,"Completed")+COUNTIF(AG231,"Completed")+COUNTIF(AL231,"Completed")+COUNTIF(AQ231,"Completed"))</f>
        <v/>
      </c>
      <c r="J231" s="31" t="str">
        <f aca="false">IF($C231="","",7-(COUNTIF(M231,"NA")+COUNTIF(R231,"NA")+COUNTIF(W231,"NA")+COUNTIF(AB231,"NA")+COUNTIF(AG231,"NA")+COUNTIF(AL231,"NA")+COUNTIF(AQ231,"NA")))</f>
        <v/>
      </c>
      <c r="K231" s="34" t="str">
        <f aca="false">IFERROR(I231/J231,"")</f>
        <v/>
      </c>
      <c r="L231" s="29"/>
      <c r="M231" s="35"/>
      <c r="N231" s="36"/>
      <c r="O231" s="36"/>
      <c r="P231" s="30"/>
      <c r="Q231" s="29"/>
      <c r="R231" s="35"/>
      <c r="S231" s="36"/>
      <c r="T231" s="36"/>
      <c r="U231" s="30"/>
      <c r="V231" s="29"/>
      <c r="W231" s="35"/>
      <c r="X231" s="36"/>
      <c r="Y231" s="36"/>
      <c r="Z231" s="30"/>
      <c r="AA231" s="29"/>
      <c r="AB231" s="35"/>
      <c r="AC231" s="36"/>
      <c r="AD231" s="36"/>
      <c r="AE231" s="30"/>
      <c r="AF231" s="29"/>
      <c r="AG231" s="35"/>
      <c r="AH231" s="36"/>
      <c r="AI231" s="36"/>
      <c r="AJ231" s="30"/>
      <c r="AK231" s="29"/>
      <c r="AL231" s="35"/>
      <c r="AM231" s="36"/>
      <c r="AN231" s="36"/>
      <c r="AO231" s="30"/>
      <c r="AP231" s="29"/>
      <c r="AQ231" s="35"/>
      <c r="AR231" s="36"/>
      <c r="AS231" s="36"/>
      <c r="AT231" s="30"/>
      <c r="AU231" s="29"/>
      <c r="AV231" s="29"/>
      <c r="AW231" s="29"/>
      <c r="AX231" s="37"/>
      <c r="AY231" s="39" t="str">
        <f aca="false">IF(AU231&lt;&gt;"Yes","",IF(AV231="","SELECT RE-ENTRY STAGE","MOVE TO ACTIVE at "&amp;AV231))</f>
        <v/>
      </c>
      <c r="AZ231" s="40" t="str">
        <f aca="false">IF(AU231="Yes",COUNTIF($AU$6:AU231,"Yes"),"")</f>
        <v/>
      </c>
      <c r="BA231" s="29"/>
      <c r="BB231" s="38" t="str">
        <f aca="false">IF($C231="","",IF(OR(F231="Completed",F231="Cancelled"),"",IF(AND(OR(F231="On Hold",ISNUMBER(VALUE(LEFT(H231,2)))),BA231=""),"Reason not given","")))</f>
        <v/>
      </c>
      <c r="BC231" s="30"/>
    </row>
    <row r="232" customFormat="false" ht="19.5" hidden="false" customHeight="true" outlineLevel="0" collapsed="false">
      <c r="A232" s="28" t="str">
        <f aca="false">IF($C232="","",COUNTA($C$6:$C232))</f>
        <v/>
      </c>
      <c r="B232" s="29"/>
      <c r="C232" s="30"/>
      <c r="D232" s="29"/>
      <c r="E232" s="31" t="str">
        <f aca="false">IF($C232="","",IF(NOT(OR(M232="Completed",M232="NA",M232="Cancelled")),"S1 Schematic",IF(NOT(OR(R232="Completed",R232="NA",R232="Cancelled")),"S2 PCB Layout",IF(NOT(OR(W232="Completed",W232="NA",W232="Cancelled")),"S3 SI &amp; PI",IF(NOT(OR(AB232="Completed",AB232="NA",AB232="Cancelled")),"S4 Bare-PCB Fab",IF(NOT(OR(AG232="Completed",AG232="NA",AG232="Cancelled")),"S5 Assembly",IF(NOT(OR(AL232="Completed",AL232="NA",AL232="Cancelled")),"S6 Bring-up",IF(NOT(OR(AQ232="Completed",AQ232="NA",AQ232="Cancelled")),"S7 BOM Procurement","All Stages Closed"))))))))</f>
        <v/>
      </c>
      <c r="F232" s="32" t="str">
        <f aca="false">IF($C232="","",IF(COUNTIF(M232,"Cancelled")+COUNTIF(R232,"Cancelled")+COUNTIF(W232,"Cancelled")+COUNTIF(AB232,"Cancelled")+COUNTIF(AG232,"Cancelled")+COUNTIF(AL232,"Cancelled")+COUNTIF(AQ232,"Cancelled")&gt;0,"Cancelled",IF(E232="All Stages Closed","Completed",IF(E232="S1 Schematic",M232,IF(E232="S2 PCB Layout",R232,IF(E232="S3 SI &amp; PI",W232,IF(E232="S4 Bare-PCB Fab",AB232,IF(E232="S5 Assembly",AG232,IF(E232="S6 Bring-up",AL232,AQ232)))))))))</f>
        <v/>
      </c>
      <c r="G232" s="33" t="str">
        <f aca="false">IF($C232="","",IF(E232="All Stages Closed","",IF(E232="S1 Schematic",IF(N232="","Not added",N232),IF(E232="S2 PCB Layout",IF(S232="","Not added",S232),IF(E232="S3 SI &amp; PI",IF(X232="","Not added",X232),IF(E232="S4 Bare-PCB Fab",IF(AC232="","Not added",AC232),IF(E232="S5 Assembly",IF(AH232="","Not added",AH232),IF(E232="S6 Bring-up",IF(AM232="","Not added",AM232),IF(AR232="","Not added",AR232)))))))))</f>
        <v/>
      </c>
      <c r="H232" s="32" t="str">
        <f aca="true">IF($C232="","",IF(OR(F232="Completed",F232="Cancelled"),"",IF(NOT(ISNUMBER(G232)),"No date set",IF(TODAY()&gt;G232,TODAY()-G232&amp;" days late",G232-TODAY()&amp;" days left"))))</f>
        <v/>
      </c>
      <c r="I232" s="31" t="str">
        <f aca="false">IF($C232="","",COUNTIF(M232,"Completed")+COUNTIF(R232,"Completed")+COUNTIF(W232,"Completed")+COUNTIF(AB232,"Completed")+COUNTIF(AG232,"Completed")+COUNTIF(AL232,"Completed")+COUNTIF(AQ232,"Completed"))</f>
        <v/>
      </c>
      <c r="J232" s="31" t="str">
        <f aca="false">IF($C232="","",7-(COUNTIF(M232,"NA")+COUNTIF(R232,"NA")+COUNTIF(W232,"NA")+COUNTIF(AB232,"NA")+COUNTIF(AG232,"NA")+COUNTIF(AL232,"NA")+COUNTIF(AQ232,"NA")))</f>
        <v/>
      </c>
      <c r="K232" s="34" t="str">
        <f aca="false">IFERROR(I232/J232,"")</f>
        <v/>
      </c>
      <c r="L232" s="29"/>
      <c r="M232" s="35"/>
      <c r="N232" s="36"/>
      <c r="O232" s="36"/>
      <c r="P232" s="30"/>
      <c r="Q232" s="29"/>
      <c r="R232" s="35"/>
      <c r="S232" s="36"/>
      <c r="T232" s="36"/>
      <c r="U232" s="30"/>
      <c r="V232" s="29"/>
      <c r="W232" s="35"/>
      <c r="X232" s="36"/>
      <c r="Y232" s="36"/>
      <c r="Z232" s="30"/>
      <c r="AA232" s="29"/>
      <c r="AB232" s="35"/>
      <c r="AC232" s="36"/>
      <c r="AD232" s="36"/>
      <c r="AE232" s="30"/>
      <c r="AF232" s="29"/>
      <c r="AG232" s="35"/>
      <c r="AH232" s="36"/>
      <c r="AI232" s="36"/>
      <c r="AJ232" s="30"/>
      <c r="AK232" s="29"/>
      <c r="AL232" s="35"/>
      <c r="AM232" s="36"/>
      <c r="AN232" s="36"/>
      <c r="AO232" s="30"/>
      <c r="AP232" s="29"/>
      <c r="AQ232" s="35"/>
      <c r="AR232" s="36"/>
      <c r="AS232" s="36"/>
      <c r="AT232" s="30"/>
      <c r="AU232" s="29"/>
      <c r="AV232" s="29"/>
      <c r="AW232" s="29"/>
      <c r="AX232" s="37"/>
      <c r="AY232" s="39" t="str">
        <f aca="false">IF(AU232&lt;&gt;"Yes","",IF(AV232="","SELECT RE-ENTRY STAGE","MOVE TO ACTIVE at "&amp;AV232))</f>
        <v/>
      </c>
      <c r="AZ232" s="40" t="str">
        <f aca="false">IF(AU232="Yes",COUNTIF($AU$6:AU232,"Yes"),"")</f>
        <v/>
      </c>
      <c r="BA232" s="29"/>
      <c r="BB232" s="38" t="str">
        <f aca="false">IF($C232="","",IF(OR(F232="Completed",F232="Cancelled"),"",IF(AND(OR(F232="On Hold",ISNUMBER(VALUE(LEFT(H232,2)))),BA232=""),"Reason not given","")))</f>
        <v/>
      </c>
      <c r="BC232" s="30"/>
    </row>
    <row r="233" customFormat="false" ht="19.5" hidden="false" customHeight="true" outlineLevel="0" collapsed="false">
      <c r="A233" s="28" t="str">
        <f aca="false">IF($C233="","",COUNTA($C$6:$C233))</f>
        <v/>
      </c>
      <c r="B233" s="29"/>
      <c r="C233" s="30"/>
      <c r="D233" s="29"/>
      <c r="E233" s="31" t="str">
        <f aca="false">IF($C233="","",IF(NOT(OR(M233="Completed",M233="NA",M233="Cancelled")),"S1 Schematic",IF(NOT(OR(R233="Completed",R233="NA",R233="Cancelled")),"S2 PCB Layout",IF(NOT(OR(W233="Completed",W233="NA",W233="Cancelled")),"S3 SI &amp; PI",IF(NOT(OR(AB233="Completed",AB233="NA",AB233="Cancelled")),"S4 Bare-PCB Fab",IF(NOT(OR(AG233="Completed",AG233="NA",AG233="Cancelled")),"S5 Assembly",IF(NOT(OR(AL233="Completed",AL233="NA",AL233="Cancelled")),"S6 Bring-up",IF(NOT(OR(AQ233="Completed",AQ233="NA",AQ233="Cancelled")),"S7 BOM Procurement","All Stages Closed"))))))))</f>
        <v/>
      </c>
      <c r="F233" s="32" t="str">
        <f aca="false">IF($C233="","",IF(COUNTIF(M233,"Cancelled")+COUNTIF(R233,"Cancelled")+COUNTIF(W233,"Cancelled")+COUNTIF(AB233,"Cancelled")+COUNTIF(AG233,"Cancelled")+COUNTIF(AL233,"Cancelled")+COUNTIF(AQ233,"Cancelled")&gt;0,"Cancelled",IF(E233="All Stages Closed","Completed",IF(E233="S1 Schematic",M233,IF(E233="S2 PCB Layout",R233,IF(E233="S3 SI &amp; PI",W233,IF(E233="S4 Bare-PCB Fab",AB233,IF(E233="S5 Assembly",AG233,IF(E233="S6 Bring-up",AL233,AQ233)))))))))</f>
        <v/>
      </c>
      <c r="G233" s="33" t="str">
        <f aca="false">IF($C233="","",IF(E233="All Stages Closed","",IF(E233="S1 Schematic",IF(N233="","Not added",N233),IF(E233="S2 PCB Layout",IF(S233="","Not added",S233),IF(E233="S3 SI &amp; PI",IF(X233="","Not added",X233),IF(E233="S4 Bare-PCB Fab",IF(AC233="","Not added",AC233),IF(E233="S5 Assembly",IF(AH233="","Not added",AH233),IF(E233="S6 Bring-up",IF(AM233="","Not added",AM233),IF(AR233="","Not added",AR233)))))))))</f>
        <v/>
      </c>
      <c r="H233" s="32" t="str">
        <f aca="true">IF($C233="","",IF(OR(F233="Completed",F233="Cancelled"),"",IF(NOT(ISNUMBER(G233)),"No date set",IF(TODAY()&gt;G233,TODAY()-G233&amp;" days late",G233-TODAY()&amp;" days left"))))</f>
        <v/>
      </c>
      <c r="I233" s="31" t="str">
        <f aca="false">IF($C233="","",COUNTIF(M233,"Completed")+COUNTIF(R233,"Completed")+COUNTIF(W233,"Completed")+COUNTIF(AB233,"Completed")+COUNTIF(AG233,"Completed")+COUNTIF(AL233,"Completed")+COUNTIF(AQ233,"Completed"))</f>
        <v/>
      </c>
      <c r="J233" s="31" t="str">
        <f aca="false">IF($C233="","",7-(COUNTIF(M233,"NA")+COUNTIF(R233,"NA")+COUNTIF(W233,"NA")+COUNTIF(AB233,"NA")+COUNTIF(AG233,"NA")+COUNTIF(AL233,"NA")+COUNTIF(AQ233,"NA")))</f>
        <v/>
      </c>
      <c r="K233" s="34" t="str">
        <f aca="false">IFERROR(I233/J233,"")</f>
        <v/>
      </c>
      <c r="L233" s="29"/>
      <c r="M233" s="35"/>
      <c r="N233" s="36"/>
      <c r="O233" s="36"/>
      <c r="P233" s="30"/>
      <c r="Q233" s="29"/>
      <c r="R233" s="35"/>
      <c r="S233" s="36"/>
      <c r="T233" s="36"/>
      <c r="U233" s="30"/>
      <c r="V233" s="29"/>
      <c r="W233" s="35"/>
      <c r="X233" s="36"/>
      <c r="Y233" s="36"/>
      <c r="Z233" s="30"/>
      <c r="AA233" s="29"/>
      <c r="AB233" s="35"/>
      <c r="AC233" s="36"/>
      <c r="AD233" s="36"/>
      <c r="AE233" s="30"/>
      <c r="AF233" s="29"/>
      <c r="AG233" s="35"/>
      <c r="AH233" s="36"/>
      <c r="AI233" s="36"/>
      <c r="AJ233" s="30"/>
      <c r="AK233" s="29"/>
      <c r="AL233" s="35"/>
      <c r="AM233" s="36"/>
      <c r="AN233" s="36"/>
      <c r="AO233" s="30"/>
      <c r="AP233" s="29"/>
      <c r="AQ233" s="35"/>
      <c r="AR233" s="36"/>
      <c r="AS233" s="36"/>
      <c r="AT233" s="30"/>
      <c r="AU233" s="29"/>
      <c r="AV233" s="29"/>
      <c r="AW233" s="29"/>
      <c r="AX233" s="37"/>
      <c r="AY233" s="39" t="str">
        <f aca="false">IF(AU233&lt;&gt;"Yes","",IF(AV233="","SELECT RE-ENTRY STAGE","MOVE TO ACTIVE at "&amp;AV233))</f>
        <v/>
      </c>
      <c r="AZ233" s="40" t="str">
        <f aca="false">IF(AU233="Yes",COUNTIF($AU$6:AU233,"Yes"),"")</f>
        <v/>
      </c>
      <c r="BA233" s="29"/>
      <c r="BB233" s="38" t="str">
        <f aca="false">IF($C233="","",IF(OR(F233="Completed",F233="Cancelled"),"",IF(AND(OR(F233="On Hold",ISNUMBER(VALUE(LEFT(H233,2)))),BA233=""),"Reason not given","")))</f>
        <v/>
      </c>
      <c r="BC233" s="30"/>
    </row>
    <row r="234" customFormat="false" ht="19.5" hidden="false" customHeight="true" outlineLevel="0" collapsed="false">
      <c r="A234" s="28" t="str">
        <f aca="false">IF($C234="","",COUNTA($C$6:$C234))</f>
        <v/>
      </c>
      <c r="B234" s="29"/>
      <c r="C234" s="30"/>
      <c r="D234" s="29"/>
      <c r="E234" s="31" t="str">
        <f aca="false">IF($C234="","",IF(NOT(OR(M234="Completed",M234="NA",M234="Cancelled")),"S1 Schematic",IF(NOT(OR(R234="Completed",R234="NA",R234="Cancelled")),"S2 PCB Layout",IF(NOT(OR(W234="Completed",W234="NA",W234="Cancelled")),"S3 SI &amp; PI",IF(NOT(OR(AB234="Completed",AB234="NA",AB234="Cancelled")),"S4 Bare-PCB Fab",IF(NOT(OR(AG234="Completed",AG234="NA",AG234="Cancelled")),"S5 Assembly",IF(NOT(OR(AL234="Completed",AL234="NA",AL234="Cancelled")),"S6 Bring-up",IF(NOT(OR(AQ234="Completed",AQ234="NA",AQ234="Cancelled")),"S7 BOM Procurement","All Stages Closed"))))))))</f>
        <v/>
      </c>
      <c r="F234" s="32" t="str">
        <f aca="false">IF($C234="","",IF(COUNTIF(M234,"Cancelled")+COUNTIF(R234,"Cancelled")+COUNTIF(W234,"Cancelled")+COUNTIF(AB234,"Cancelled")+COUNTIF(AG234,"Cancelled")+COUNTIF(AL234,"Cancelled")+COUNTIF(AQ234,"Cancelled")&gt;0,"Cancelled",IF(E234="All Stages Closed","Completed",IF(E234="S1 Schematic",M234,IF(E234="S2 PCB Layout",R234,IF(E234="S3 SI &amp; PI",W234,IF(E234="S4 Bare-PCB Fab",AB234,IF(E234="S5 Assembly",AG234,IF(E234="S6 Bring-up",AL234,AQ234)))))))))</f>
        <v/>
      </c>
      <c r="G234" s="33" t="str">
        <f aca="false">IF($C234="","",IF(E234="All Stages Closed","",IF(E234="S1 Schematic",IF(N234="","Not added",N234),IF(E234="S2 PCB Layout",IF(S234="","Not added",S234),IF(E234="S3 SI &amp; PI",IF(X234="","Not added",X234),IF(E234="S4 Bare-PCB Fab",IF(AC234="","Not added",AC234),IF(E234="S5 Assembly",IF(AH234="","Not added",AH234),IF(E234="S6 Bring-up",IF(AM234="","Not added",AM234),IF(AR234="","Not added",AR234)))))))))</f>
        <v/>
      </c>
      <c r="H234" s="32" t="str">
        <f aca="true">IF($C234="","",IF(OR(F234="Completed",F234="Cancelled"),"",IF(NOT(ISNUMBER(G234)),"No date set",IF(TODAY()&gt;G234,TODAY()-G234&amp;" days late",G234-TODAY()&amp;" days left"))))</f>
        <v/>
      </c>
      <c r="I234" s="31" t="str">
        <f aca="false">IF($C234="","",COUNTIF(M234,"Completed")+COUNTIF(R234,"Completed")+COUNTIF(W234,"Completed")+COUNTIF(AB234,"Completed")+COUNTIF(AG234,"Completed")+COUNTIF(AL234,"Completed")+COUNTIF(AQ234,"Completed"))</f>
        <v/>
      </c>
      <c r="J234" s="31" t="str">
        <f aca="false">IF($C234="","",7-(COUNTIF(M234,"NA")+COUNTIF(R234,"NA")+COUNTIF(W234,"NA")+COUNTIF(AB234,"NA")+COUNTIF(AG234,"NA")+COUNTIF(AL234,"NA")+COUNTIF(AQ234,"NA")))</f>
        <v/>
      </c>
      <c r="K234" s="34" t="str">
        <f aca="false">IFERROR(I234/J234,"")</f>
        <v/>
      </c>
      <c r="L234" s="29"/>
      <c r="M234" s="35"/>
      <c r="N234" s="36"/>
      <c r="O234" s="36"/>
      <c r="P234" s="30"/>
      <c r="Q234" s="29"/>
      <c r="R234" s="35"/>
      <c r="S234" s="36"/>
      <c r="T234" s="36"/>
      <c r="U234" s="30"/>
      <c r="V234" s="29"/>
      <c r="W234" s="35"/>
      <c r="X234" s="36"/>
      <c r="Y234" s="36"/>
      <c r="Z234" s="30"/>
      <c r="AA234" s="29"/>
      <c r="AB234" s="35"/>
      <c r="AC234" s="36"/>
      <c r="AD234" s="36"/>
      <c r="AE234" s="30"/>
      <c r="AF234" s="29"/>
      <c r="AG234" s="35"/>
      <c r="AH234" s="36"/>
      <c r="AI234" s="36"/>
      <c r="AJ234" s="30"/>
      <c r="AK234" s="29"/>
      <c r="AL234" s="35"/>
      <c r="AM234" s="36"/>
      <c r="AN234" s="36"/>
      <c r="AO234" s="30"/>
      <c r="AP234" s="29"/>
      <c r="AQ234" s="35"/>
      <c r="AR234" s="36"/>
      <c r="AS234" s="36"/>
      <c r="AT234" s="30"/>
      <c r="AU234" s="29"/>
      <c r="AV234" s="29"/>
      <c r="AW234" s="29"/>
      <c r="AX234" s="37"/>
      <c r="AY234" s="39" t="str">
        <f aca="false">IF(AU234&lt;&gt;"Yes","",IF(AV234="","SELECT RE-ENTRY STAGE","MOVE TO ACTIVE at "&amp;AV234))</f>
        <v/>
      </c>
      <c r="AZ234" s="40" t="str">
        <f aca="false">IF(AU234="Yes",COUNTIF($AU$6:AU234,"Yes"),"")</f>
        <v/>
      </c>
      <c r="BA234" s="29"/>
      <c r="BB234" s="38" t="str">
        <f aca="false">IF($C234="","",IF(OR(F234="Completed",F234="Cancelled"),"",IF(AND(OR(F234="On Hold",ISNUMBER(VALUE(LEFT(H234,2)))),BA234=""),"Reason not given","")))</f>
        <v/>
      </c>
      <c r="BC234" s="30"/>
    </row>
    <row r="235" customFormat="false" ht="19.5" hidden="false" customHeight="true" outlineLevel="0" collapsed="false">
      <c r="A235" s="28" t="str">
        <f aca="false">IF($C235="","",COUNTA($C$6:$C235))</f>
        <v/>
      </c>
      <c r="B235" s="29"/>
      <c r="C235" s="30"/>
      <c r="D235" s="29"/>
      <c r="E235" s="31" t="str">
        <f aca="false">IF($C235="","",IF(NOT(OR(M235="Completed",M235="NA",M235="Cancelled")),"S1 Schematic",IF(NOT(OR(R235="Completed",R235="NA",R235="Cancelled")),"S2 PCB Layout",IF(NOT(OR(W235="Completed",W235="NA",W235="Cancelled")),"S3 SI &amp; PI",IF(NOT(OR(AB235="Completed",AB235="NA",AB235="Cancelled")),"S4 Bare-PCB Fab",IF(NOT(OR(AG235="Completed",AG235="NA",AG235="Cancelled")),"S5 Assembly",IF(NOT(OR(AL235="Completed",AL235="NA",AL235="Cancelled")),"S6 Bring-up",IF(NOT(OR(AQ235="Completed",AQ235="NA",AQ235="Cancelled")),"S7 BOM Procurement","All Stages Closed"))))))))</f>
        <v/>
      </c>
      <c r="F235" s="32" t="str">
        <f aca="false">IF($C235="","",IF(COUNTIF(M235,"Cancelled")+COUNTIF(R235,"Cancelled")+COUNTIF(W235,"Cancelled")+COUNTIF(AB235,"Cancelled")+COUNTIF(AG235,"Cancelled")+COUNTIF(AL235,"Cancelled")+COUNTIF(AQ235,"Cancelled")&gt;0,"Cancelled",IF(E235="All Stages Closed","Completed",IF(E235="S1 Schematic",M235,IF(E235="S2 PCB Layout",R235,IF(E235="S3 SI &amp; PI",W235,IF(E235="S4 Bare-PCB Fab",AB235,IF(E235="S5 Assembly",AG235,IF(E235="S6 Bring-up",AL235,AQ235)))))))))</f>
        <v/>
      </c>
      <c r="G235" s="33" t="str">
        <f aca="false">IF($C235="","",IF(E235="All Stages Closed","",IF(E235="S1 Schematic",IF(N235="","Not added",N235),IF(E235="S2 PCB Layout",IF(S235="","Not added",S235),IF(E235="S3 SI &amp; PI",IF(X235="","Not added",X235),IF(E235="S4 Bare-PCB Fab",IF(AC235="","Not added",AC235),IF(E235="S5 Assembly",IF(AH235="","Not added",AH235),IF(E235="S6 Bring-up",IF(AM235="","Not added",AM235),IF(AR235="","Not added",AR235)))))))))</f>
        <v/>
      </c>
      <c r="H235" s="32" t="str">
        <f aca="true">IF($C235="","",IF(OR(F235="Completed",F235="Cancelled"),"",IF(NOT(ISNUMBER(G235)),"No date set",IF(TODAY()&gt;G235,TODAY()-G235&amp;" days late",G235-TODAY()&amp;" days left"))))</f>
        <v/>
      </c>
      <c r="I235" s="31" t="str">
        <f aca="false">IF($C235="","",COUNTIF(M235,"Completed")+COUNTIF(R235,"Completed")+COUNTIF(W235,"Completed")+COUNTIF(AB235,"Completed")+COUNTIF(AG235,"Completed")+COUNTIF(AL235,"Completed")+COUNTIF(AQ235,"Completed"))</f>
        <v/>
      </c>
      <c r="J235" s="31" t="str">
        <f aca="false">IF($C235="","",7-(COUNTIF(M235,"NA")+COUNTIF(R235,"NA")+COUNTIF(W235,"NA")+COUNTIF(AB235,"NA")+COUNTIF(AG235,"NA")+COUNTIF(AL235,"NA")+COUNTIF(AQ235,"NA")))</f>
        <v/>
      </c>
      <c r="K235" s="34" t="str">
        <f aca="false">IFERROR(I235/J235,"")</f>
        <v/>
      </c>
      <c r="L235" s="29"/>
      <c r="M235" s="35"/>
      <c r="N235" s="36"/>
      <c r="O235" s="36"/>
      <c r="P235" s="30"/>
      <c r="Q235" s="29"/>
      <c r="R235" s="35"/>
      <c r="S235" s="36"/>
      <c r="T235" s="36"/>
      <c r="U235" s="30"/>
      <c r="V235" s="29"/>
      <c r="W235" s="35"/>
      <c r="X235" s="36"/>
      <c r="Y235" s="36"/>
      <c r="Z235" s="30"/>
      <c r="AA235" s="29"/>
      <c r="AB235" s="35"/>
      <c r="AC235" s="36"/>
      <c r="AD235" s="36"/>
      <c r="AE235" s="30"/>
      <c r="AF235" s="29"/>
      <c r="AG235" s="35"/>
      <c r="AH235" s="36"/>
      <c r="AI235" s="36"/>
      <c r="AJ235" s="30"/>
      <c r="AK235" s="29"/>
      <c r="AL235" s="35"/>
      <c r="AM235" s="36"/>
      <c r="AN235" s="36"/>
      <c r="AO235" s="30"/>
      <c r="AP235" s="29"/>
      <c r="AQ235" s="35"/>
      <c r="AR235" s="36"/>
      <c r="AS235" s="36"/>
      <c r="AT235" s="30"/>
      <c r="AU235" s="29"/>
      <c r="AV235" s="29"/>
      <c r="AW235" s="29"/>
      <c r="AX235" s="37"/>
      <c r="AY235" s="39" t="str">
        <f aca="false">IF(AU235&lt;&gt;"Yes","",IF(AV235="","SELECT RE-ENTRY STAGE","MOVE TO ACTIVE at "&amp;AV235))</f>
        <v/>
      </c>
      <c r="AZ235" s="40" t="str">
        <f aca="false">IF(AU235="Yes",COUNTIF($AU$6:AU235,"Yes"),"")</f>
        <v/>
      </c>
      <c r="BA235" s="29"/>
      <c r="BB235" s="38" t="str">
        <f aca="false">IF($C235="","",IF(OR(F235="Completed",F235="Cancelled"),"",IF(AND(OR(F235="On Hold",ISNUMBER(VALUE(LEFT(H235,2)))),BA235=""),"Reason not given","")))</f>
        <v/>
      </c>
      <c r="BC235" s="30"/>
    </row>
    <row r="236" customFormat="false" ht="19.5" hidden="false" customHeight="true" outlineLevel="0" collapsed="false">
      <c r="A236" s="28" t="str">
        <f aca="false">IF($C236="","",COUNTA($C$6:$C236))</f>
        <v/>
      </c>
      <c r="B236" s="29"/>
      <c r="C236" s="30"/>
      <c r="D236" s="29"/>
      <c r="E236" s="31" t="str">
        <f aca="false">IF($C236="","",IF(NOT(OR(M236="Completed",M236="NA",M236="Cancelled")),"S1 Schematic",IF(NOT(OR(R236="Completed",R236="NA",R236="Cancelled")),"S2 PCB Layout",IF(NOT(OR(W236="Completed",W236="NA",W236="Cancelled")),"S3 SI &amp; PI",IF(NOT(OR(AB236="Completed",AB236="NA",AB236="Cancelled")),"S4 Bare-PCB Fab",IF(NOT(OR(AG236="Completed",AG236="NA",AG236="Cancelled")),"S5 Assembly",IF(NOT(OR(AL236="Completed",AL236="NA",AL236="Cancelled")),"S6 Bring-up",IF(NOT(OR(AQ236="Completed",AQ236="NA",AQ236="Cancelled")),"S7 BOM Procurement","All Stages Closed"))))))))</f>
        <v/>
      </c>
      <c r="F236" s="32" t="str">
        <f aca="false">IF($C236="","",IF(COUNTIF(M236,"Cancelled")+COUNTIF(R236,"Cancelled")+COUNTIF(W236,"Cancelled")+COUNTIF(AB236,"Cancelled")+COUNTIF(AG236,"Cancelled")+COUNTIF(AL236,"Cancelled")+COUNTIF(AQ236,"Cancelled")&gt;0,"Cancelled",IF(E236="All Stages Closed","Completed",IF(E236="S1 Schematic",M236,IF(E236="S2 PCB Layout",R236,IF(E236="S3 SI &amp; PI",W236,IF(E236="S4 Bare-PCB Fab",AB236,IF(E236="S5 Assembly",AG236,IF(E236="S6 Bring-up",AL236,AQ236)))))))))</f>
        <v/>
      </c>
      <c r="G236" s="33" t="str">
        <f aca="false">IF($C236="","",IF(E236="All Stages Closed","",IF(E236="S1 Schematic",IF(N236="","Not added",N236),IF(E236="S2 PCB Layout",IF(S236="","Not added",S236),IF(E236="S3 SI &amp; PI",IF(X236="","Not added",X236),IF(E236="S4 Bare-PCB Fab",IF(AC236="","Not added",AC236),IF(E236="S5 Assembly",IF(AH236="","Not added",AH236),IF(E236="S6 Bring-up",IF(AM236="","Not added",AM236),IF(AR236="","Not added",AR236)))))))))</f>
        <v/>
      </c>
      <c r="H236" s="32" t="str">
        <f aca="true">IF($C236="","",IF(OR(F236="Completed",F236="Cancelled"),"",IF(NOT(ISNUMBER(G236)),"No date set",IF(TODAY()&gt;G236,TODAY()-G236&amp;" days late",G236-TODAY()&amp;" days left"))))</f>
        <v/>
      </c>
      <c r="I236" s="31" t="str">
        <f aca="false">IF($C236="","",COUNTIF(M236,"Completed")+COUNTIF(R236,"Completed")+COUNTIF(W236,"Completed")+COUNTIF(AB236,"Completed")+COUNTIF(AG236,"Completed")+COUNTIF(AL236,"Completed")+COUNTIF(AQ236,"Completed"))</f>
        <v/>
      </c>
      <c r="J236" s="31" t="str">
        <f aca="false">IF($C236="","",7-(COUNTIF(M236,"NA")+COUNTIF(R236,"NA")+COUNTIF(W236,"NA")+COUNTIF(AB236,"NA")+COUNTIF(AG236,"NA")+COUNTIF(AL236,"NA")+COUNTIF(AQ236,"NA")))</f>
        <v/>
      </c>
      <c r="K236" s="34" t="str">
        <f aca="false">IFERROR(I236/J236,"")</f>
        <v/>
      </c>
      <c r="L236" s="29"/>
      <c r="M236" s="35"/>
      <c r="N236" s="36"/>
      <c r="O236" s="36"/>
      <c r="P236" s="30"/>
      <c r="Q236" s="29"/>
      <c r="R236" s="35"/>
      <c r="S236" s="36"/>
      <c r="T236" s="36"/>
      <c r="U236" s="30"/>
      <c r="V236" s="29"/>
      <c r="W236" s="35"/>
      <c r="X236" s="36"/>
      <c r="Y236" s="36"/>
      <c r="Z236" s="30"/>
      <c r="AA236" s="29"/>
      <c r="AB236" s="35"/>
      <c r="AC236" s="36"/>
      <c r="AD236" s="36"/>
      <c r="AE236" s="30"/>
      <c r="AF236" s="29"/>
      <c r="AG236" s="35"/>
      <c r="AH236" s="36"/>
      <c r="AI236" s="36"/>
      <c r="AJ236" s="30"/>
      <c r="AK236" s="29"/>
      <c r="AL236" s="35"/>
      <c r="AM236" s="36"/>
      <c r="AN236" s="36"/>
      <c r="AO236" s="30"/>
      <c r="AP236" s="29"/>
      <c r="AQ236" s="35"/>
      <c r="AR236" s="36"/>
      <c r="AS236" s="36"/>
      <c r="AT236" s="30"/>
      <c r="AU236" s="29"/>
      <c r="AV236" s="29"/>
      <c r="AW236" s="29"/>
      <c r="AX236" s="37"/>
      <c r="AY236" s="39" t="str">
        <f aca="false">IF(AU236&lt;&gt;"Yes","",IF(AV236="","SELECT RE-ENTRY STAGE","MOVE TO ACTIVE at "&amp;AV236))</f>
        <v/>
      </c>
      <c r="AZ236" s="40" t="str">
        <f aca="false">IF(AU236="Yes",COUNTIF($AU$6:AU236,"Yes"),"")</f>
        <v/>
      </c>
      <c r="BA236" s="29"/>
      <c r="BB236" s="38" t="str">
        <f aca="false">IF($C236="","",IF(OR(F236="Completed",F236="Cancelled"),"",IF(AND(OR(F236="On Hold",ISNUMBER(VALUE(LEFT(H236,2)))),BA236=""),"Reason not given","")))</f>
        <v/>
      </c>
      <c r="BC236" s="30"/>
    </row>
    <row r="237" customFormat="false" ht="19.5" hidden="false" customHeight="true" outlineLevel="0" collapsed="false">
      <c r="A237" s="28" t="str">
        <f aca="false">IF($C237="","",COUNTA($C$6:$C237))</f>
        <v/>
      </c>
      <c r="B237" s="29"/>
      <c r="C237" s="30"/>
      <c r="D237" s="29"/>
      <c r="E237" s="31" t="str">
        <f aca="false">IF($C237="","",IF(NOT(OR(M237="Completed",M237="NA",M237="Cancelled")),"S1 Schematic",IF(NOT(OR(R237="Completed",R237="NA",R237="Cancelled")),"S2 PCB Layout",IF(NOT(OR(W237="Completed",W237="NA",W237="Cancelled")),"S3 SI &amp; PI",IF(NOT(OR(AB237="Completed",AB237="NA",AB237="Cancelled")),"S4 Bare-PCB Fab",IF(NOT(OR(AG237="Completed",AG237="NA",AG237="Cancelled")),"S5 Assembly",IF(NOT(OR(AL237="Completed",AL237="NA",AL237="Cancelled")),"S6 Bring-up",IF(NOT(OR(AQ237="Completed",AQ237="NA",AQ237="Cancelled")),"S7 BOM Procurement","All Stages Closed"))))))))</f>
        <v/>
      </c>
      <c r="F237" s="32" t="str">
        <f aca="false">IF($C237="","",IF(COUNTIF(M237,"Cancelled")+COUNTIF(R237,"Cancelled")+COUNTIF(W237,"Cancelled")+COUNTIF(AB237,"Cancelled")+COUNTIF(AG237,"Cancelled")+COUNTIF(AL237,"Cancelled")+COUNTIF(AQ237,"Cancelled")&gt;0,"Cancelled",IF(E237="All Stages Closed","Completed",IF(E237="S1 Schematic",M237,IF(E237="S2 PCB Layout",R237,IF(E237="S3 SI &amp; PI",W237,IF(E237="S4 Bare-PCB Fab",AB237,IF(E237="S5 Assembly",AG237,IF(E237="S6 Bring-up",AL237,AQ237)))))))))</f>
        <v/>
      </c>
      <c r="G237" s="33" t="str">
        <f aca="false">IF($C237="","",IF(E237="All Stages Closed","",IF(E237="S1 Schematic",IF(N237="","Not added",N237),IF(E237="S2 PCB Layout",IF(S237="","Not added",S237),IF(E237="S3 SI &amp; PI",IF(X237="","Not added",X237),IF(E237="S4 Bare-PCB Fab",IF(AC237="","Not added",AC237),IF(E237="S5 Assembly",IF(AH237="","Not added",AH237),IF(E237="S6 Bring-up",IF(AM237="","Not added",AM237),IF(AR237="","Not added",AR237)))))))))</f>
        <v/>
      </c>
      <c r="H237" s="32" t="str">
        <f aca="true">IF($C237="","",IF(OR(F237="Completed",F237="Cancelled"),"",IF(NOT(ISNUMBER(G237)),"No date set",IF(TODAY()&gt;G237,TODAY()-G237&amp;" days late",G237-TODAY()&amp;" days left"))))</f>
        <v/>
      </c>
      <c r="I237" s="31" t="str">
        <f aca="false">IF($C237="","",COUNTIF(M237,"Completed")+COUNTIF(R237,"Completed")+COUNTIF(W237,"Completed")+COUNTIF(AB237,"Completed")+COUNTIF(AG237,"Completed")+COUNTIF(AL237,"Completed")+COUNTIF(AQ237,"Completed"))</f>
        <v/>
      </c>
      <c r="J237" s="31" t="str">
        <f aca="false">IF($C237="","",7-(COUNTIF(M237,"NA")+COUNTIF(R237,"NA")+COUNTIF(W237,"NA")+COUNTIF(AB237,"NA")+COUNTIF(AG237,"NA")+COUNTIF(AL237,"NA")+COUNTIF(AQ237,"NA")))</f>
        <v/>
      </c>
      <c r="K237" s="34" t="str">
        <f aca="false">IFERROR(I237/J237,"")</f>
        <v/>
      </c>
      <c r="L237" s="29"/>
      <c r="M237" s="35"/>
      <c r="N237" s="36"/>
      <c r="O237" s="36"/>
      <c r="P237" s="30"/>
      <c r="Q237" s="29"/>
      <c r="R237" s="35"/>
      <c r="S237" s="36"/>
      <c r="T237" s="36"/>
      <c r="U237" s="30"/>
      <c r="V237" s="29"/>
      <c r="W237" s="35"/>
      <c r="X237" s="36"/>
      <c r="Y237" s="36"/>
      <c r="Z237" s="30"/>
      <c r="AA237" s="29"/>
      <c r="AB237" s="35"/>
      <c r="AC237" s="36"/>
      <c r="AD237" s="36"/>
      <c r="AE237" s="30"/>
      <c r="AF237" s="29"/>
      <c r="AG237" s="35"/>
      <c r="AH237" s="36"/>
      <c r="AI237" s="36"/>
      <c r="AJ237" s="30"/>
      <c r="AK237" s="29"/>
      <c r="AL237" s="35"/>
      <c r="AM237" s="36"/>
      <c r="AN237" s="36"/>
      <c r="AO237" s="30"/>
      <c r="AP237" s="29"/>
      <c r="AQ237" s="35"/>
      <c r="AR237" s="36"/>
      <c r="AS237" s="36"/>
      <c r="AT237" s="30"/>
      <c r="AU237" s="29"/>
      <c r="AV237" s="29"/>
      <c r="AW237" s="29"/>
      <c r="AX237" s="37"/>
      <c r="AY237" s="39" t="str">
        <f aca="false">IF(AU237&lt;&gt;"Yes","",IF(AV237="","SELECT RE-ENTRY STAGE","MOVE TO ACTIVE at "&amp;AV237))</f>
        <v/>
      </c>
      <c r="AZ237" s="40" t="str">
        <f aca="false">IF(AU237="Yes",COUNTIF($AU$6:AU237,"Yes"),"")</f>
        <v/>
      </c>
      <c r="BA237" s="29"/>
      <c r="BB237" s="38" t="str">
        <f aca="false">IF($C237="","",IF(OR(F237="Completed",F237="Cancelled"),"",IF(AND(OR(F237="On Hold",ISNUMBER(VALUE(LEFT(H237,2)))),BA237=""),"Reason not given","")))</f>
        <v/>
      </c>
      <c r="BC237" s="30"/>
    </row>
    <row r="238" customFormat="false" ht="19.5" hidden="false" customHeight="true" outlineLevel="0" collapsed="false">
      <c r="A238" s="28" t="str">
        <f aca="false">IF($C238="","",COUNTA($C$6:$C238))</f>
        <v/>
      </c>
      <c r="B238" s="29"/>
      <c r="C238" s="30"/>
      <c r="D238" s="29"/>
      <c r="E238" s="31" t="str">
        <f aca="false">IF($C238="","",IF(NOT(OR(M238="Completed",M238="NA",M238="Cancelled")),"S1 Schematic",IF(NOT(OR(R238="Completed",R238="NA",R238="Cancelled")),"S2 PCB Layout",IF(NOT(OR(W238="Completed",W238="NA",W238="Cancelled")),"S3 SI &amp; PI",IF(NOT(OR(AB238="Completed",AB238="NA",AB238="Cancelled")),"S4 Bare-PCB Fab",IF(NOT(OR(AG238="Completed",AG238="NA",AG238="Cancelled")),"S5 Assembly",IF(NOT(OR(AL238="Completed",AL238="NA",AL238="Cancelled")),"S6 Bring-up",IF(NOT(OR(AQ238="Completed",AQ238="NA",AQ238="Cancelled")),"S7 BOM Procurement","All Stages Closed"))))))))</f>
        <v/>
      </c>
      <c r="F238" s="32" t="str">
        <f aca="false">IF($C238="","",IF(COUNTIF(M238,"Cancelled")+COUNTIF(R238,"Cancelled")+COUNTIF(W238,"Cancelled")+COUNTIF(AB238,"Cancelled")+COUNTIF(AG238,"Cancelled")+COUNTIF(AL238,"Cancelled")+COUNTIF(AQ238,"Cancelled")&gt;0,"Cancelled",IF(E238="All Stages Closed","Completed",IF(E238="S1 Schematic",M238,IF(E238="S2 PCB Layout",R238,IF(E238="S3 SI &amp; PI",W238,IF(E238="S4 Bare-PCB Fab",AB238,IF(E238="S5 Assembly",AG238,IF(E238="S6 Bring-up",AL238,AQ238)))))))))</f>
        <v/>
      </c>
      <c r="G238" s="33" t="str">
        <f aca="false">IF($C238="","",IF(E238="All Stages Closed","",IF(E238="S1 Schematic",IF(N238="","Not added",N238),IF(E238="S2 PCB Layout",IF(S238="","Not added",S238),IF(E238="S3 SI &amp; PI",IF(X238="","Not added",X238),IF(E238="S4 Bare-PCB Fab",IF(AC238="","Not added",AC238),IF(E238="S5 Assembly",IF(AH238="","Not added",AH238),IF(E238="S6 Bring-up",IF(AM238="","Not added",AM238),IF(AR238="","Not added",AR238)))))))))</f>
        <v/>
      </c>
      <c r="H238" s="32" t="str">
        <f aca="true">IF($C238="","",IF(OR(F238="Completed",F238="Cancelled"),"",IF(NOT(ISNUMBER(G238)),"No date set",IF(TODAY()&gt;G238,TODAY()-G238&amp;" days late",G238-TODAY()&amp;" days left"))))</f>
        <v/>
      </c>
      <c r="I238" s="31" t="str">
        <f aca="false">IF($C238="","",COUNTIF(M238,"Completed")+COUNTIF(R238,"Completed")+COUNTIF(W238,"Completed")+COUNTIF(AB238,"Completed")+COUNTIF(AG238,"Completed")+COUNTIF(AL238,"Completed")+COUNTIF(AQ238,"Completed"))</f>
        <v/>
      </c>
      <c r="J238" s="31" t="str">
        <f aca="false">IF($C238="","",7-(COUNTIF(M238,"NA")+COUNTIF(R238,"NA")+COUNTIF(W238,"NA")+COUNTIF(AB238,"NA")+COUNTIF(AG238,"NA")+COUNTIF(AL238,"NA")+COUNTIF(AQ238,"NA")))</f>
        <v/>
      </c>
      <c r="K238" s="34" t="str">
        <f aca="false">IFERROR(I238/J238,"")</f>
        <v/>
      </c>
      <c r="L238" s="29"/>
      <c r="M238" s="35"/>
      <c r="N238" s="36"/>
      <c r="O238" s="36"/>
      <c r="P238" s="30"/>
      <c r="Q238" s="29"/>
      <c r="R238" s="35"/>
      <c r="S238" s="36"/>
      <c r="T238" s="36"/>
      <c r="U238" s="30"/>
      <c r="V238" s="29"/>
      <c r="W238" s="35"/>
      <c r="X238" s="36"/>
      <c r="Y238" s="36"/>
      <c r="Z238" s="30"/>
      <c r="AA238" s="29"/>
      <c r="AB238" s="35"/>
      <c r="AC238" s="36"/>
      <c r="AD238" s="36"/>
      <c r="AE238" s="30"/>
      <c r="AF238" s="29"/>
      <c r="AG238" s="35"/>
      <c r="AH238" s="36"/>
      <c r="AI238" s="36"/>
      <c r="AJ238" s="30"/>
      <c r="AK238" s="29"/>
      <c r="AL238" s="35"/>
      <c r="AM238" s="36"/>
      <c r="AN238" s="36"/>
      <c r="AO238" s="30"/>
      <c r="AP238" s="29"/>
      <c r="AQ238" s="35"/>
      <c r="AR238" s="36"/>
      <c r="AS238" s="36"/>
      <c r="AT238" s="30"/>
      <c r="AU238" s="29"/>
      <c r="AV238" s="29"/>
      <c r="AW238" s="29"/>
      <c r="AX238" s="37"/>
      <c r="AY238" s="39" t="str">
        <f aca="false">IF(AU238&lt;&gt;"Yes","",IF(AV238="","SELECT RE-ENTRY STAGE","MOVE TO ACTIVE at "&amp;AV238))</f>
        <v/>
      </c>
      <c r="AZ238" s="40" t="str">
        <f aca="false">IF(AU238="Yes",COUNTIF($AU$6:AU238,"Yes"),"")</f>
        <v/>
      </c>
      <c r="BA238" s="29"/>
      <c r="BB238" s="38" t="str">
        <f aca="false">IF($C238="","",IF(OR(F238="Completed",F238="Cancelled"),"",IF(AND(OR(F238="On Hold",ISNUMBER(VALUE(LEFT(H238,2)))),BA238=""),"Reason not given","")))</f>
        <v/>
      </c>
      <c r="BC238" s="30"/>
    </row>
    <row r="239" customFormat="false" ht="19.5" hidden="false" customHeight="true" outlineLevel="0" collapsed="false">
      <c r="A239" s="28" t="str">
        <f aca="false">IF($C239="","",COUNTA($C$6:$C239))</f>
        <v/>
      </c>
      <c r="B239" s="29"/>
      <c r="C239" s="30"/>
      <c r="D239" s="29"/>
      <c r="E239" s="31" t="str">
        <f aca="false">IF($C239="","",IF(NOT(OR(M239="Completed",M239="NA",M239="Cancelled")),"S1 Schematic",IF(NOT(OR(R239="Completed",R239="NA",R239="Cancelled")),"S2 PCB Layout",IF(NOT(OR(W239="Completed",W239="NA",W239="Cancelled")),"S3 SI &amp; PI",IF(NOT(OR(AB239="Completed",AB239="NA",AB239="Cancelled")),"S4 Bare-PCB Fab",IF(NOT(OR(AG239="Completed",AG239="NA",AG239="Cancelled")),"S5 Assembly",IF(NOT(OR(AL239="Completed",AL239="NA",AL239="Cancelled")),"S6 Bring-up",IF(NOT(OR(AQ239="Completed",AQ239="NA",AQ239="Cancelled")),"S7 BOM Procurement","All Stages Closed"))))))))</f>
        <v/>
      </c>
      <c r="F239" s="32" t="str">
        <f aca="false">IF($C239="","",IF(COUNTIF(M239,"Cancelled")+COUNTIF(R239,"Cancelled")+COUNTIF(W239,"Cancelled")+COUNTIF(AB239,"Cancelled")+COUNTIF(AG239,"Cancelled")+COUNTIF(AL239,"Cancelled")+COUNTIF(AQ239,"Cancelled")&gt;0,"Cancelled",IF(E239="All Stages Closed","Completed",IF(E239="S1 Schematic",M239,IF(E239="S2 PCB Layout",R239,IF(E239="S3 SI &amp; PI",W239,IF(E239="S4 Bare-PCB Fab",AB239,IF(E239="S5 Assembly",AG239,IF(E239="S6 Bring-up",AL239,AQ239)))))))))</f>
        <v/>
      </c>
      <c r="G239" s="33" t="str">
        <f aca="false">IF($C239="","",IF(E239="All Stages Closed","",IF(E239="S1 Schematic",IF(N239="","Not added",N239),IF(E239="S2 PCB Layout",IF(S239="","Not added",S239),IF(E239="S3 SI &amp; PI",IF(X239="","Not added",X239),IF(E239="S4 Bare-PCB Fab",IF(AC239="","Not added",AC239),IF(E239="S5 Assembly",IF(AH239="","Not added",AH239),IF(E239="S6 Bring-up",IF(AM239="","Not added",AM239),IF(AR239="","Not added",AR239)))))))))</f>
        <v/>
      </c>
      <c r="H239" s="32" t="str">
        <f aca="true">IF($C239="","",IF(OR(F239="Completed",F239="Cancelled"),"",IF(NOT(ISNUMBER(G239)),"No date set",IF(TODAY()&gt;G239,TODAY()-G239&amp;" days late",G239-TODAY()&amp;" days left"))))</f>
        <v/>
      </c>
      <c r="I239" s="31" t="str">
        <f aca="false">IF($C239="","",COUNTIF(M239,"Completed")+COUNTIF(R239,"Completed")+COUNTIF(W239,"Completed")+COUNTIF(AB239,"Completed")+COUNTIF(AG239,"Completed")+COUNTIF(AL239,"Completed")+COUNTIF(AQ239,"Completed"))</f>
        <v/>
      </c>
      <c r="J239" s="31" t="str">
        <f aca="false">IF($C239="","",7-(COUNTIF(M239,"NA")+COUNTIF(R239,"NA")+COUNTIF(W239,"NA")+COUNTIF(AB239,"NA")+COUNTIF(AG239,"NA")+COUNTIF(AL239,"NA")+COUNTIF(AQ239,"NA")))</f>
        <v/>
      </c>
      <c r="K239" s="34" t="str">
        <f aca="false">IFERROR(I239/J239,"")</f>
        <v/>
      </c>
      <c r="L239" s="29"/>
      <c r="M239" s="35"/>
      <c r="N239" s="36"/>
      <c r="O239" s="36"/>
      <c r="P239" s="30"/>
      <c r="Q239" s="29"/>
      <c r="R239" s="35"/>
      <c r="S239" s="36"/>
      <c r="T239" s="36"/>
      <c r="U239" s="30"/>
      <c r="V239" s="29"/>
      <c r="W239" s="35"/>
      <c r="X239" s="36"/>
      <c r="Y239" s="36"/>
      <c r="Z239" s="30"/>
      <c r="AA239" s="29"/>
      <c r="AB239" s="35"/>
      <c r="AC239" s="36"/>
      <c r="AD239" s="36"/>
      <c r="AE239" s="30"/>
      <c r="AF239" s="29"/>
      <c r="AG239" s="35"/>
      <c r="AH239" s="36"/>
      <c r="AI239" s="36"/>
      <c r="AJ239" s="30"/>
      <c r="AK239" s="29"/>
      <c r="AL239" s="35"/>
      <c r="AM239" s="36"/>
      <c r="AN239" s="36"/>
      <c r="AO239" s="30"/>
      <c r="AP239" s="29"/>
      <c r="AQ239" s="35"/>
      <c r="AR239" s="36"/>
      <c r="AS239" s="36"/>
      <c r="AT239" s="30"/>
      <c r="AU239" s="29"/>
      <c r="AV239" s="29"/>
      <c r="AW239" s="29"/>
      <c r="AX239" s="37"/>
      <c r="AY239" s="39" t="str">
        <f aca="false">IF(AU239&lt;&gt;"Yes","",IF(AV239="","SELECT RE-ENTRY STAGE","MOVE TO ACTIVE at "&amp;AV239))</f>
        <v/>
      </c>
      <c r="AZ239" s="40" t="str">
        <f aca="false">IF(AU239="Yes",COUNTIF($AU$6:AU239,"Yes"),"")</f>
        <v/>
      </c>
      <c r="BA239" s="29"/>
      <c r="BB239" s="38" t="str">
        <f aca="false">IF($C239="","",IF(OR(F239="Completed",F239="Cancelled"),"",IF(AND(OR(F239="On Hold",ISNUMBER(VALUE(LEFT(H239,2)))),BA239=""),"Reason not given","")))</f>
        <v/>
      </c>
      <c r="BC239" s="30"/>
    </row>
    <row r="240" customFormat="false" ht="19.5" hidden="false" customHeight="true" outlineLevel="0" collapsed="false">
      <c r="A240" s="28" t="str">
        <f aca="false">IF($C240="","",COUNTA($C$6:$C240))</f>
        <v/>
      </c>
      <c r="B240" s="29"/>
      <c r="C240" s="30"/>
      <c r="D240" s="29"/>
      <c r="E240" s="31" t="str">
        <f aca="false">IF($C240="","",IF(NOT(OR(M240="Completed",M240="NA",M240="Cancelled")),"S1 Schematic",IF(NOT(OR(R240="Completed",R240="NA",R240="Cancelled")),"S2 PCB Layout",IF(NOT(OR(W240="Completed",W240="NA",W240="Cancelled")),"S3 SI &amp; PI",IF(NOT(OR(AB240="Completed",AB240="NA",AB240="Cancelled")),"S4 Bare-PCB Fab",IF(NOT(OR(AG240="Completed",AG240="NA",AG240="Cancelled")),"S5 Assembly",IF(NOT(OR(AL240="Completed",AL240="NA",AL240="Cancelled")),"S6 Bring-up",IF(NOT(OR(AQ240="Completed",AQ240="NA",AQ240="Cancelled")),"S7 BOM Procurement","All Stages Closed"))))))))</f>
        <v/>
      </c>
      <c r="F240" s="32" t="str">
        <f aca="false">IF($C240="","",IF(COUNTIF(M240,"Cancelled")+COUNTIF(R240,"Cancelled")+COUNTIF(W240,"Cancelled")+COUNTIF(AB240,"Cancelled")+COUNTIF(AG240,"Cancelled")+COUNTIF(AL240,"Cancelled")+COUNTIF(AQ240,"Cancelled")&gt;0,"Cancelled",IF(E240="All Stages Closed","Completed",IF(E240="S1 Schematic",M240,IF(E240="S2 PCB Layout",R240,IF(E240="S3 SI &amp; PI",W240,IF(E240="S4 Bare-PCB Fab",AB240,IF(E240="S5 Assembly",AG240,IF(E240="S6 Bring-up",AL240,AQ240)))))))))</f>
        <v/>
      </c>
      <c r="G240" s="33" t="str">
        <f aca="false">IF($C240="","",IF(E240="All Stages Closed","",IF(E240="S1 Schematic",IF(N240="","Not added",N240),IF(E240="S2 PCB Layout",IF(S240="","Not added",S240),IF(E240="S3 SI &amp; PI",IF(X240="","Not added",X240),IF(E240="S4 Bare-PCB Fab",IF(AC240="","Not added",AC240),IF(E240="S5 Assembly",IF(AH240="","Not added",AH240),IF(E240="S6 Bring-up",IF(AM240="","Not added",AM240),IF(AR240="","Not added",AR240)))))))))</f>
        <v/>
      </c>
      <c r="H240" s="32" t="str">
        <f aca="true">IF($C240="","",IF(OR(F240="Completed",F240="Cancelled"),"",IF(NOT(ISNUMBER(G240)),"No date set",IF(TODAY()&gt;G240,TODAY()-G240&amp;" days late",G240-TODAY()&amp;" days left"))))</f>
        <v/>
      </c>
      <c r="I240" s="31" t="str">
        <f aca="false">IF($C240="","",COUNTIF(M240,"Completed")+COUNTIF(R240,"Completed")+COUNTIF(W240,"Completed")+COUNTIF(AB240,"Completed")+COUNTIF(AG240,"Completed")+COUNTIF(AL240,"Completed")+COUNTIF(AQ240,"Completed"))</f>
        <v/>
      </c>
      <c r="J240" s="31" t="str">
        <f aca="false">IF($C240="","",7-(COUNTIF(M240,"NA")+COUNTIF(R240,"NA")+COUNTIF(W240,"NA")+COUNTIF(AB240,"NA")+COUNTIF(AG240,"NA")+COUNTIF(AL240,"NA")+COUNTIF(AQ240,"NA")))</f>
        <v/>
      </c>
      <c r="K240" s="34" t="str">
        <f aca="false">IFERROR(I240/J240,"")</f>
        <v/>
      </c>
      <c r="L240" s="29"/>
      <c r="M240" s="35"/>
      <c r="N240" s="36"/>
      <c r="O240" s="36"/>
      <c r="P240" s="30"/>
      <c r="Q240" s="29"/>
      <c r="R240" s="35"/>
      <c r="S240" s="36"/>
      <c r="T240" s="36"/>
      <c r="U240" s="30"/>
      <c r="V240" s="29"/>
      <c r="W240" s="35"/>
      <c r="X240" s="36"/>
      <c r="Y240" s="36"/>
      <c r="Z240" s="30"/>
      <c r="AA240" s="29"/>
      <c r="AB240" s="35"/>
      <c r="AC240" s="36"/>
      <c r="AD240" s="36"/>
      <c r="AE240" s="30"/>
      <c r="AF240" s="29"/>
      <c r="AG240" s="35"/>
      <c r="AH240" s="36"/>
      <c r="AI240" s="36"/>
      <c r="AJ240" s="30"/>
      <c r="AK240" s="29"/>
      <c r="AL240" s="35"/>
      <c r="AM240" s="36"/>
      <c r="AN240" s="36"/>
      <c r="AO240" s="30"/>
      <c r="AP240" s="29"/>
      <c r="AQ240" s="35"/>
      <c r="AR240" s="36"/>
      <c r="AS240" s="36"/>
      <c r="AT240" s="30"/>
      <c r="AU240" s="29"/>
      <c r="AV240" s="29"/>
      <c r="AW240" s="29"/>
      <c r="AX240" s="37"/>
      <c r="AY240" s="39" t="str">
        <f aca="false">IF(AU240&lt;&gt;"Yes","",IF(AV240="","SELECT RE-ENTRY STAGE","MOVE TO ACTIVE at "&amp;AV240))</f>
        <v/>
      </c>
      <c r="AZ240" s="40" t="str">
        <f aca="false">IF(AU240="Yes",COUNTIF($AU$6:AU240,"Yes"),"")</f>
        <v/>
      </c>
      <c r="BA240" s="29"/>
      <c r="BB240" s="38" t="str">
        <f aca="false">IF($C240="","",IF(OR(F240="Completed",F240="Cancelled"),"",IF(AND(OR(F240="On Hold",ISNUMBER(VALUE(LEFT(H240,2)))),BA240=""),"Reason not given","")))</f>
        <v/>
      </c>
      <c r="BC240" s="30"/>
    </row>
    <row r="241" customFormat="false" ht="19.5" hidden="false" customHeight="true" outlineLevel="0" collapsed="false">
      <c r="A241" s="28" t="str">
        <f aca="false">IF($C241="","",COUNTA($C$6:$C241))</f>
        <v/>
      </c>
      <c r="B241" s="29"/>
      <c r="C241" s="30"/>
      <c r="D241" s="29"/>
      <c r="E241" s="31" t="str">
        <f aca="false">IF($C241="","",IF(NOT(OR(M241="Completed",M241="NA",M241="Cancelled")),"S1 Schematic",IF(NOT(OR(R241="Completed",R241="NA",R241="Cancelled")),"S2 PCB Layout",IF(NOT(OR(W241="Completed",W241="NA",W241="Cancelled")),"S3 SI &amp; PI",IF(NOT(OR(AB241="Completed",AB241="NA",AB241="Cancelled")),"S4 Bare-PCB Fab",IF(NOT(OR(AG241="Completed",AG241="NA",AG241="Cancelled")),"S5 Assembly",IF(NOT(OR(AL241="Completed",AL241="NA",AL241="Cancelled")),"S6 Bring-up",IF(NOT(OR(AQ241="Completed",AQ241="NA",AQ241="Cancelled")),"S7 BOM Procurement","All Stages Closed"))))))))</f>
        <v/>
      </c>
      <c r="F241" s="32" t="str">
        <f aca="false">IF($C241="","",IF(COUNTIF(M241,"Cancelled")+COUNTIF(R241,"Cancelled")+COUNTIF(W241,"Cancelled")+COUNTIF(AB241,"Cancelled")+COUNTIF(AG241,"Cancelled")+COUNTIF(AL241,"Cancelled")+COUNTIF(AQ241,"Cancelled")&gt;0,"Cancelled",IF(E241="All Stages Closed","Completed",IF(E241="S1 Schematic",M241,IF(E241="S2 PCB Layout",R241,IF(E241="S3 SI &amp; PI",W241,IF(E241="S4 Bare-PCB Fab",AB241,IF(E241="S5 Assembly",AG241,IF(E241="S6 Bring-up",AL241,AQ241)))))))))</f>
        <v/>
      </c>
      <c r="G241" s="33" t="str">
        <f aca="false">IF($C241="","",IF(E241="All Stages Closed","",IF(E241="S1 Schematic",IF(N241="","Not added",N241),IF(E241="S2 PCB Layout",IF(S241="","Not added",S241),IF(E241="S3 SI &amp; PI",IF(X241="","Not added",X241),IF(E241="S4 Bare-PCB Fab",IF(AC241="","Not added",AC241),IF(E241="S5 Assembly",IF(AH241="","Not added",AH241),IF(E241="S6 Bring-up",IF(AM241="","Not added",AM241),IF(AR241="","Not added",AR241)))))))))</f>
        <v/>
      </c>
      <c r="H241" s="32" t="str">
        <f aca="true">IF($C241="","",IF(OR(F241="Completed",F241="Cancelled"),"",IF(NOT(ISNUMBER(G241)),"No date set",IF(TODAY()&gt;G241,TODAY()-G241&amp;" days late",G241-TODAY()&amp;" days left"))))</f>
        <v/>
      </c>
      <c r="I241" s="31" t="str">
        <f aca="false">IF($C241="","",COUNTIF(M241,"Completed")+COUNTIF(R241,"Completed")+COUNTIF(W241,"Completed")+COUNTIF(AB241,"Completed")+COUNTIF(AG241,"Completed")+COUNTIF(AL241,"Completed")+COUNTIF(AQ241,"Completed"))</f>
        <v/>
      </c>
      <c r="J241" s="31" t="str">
        <f aca="false">IF($C241="","",7-(COUNTIF(M241,"NA")+COUNTIF(R241,"NA")+COUNTIF(W241,"NA")+COUNTIF(AB241,"NA")+COUNTIF(AG241,"NA")+COUNTIF(AL241,"NA")+COUNTIF(AQ241,"NA")))</f>
        <v/>
      </c>
      <c r="K241" s="34" t="str">
        <f aca="false">IFERROR(I241/J241,"")</f>
        <v/>
      </c>
      <c r="L241" s="29"/>
      <c r="M241" s="35"/>
      <c r="N241" s="36"/>
      <c r="O241" s="36"/>
      <c r="P241" s="30"/>
      <c r="Q241" s="29"/>
      <c r="R241" s="35"/>
      <c r="S241" s="36"/>
      <c r="T241" s="36"/>
      <c r="U241" s="30"/>
      <c r="V241" s="29"/>
      <c r="W241" s="35"/>
      <c r="X241" s="36"/>
      <c r="Y241" s="36"/>
      <c r="Z241" s="30"/>
      <c r="AA241" s="29"/>
      <c r="AB241" s="35"/>
      <c r="AC241" s="36"/>
      <c r="AD241" s="36"/>
      <c r="AE241" s="30"/>
      <c r="AF241" s="29"/>
      <c r="AG241" s="35"/>
      <c r="AH241" s="36"/>
      <c r="AI241" s="36"/>
      <c r="AJ241" s="30"/>
      <c r="AK241" s="29"/>
      <c r="AL241" s="35"/>
      <c r="AM241" s="36"/>
      <c r="AN241" s="36"/>
      <c r="AO241" s="30"/>
      <c r="AP241" s="29"/>
      <c r="AQ241" s="35"/>
      <c r="AR241" s="36"/>
      <c r="AS241" s="36"/>
      <c r="AT241" s="30"/>
      <c r="AU241" s="29"/>
      <c r="AV241" s="29"/>
      <c r="AW241" s="29"/>
      <c r="AX241" s="37"/>
      <c r="AY241" s="39" t="str">
        <f aca="false">IF(AU241&lt;&gt;"Yes","",IF(AV241="","SELECT RE-ENTRY STAGE","MOVE TO ACTIVE at "&amp;AV241))</f>
        <v/>
      </c>
      <c r="AZ241" s="40" t="str">
        <f aca="false">IF(AU241="Yes",COUNTIF($AU$6:AU241,"Yes"),"")</f>
        <v/>
      </c>
      <c r="BA241" s="29"/>
      <c r="BB241" s="38" t="str">
        <f aca="false">IF($C241="","",IF(OR(F241="Completed",F241="Cancelled"),"",IF(AND(OR(F241="On Hold",ISNUMBER(VALUE(LEFT(H241,2)))),BA241=""),"Reason not given","")))</f>
        <v/>
      </c>
      <c r="BC241" s="30"/>
    </row>
    <row r="242" customFormat="false" ht="19.5" hidden="false" customHeight="true" outlineLevel="0" collapsed="false">
      <c r="A242" s="28" t="str">
        <f aca="false">IF($C242="","",COUNTA($C$6:$C242))</f>
        <v/>
      </c>
      <c r="B242" s="29"/>
      <c r="C242" s="30"/>
      <c r="D242" s="29"/>
      <c r="E242" s="31" t="str">
        <f aca="false">IF($C242="","",IF(NOT(OR(M242="Completed",M242="NA",M242="Cancelled")),"S1 Schematic",IF(NOT(OR(R242="Completed",R242="NA",R242="Cancelled")),"S2 PCB Layout",IF(NOT(OR(W242="Completed",W242="NA",W242="Cancelled")),"S3 SI &amp; PI",IF(NOT(OR(AB242="Completed",AB242="NA",AB242="Cancelled")),"S4 Bare-PCB Fab",IF(NOT(OR(AG242="Completed",AG242="NA",AG242="Cancelled")),"S5 Assembly",IF(NOT(OR(AL242="Completed",AL242="NA",AL242="Cancelled")),"S6 Bring-up",IF(NOT(OR(AQ242="Completed",AQ242="NA",AQ242="Cancelled")),"S7 BOM Procurement","All Stages Closed"))))))))</f>
        <v/>
      </c>
      <c r="F242" s="32" t="str">
        <f aca="false">IF($C242="","",IF(COUNTIF(M242,"Cancelled")+COUNTIF(R242,"Cancelled")+COUNTIF(W242,"Cancelled")+COUNTIF(AB242,"Cancelled")+COUNTIF(AG242,"Cancelled")+COUNTIF(AL242,"Cancelled")+COUNTIF(AQ242,"Cancelled")&gt;0,"Cancelled",IF(E242="All Stages Closed","Completed",IF(E242="S1 Schematic",M242,IF(E242="S2 PCB Layout",R242,IF(E242="S3 SI &amp; PI",W242,IF(E242="S4 Bare-PCB Fab",AB242,IF(E242="S5 Assembly",AG242,IF(E242="S6 Bring-up",AL242,AQ242)))))))))</f>
        <v/>
      </c>
      <c r="G242" s="33" t="str">
        <f aca="false">IF($C242="","",IF(E242="All Stages Closed","",IF(E242="S1 Schematic",IF(N242="","Not added",N242),IF(E242="S2 PCB Layout",IF(S242="","Not added",S242),IF(E242="S3 SI &amp; PI",IF(X242="","Not added",X242),IF(E242="S4 Bare-PCB Fab",IF(AC242="","Not added",AC242),IF(E242="S5 Assembly",IF(AH242="","Not added",AH242),IF(E242="S6 Bring-up",IF(AM242="","Not added",AM242),IF(AR242="","Not added",AR242)))))))))</f>
        <v/>
      </c>
      <c r="H242" s="32" t="str">
        <f aca="true">IF($C242="","",IF(OR(F242="Completed",F242="Cancelled"),"",IF(NOT(ISNUMBER(G242)),"No date set",IF(TODAY()&gt;G242,TODAY()-G242&amp;" days late",G242-TODAY()&amp;" days left"))))</f>
        <v/>
      </c>
      <c r="I242" s="31" t="str">
        <f aca="false">IF($C242="","",COUNTIF(M242,"Completed")+COUNTIF(R242,"Completed")+COUNTIF(W242,"Completed")+COUNTIF(AB242,"Completed")+COUNTIF(AG242,"Completed")+COUNTIF(AL242,"Completed")+COUNTIF(AQ242,"Completed"))</f>
        <v/>
      </c>
      <c r="J242" s="31" t="str">
        <f aca="false">IF($C242="","",7-(COUNTIF(M242,"NA")+COUNTIF(R242,"NA")+COUNTIF(W242,"NA")+COUNTIF(AB242,"NA")+COUNTIF(AG242,"NA")+COUNTIF(AL242,"NA")+COUNTIF(AQ242,"NA")))</f>
        <v/>
      </c>
      <c r="K242" s="34" t="str">
        <f aca="false">IFERROR(I242/J242,"")</f>
        <v/>
      </c>
      <c r="L242" s="29"/>
      <c r="M242" s="35"/>
      <c r="N242" s="36"/>
      <c r="O242" s="36"/>
      <c r="P242" s="30"/>
      <c r="Q242" s="29"/>
      <c r="R242" s="35"/>
      <c r="S242" s="36"/>
      <c r="T242" s="36"/>
      <c r="U242" s="30"/>
      <c r="V242" s="29"/>
      <c r="W242" s="35"/>
      <c r="X242" s="36"/>
      <c r="Y242" s="36"/>
      <c r="Z242" s="30"/>
      <c r="AA242" s="29"/>
      <c r="AB242" s="35"/>
      <c r="AC242" s="36"/>
      <c r="AD242" s="36"/>
      <c r="AE242" s="30"/>
      <c r="AF242" s="29"/>
      <c r="AG242" s="35"/>
      <c r="AH242" s="36"/>
      <c r="AI242" s="36"/>
      <c r="AJ242" s="30"/>
      <c r="AK242" s="29"/>
      <c r="AL242" s="35"/>
      <c r="AM242" s="36"/>
      <c r="AN242" s="36"/>
      <c r="AO242" s="30"/>
      <c r="AP242" s="29"/>
      <c r="AQ242" s="35"/>
      <c r="AR242" s="36"/>
      <c r="AS242" s="36"/>
      <c r="AT242" s="30"/>
      <c r="AU242" s="29"/>
      <c r="AV242" s="29"/>
      <c r="AW242" s="29"/>
      <c r="AX242" s="37"/>
      <c r="AY242" s="39" t="str">
        <f aca="false">IF(AU242&lt;&gt;"Yes","",IF(AV242="","SELECT RE-ENTRY STAGE","MOVE TO ACTIVE at "&amp;AV242))</f>
        <v/>
      </c>
      <c r="AZ242" s="40" t="str">
        <f aca="false">IF(AU242="Yes",COUNTIF($AU$6:AU242,"Yes"),"")</f>
        <v/>
      </c>
      <c r="BA242" s="29"/>
      <c r="BB242" s="38" t="str">
        <f aca="false">IF($C242="","",IF(OR(F242="Completed",F242="Cancelled"),"",IF(AND(OR(F242="On Hold",ISNUMBER(VALUE(LEFT(H242,2)))),BA242=""),"Reason not given","")))</f>
        <v/>
      </c>
      <c r="BC242" s="30"/>
    </row>
    <row r="243" customFormat="false" ht="19.5" hidden="false" customHeight="true" outlineLevel="0" collapsed="false">
      <c r="A243" s="28" t="str">
        <f aca="false">IF($C243="","",COUNTA($C$6:$C243))</f>
        <v/>
      </c>
      <c r="B243" s="29"/>
      <c r="C243" s="30"/>
      <c r="D243" s="29"/>
      <c r="E243" s="31" t="str">
        <f aca="false">IF($C243="","",IF(NOT(OR(M243="Completed",M243="NA",M243="Cancelled")),"S1 Schematic",IF(NOT(OR(R243="Completed",R243="NA",R243="Cancelled")),"S2 PCB Layout",IF(NOT(OR(W243="Completed",W243="NA",W243="Cancelled")),"S3 SI &amp; PI",IF(NOT(OR(AB243="Completed",AB243="NA",AB243="Cancelled")),"S4 Bare-PCB Fab",IF(NOT(OR(AG243="Completed",AG243="NA",AG243="Cancelled")),"S5 Assembly",IF(NOT(OR(AL243="Completed",AL243="NA",AL243="Cancelled")),"S6 Bring-up",IF(NOT(OR(AQ243="Completed",AQ243="NA",AQ243="Cancelled")),"S7 BOM Procurement","All Stages Closed"))))))))</f>
        <v/>
      </c>
      <c r="F243" s="32" t="str">
        <f aca="false">IF($C243="","",IF(COUNTIF(M243,"Cancelled")+COUNTIF(R243,"Cancelled")+COUNTIF(W243,"Cancelled")+COUNTIF(AB243,"Cancelled")+COUNTIF(AG243,"Cancelled")+COUNTIF(AL243,"Cancelled")+COUNTIF(AQ243,"Cancelled")&gt;0,"Cancelled",IF(E243="All Stages Closed","Completed",IF(E243="S1 Schematic",M243,IF(E243="S2 PCB Layout",R243,IF(E243="S3 SI &amp; PI",W243,IF(E243="S4 Bare-PCB Fab",AB243,IF(E243="S5 Assembly",AG243,IF(E243="S6 Bring-up",AL243,AQ243)))))))))</f>
        <v/>
      </c>
      <c r="G243" s="33" t="str">
        <f aca="false">IF($C243="","",IF(E243="All Stages Closed","",IF(E243="S1 Schematic",IF(N243="","Not added",N243),IF(E243="S2 PCB Layout",IF(S243="","Not added",S243),IF(E243="S3 SI &amp; PI",IF(X243="","Not added",X243),IF(E243="S4 Bare-PCB Fab",IF(AC243="","Not added",AC243),IF(E243="S5 Assembly",IF(AH243="","Not added",AH243),IF(E243="S6 Bring-up",IF(AM243="","Not added",AM243),IF(AR243="","Not added",AR243)))))))))</f>
        <v/>
      </c>
      <c r="H243" s="32" t="str">
        <f aca="true">IF($C243="","",IF(OR(F243="Completed",F243="Cancelled"),"",IF(NOT(ISNUMBER(G243)),"No date set",IF(TODAY()&gt;G243,TODAY()-G243&amp;" days late",G243-TODAY()&amp;" days left"))))</f>
        <v/>
      </c>
      <c r="I243" s="31" t="str">
        <f aca="false">IF($C243="","",COUNTIF(M243,"Completed")+COUNTIF(R243,"Completed")+COUNTIF(W243,"Completed")+COUNTIF(AB243,"Completed")+COUNTIF(AG243,"Completed")+COUNTIF(AL243,"Completed")+COUNTIF(AQ243,"Completed"))</f>
        <v/>
      </c>
      <c r="J243" s="31" t="str">
        <f aca="false">IF($C243="","",7-(COUNTIF(M243,"NA")+COUNTIF(R243,"NA")+COUNTIF(W243,"NA")+COUNTIF(AB243,"NA")+COUNTIF(AG243,"NA")+COUNTIF(AL243,"NA")+COUNTIF(AQ243,"NA")))</f>
        <v/>
      </c>
      <c r="K243" s="34" t="str">
        <f aca="false">IFERROR(I243/J243,"")</f>
        <v/>
      </c>
      <c r="L243" s="29"/>
      <c r="M243" s="35"/>
      <c r="N243" s="36"/>
      <c r="O243" s="36"/>
      <c r="P243" s="30"/>
      <c r="Q243" s="29"/>
      <c r="R243" s="35"/>
      <c r="S243" s="36"/>
      <c r="T243" s="36"/>
      <c r="U243" s="30"/>
      <c r="V243" s="29"/>
      <c r="W243" s="35"/>
      <c r="X243" s="36"/>
      <c r="Y243" s="36"/>
      <c r="Z243" s="30"/>
      <c r="AA243" s="29"/>
      <c r="AB243" s="35"/>
      <c r="AC243" s="36"/>
      <c r="AD243" s="36"/>
      <c r="AE243" s="30"/>
      <c r="AF243" s="29"/>
      <c r="AG243" s="35"/>
      <c r="AH243" s="36"/>
      <c r="AI243" s="36"/>
      <c r="AJ243" s="30"/>
      <c r="AK243" s="29"/>
      <c r="AL243" s="35"/>
      <c r="AM243" s="36"/>
      <c r="AN243" s="36"/>
      <c r="AO243" s="30"/>
      <c r="AP243" s="29"/>
      <c r="AQ243" s="35"/>
      <c r="AR243" s="36"/>
      <c r="AS243" s="36"/>
      <c r="AT243" s="30"/>
      <c r="AU243" s="29"/>
      <c r="AV243" s="29"/>
      <c r="AW243" s="29"/>
      <c r="AX243" s="37"/>
      <c r="AY243" s="39" t="str">
        <f aca="false">IF(AU243&lt;&gt;"Yes","",IF(AV243="","SELECT RE-ENTRY STAGE","MOVE TO ACTIVE at "&amp;AV243))</f>
        <v/>
      </c>
      <c r="AZ243" s="40" t="str">
        <f aca="false">IF(AU243="Yes",COUNTIF($AU$6:AU243,"Yes"),"")</f>
        <v/>
      </c>
      <c r="BA243" s="29"/>
      <c r="BB243" s="38" t="str">
        <f aca="false">IF($C243="","",IF(OR(F243="Completed",F243="Cancelled"),"",IF(AND(OR(F243="On Hold",ISNUMBER(VALUE(LEFT(H243,2)))),BA243=""),"Reason not given","")))</f>
        <v/>
      </c>
      <c r="BC243" s="30"/>
    </row>
    <row r="244" customFormat="false" ht="19.5" hidden="false" customHeight="true" outlineLevel="0" collapsed="false">
      <c r="A244" s="28" t="str">
        <f aca="false">IF($C244="","",COUNTA($C$6:$C244))</f>
        <v/>
      </c>
      <c r="B244" s="29"/>
      <c r="C244" s="30"/>
      <c r="D244" s="29"/>
      <c r="E244" s="31" t="str">
        <f aca="false">IF($C244="","",IF(NOT(OR(M244="Completed",M244="NA",M244="Cancelled")),"S1 Schematic",IF(NOT(OR(R244="Completed",R244="NA",R244="Cancelled")),"S2 PCB Layout",IF(NOT(OR(W244="Completed",W244="NA",W244="Cancelled")),"S3 SI &amp; PI",IF(NOT(OR(AB244="Completed",AB244="NA",AB244="Cancelled")),"S4 Bare-PCB Fab",IF(NOT(OR(AG244="Completed",AG244="NA",AG244="Cancelled")),"S5 Assembly",IF(NOT(OR(AL244="Completed",AL244="NA",AL244="Cancelled")),"S6 Bring-up",IF(NOT(OR(AQ244="Completed",AQ244="NA",AQ244="Cancelled")),"S7 BOM Procurement","All Stages Closed"))))))))</f>
        <v/>
      </c>
      <c r="F244" s="32" t="str">
        <f aca="false">IF($C244="","",IF(COUNTIF(M244,"Cancelled")+COUNTIF(R244,"Cancelled")+COUNTIF(W244,"Cancelled")+COUNTIF(AB244,"Cancelled")+COUNTIF(AG244,"Cancelled")+COUNTIF(AL244,"Cancelled")+COUNTIF(AQ244,"Cancelled")&gt;0,"Cancelled",IF(E244="All Stages Closed","Completed",IF(E244="S1 Schematic",M244,IF(E244="S2 PCB Layout",R244,IF(E244="S3 SI &amp; PI",W244,IF(E244="S4 Bare-PCB Fab",AB244,IF(E244="S5 Assembly",AG244,IF(E244="S6 Bring-up",AL244,AQ244)))))))))</f>
        <v/>
      </c>
      <c r="G244" s="33" t="str">
        <f aca="false">IF($C244="","",IF(E244="All Stages Closed","",IF(E244="S1 Schematic",IF(N244="","Not added",N244),IF(E244="S2 PCB Layout",IF(S244="","Not added",S244),IF(E244="S3 SI &amp; PI",IF(X244="","Not added",X244),IF(E244="S4 Bare-PCB Fab",IF(AC244="","Not added",AC244),IF(E244="S5 Assembly",IF(AH244="","Not added",AH244),IF(E244="S6 Bring-up",IF(AM244="","Not added",AM244),IF(AR244="","Not added",AR244)))))))))</f>
        <v/>
      </c>
      <c r="H244" s="32" t="str">
        <f aca="true">IF($C244="","",IF(OR(F244="Completed",F244="Cancelled"),"",IF(NOT(ISNUMBER(G244)),"No date set",IF(TODAY()&gt;G244,TODAY()-G244&amp;" days late",G244-TODAY()&amp;" days left"))))</f>
        <v/>
      </c>
      <c r="I244" s="31" t="str">
        <f aca="false">IF($C244="","",COUNTIF(M244,"Completed")+COUNTIF(R244,"Completed")+COUNTIF(W244,"Completed")+COUNTIF(AB244,"Completed")+COUNTIF(AG244,"Completed")+COUNTIF(AL244,"Completed")+COUNTIF(AQ244,"Completed"))</f>
        <v/>
      </c>
      <c r="J244" s="31" t="str">
        <f aca="false">IF($C244="","",7-(COUNTIF(M244,"NA")+COUNTIF(R244,"NA")+COUNTIF(W244,"NA")+COUNTIF(AB244,"NA")+COUNTIF(AG244,"NA")+COUNTIF(AL244,"NA")+COUNTIF(AQ244,"NA")))</f>
        <v/>
      </c>
      <c r="K244" s="34" t="str">
        <f aca="false">IFERROR(I244/J244,"")</f>
        <v/>
      </c>
      <c r="L244" s="29"/>
      <c r="M244" s="35"/>
      <c r="N244" s="36"/>
      <c r="O244" s="36"/>
      <c r="P244" s="30"/>
      <c r="Q244" s="29"/>
      <c r="R244" s="35"/>
      <c r="S244" s="36"/>
      <c r="T244" s="36"/>
      <c r="U244" s="30"/>
      <c r="V244" s="29"/>
      <c r="W244" s="35"/>
      <c r="X244" s="36"/>
      <c r="Y244" s="36"/>
      <c r="Z244" s="30"/>
      <c r="AA244" s="29"/>
      <c r="AB244" s="35"/>
      <c r="AC244" s="36"/>
      <c r="AD244" s="36"/>
      <c r="AE244" s="30"/>
      <c r="AF244" s="29"/>
      <c r="AG244" s="35"/>
      <c r="AH244" s="36"/>
      <c r="AI244" s="36"/>
      <c r="AJ244" s="30"/>
      <c r="AK244" s="29"/>
      <c r="AL244" s="35"/>
      <c r="AM244" s="36"/>
      <c r="AN244" s="36"/>
      <c r="AO244" s="30"/>
      <c r="AP244" s="29"/>
      <c r="AQ244" s="35"/>
      <c r="AR244" s="36"/>
      <c r="AS244" s="36"/>
      <c r="AT244" s="30"/>
      <c r="AU244" s="29"/>
      <c r="AV244" s="29"/>
      <c r="AW244" s="29"/>
      <c r="AX244" s="37"/>
      <c r="AY244" s="39" t="str">
        <f aca="false">IF(AU244&lt;&gt;"Yes","",IF(AV244="","SELECT RE-ENTRY STAGE","MOVE TO ACTIVE at "&amp;AV244))</f>
        <v/>
      </c>
      <c r="AZ244" s="40" t="str">
        <f aca="false">IF(AU244="Yes",COUNTIF($AU$6:AU244,"Yes"),"")</f>
        <v/>
      </c>
      <c r="BA244" s="29"/>
      <c r="BB244" s="38" t="str">
        <f aca="false">IF($C244="","",IF(OR(F244="Completed",F244="Cancelled"),"",IF(AND(OR(F244="On Hold",ISNUMBER(VALUE(LEFT(H244,2)))),BA244=""),"Reason not given","")))</f>
        <v/>
      </c>
      <c r="BC244" s="30"/>
    </row>
    <row r="245" customFormat="false" ht="19.5" hidden="false" customHeight="true" outlineLevel="0" collapsed="false">
      <c r="A245" s="28" t="str">
        <f aca="false">IF($C245="","",COUNTA($C$6:$C245))</f>
        <v/>
      </c>
      <c r="B245" s="29"/>
      <c r="C245" s="30"/>
      <c r="D245" s="29"/>
      <c r="E245" s="31" t="str">
        <f aca="false">IF($C245="","",IF(NOT(OR(M245="Completed",M245="NA",M245="Cancelled")),"S1 Schematic",IF(NOT(OR(R245="Completed",R245="NA",R245="Cancelled")),"S2 PCB Layout",IF(NOT(OR(W245="Completed",W245="NA",W245="Cancelled")),"S3 SI &amp; PI",IF(NOT(OR(AB245="Completed",AB245="NA",AB245="Cancelled")),"S4 Bare-PCB Fab",IF(NOT(OR(AG245="Completed",AG245="NA",AG245="Cancelled")),"S5 Assembly",IF(NOT(OR(AL245="Completed",AL245="NA",AL245="Cancelled")),"S6 Bring-up",IF(NOT(OR(AQ245="Completed",AQ245="NA",AQ245="Cancelled")),"S7 BOM Procurement","All Stages Closed"))))))))</f>
        <v/>
      </c>
      <c r="F245" s="32" t="str">
        <f aca="false">IF($C245="","",IF(COUNTIF(M245,"Cancelled")+COUNTIF(R245,"Cancelled")+COUNTIF(W245,"Cancelled")+COUNTIF(AB245,"Cancelled")+COUNTIF(AG245,"Cancelled")+COUNTIF(AL245,"Cancelled")+COUNTIF(AQ245,"Cancelled")&gt;0,"Cancelled",IF(E245="All Stages Closed","Completed",IF(E245="S1 Schematic",M245,IF(E245="S2 PCB Layout",R245,IF(E245="S3 SI &amp; PI",W245,IF(E245="S4 Bare-PCB Fab",AB245,IF(E245="S5 Assembly",AG245,IF(E245="S6 Bring-up",AL245,AQ245)))))))))</f>
        <v/>
      </c>
      <c r="G245" s="33" t="str">
        <f aca="false">IF($C245="","",IF(E245="All Stages Closed","",IF(E245="S1 Schematic",IF(N245="","Not added",N245),IF(E245="S2 PCB Layout",IF(S245="","Not added",S245),IF(E245="S3 SI &amp; PI",IF(X245="","Not added",X245),IF(E245="S4 Bare-PCB Fab",IF(AC245="","Not added",AC245),IF(E245="S5 Assembly",IF(AH245="","Not added",AH245),IF(E245="S6 Bring-up",IF(AM245="","Not added",AM245),IF(AR245="","Not added",AR245)))))))))</f>
        <v/>
      </c>
      <c r="H245" s="32" t="str">
        <f aca="true">IF($C245="","",IF(OR(F245="Completed",F245="Cancelled"),"",IF(NOT(ISNUMBER(G245)),"No date set",IF(TODAY()&gt;G245,TODAY()-G245&amp;" days late",G245-TODAY()&amp;" days left"))))</f>
        <v/>
      </c>
      <c r="I245" s="31" t="str">
        <f aca="false">IF($C245="","",COUNTIF(M245,"Completed")+COUNTIF(R245,"Completed")+COUNTIF(W245,"Completed")+COUNTIF(AB245,"Completed")+COUNTIF(AG245,"Completed")+COUNTIF(AL245,"Completed")+COUNTIF(AQ245,"Completed"))</f>
        <v/>
      </c>
      <c r="J245" s="31" t="str">
        <f aca="false">IF($C245="","",7-(COUNTIF(M245,"NA")+COUNTIF(R245,"NA")+COUNTIF(W245,"NA")+COUNTIF(AB245,"NA")+COUNTIF(AG245,"NA")+COUNTIF(AL245,"NA")+COUNTIF(AQ245,"NA")))</f>
        <v/>
      </c>
      <c r="K245" s="34" t="str">
        <f aca="false">IFERROR(I245/J245,"")</f>
        <v/>
      </c>
      <c r="L245" s="29"/>
      <c r="M245" s="35"/>
      <c r="N245" s="36"/>
      <c r="O245" s="36"/>
      <c r="P245" s="30"/>
      <c r="Q245" s="29"/>
      <c r="R245" s="35"/>
      <c r="S245" s="36"/>
      <c r="T245" s="36"/>
      <c r="U245" s="30"/>
      <c r="V245" s="29"/>
      <c r="W245" s="35"/>
      <c r="X245" s="36"/>
      <c r="Y245" s="36"/>
      <c r="Z245" s="30"/>
      <c r="AA245" s="29"/>
      <c r="AB245" s="35"/>
      <c r="AC245" s="36"/>
      <c r="AD245" s="36"/>
      <c r="AE245" s="30"/>
      <c r="AF245" s="29"/>
      <c r="AG245" s="35"/>
      <c r="AH245" s="36"/>
      <c r="AI245" s="36"/>
      <c r="AJ245" s="30"/>
      <c r="AK245" s="29"/>
      <c r="AL245" s="35"/>
      <c r="AM245" s="36"/>
      <c r="AN245" s="36"/>
      <c r="AO245" s="30"/>
      <c r="AP245" s="29"/>
      <c r="AQ245" s="35"/>
      <c r="AR245" s="36"/>
      <c r="AS245" s="36"/>
      <c r="AT245" s="30"/>
      <c r="AU245" s="29"/>
      <c r="AV245" s="29"/>
      <c r="AW245" s="29"/>
      <c r="AX245" s="37"/>
      <c r="AY245" s="39" t="str">
        <f aca="false">IF(AU245&lt;&gt;"Yes","",IF(AV245="","SELECT RE-ENTRY STAGE","MOVE TO ACTIVE at "&amp;AV245))</f>
        <v/>
      </c>
      <c r="AZ245" s="40" t="str">
        <f aca="false">IF(AU245="Yes",COUNTIF($AU$6:AU245,"Yes"),"")</f>
        <v/>
      </c>
      <c r="BA245" s="29"/>
      <c r="BB245" s="38" t="str">
        <f aca="false">IF($C245="","",IF(OR(F245="Completed",F245="Cancelled"),"",IF(AND(OR(F245="On Hold",ISNUMBER(VALUE(LEFT(H245,2)))),BA245=""),"Reason not given","")))</f>
        <v/>
      </c>
      <c r="BC245" s="30"/>
    </row>
    <row r="246" customFormat="false" ht="19.5" hidden="false" customHeight="true" outlineLevel="0" collapsed="false">
      <c r="A246" s="28" t="str">
        <f aca="false">IF($C246="","",COUNTA($C$6:$C246))</f>
        <v/>
      </c>
      <c r="B246" s="29"/>
      <c r="C246" s="30"/>
      <c r="D246" s="29"/>
      <c r="E246" s="31" t="str">
        <f aca="false">IF($C246="","",IF(NOT(OR(M246="Completed",M246="NA",M246="Cancelled")),"S1 Schematic",IF(NOT(OR(R246="Completed",R246="NA",R246="Cancelled")),"S2 PCB Layout",IF(NOT(OR(W246="Completed",W246="NA",W246="Cancelled")),"S3 SI &amp; PI",IF(NOT(OR(AB246="Completed",AB246="NA",AB246="Cancelled")),"S4 Bare-PCB Fab",IF(NOT(OR(AG246="Completed",AG246="NA",AG246="Cancelled")),"S5 Assembly",IF(NOT(OR(AL246="Completed",AL246="NA",AL246="Cancelled")),"S6 Bring-up",IF(NOT(OR(AQ246="Completed",AQ246="NA",AQ246="Cancelled")),"S7 BOM Procurement","All Stages Closed"))))))))</f>
        <v/>
      </c>
      <c r="F246" s="32" t="str">
        <f aca="false">IF($C246="","",IF(COUNTIF(M246,"Cancelled")+COUNTIF(R246,"Cancelled")+COUNTIF(W246,"Cancelled")+COUNTIF(AB246,"Cancelled")+COUNTIF(AG246,"Cancelled")+COUNTIF(AL246,"Cancelled")+COUNTIF(AQ246,"Cancelled")&gt;0,"Cancelled",IF(E246="All Stages Closed","Completed",IF(E246="S1 Schematic",M246,IF(E246="S2 PCB Layout",R246,IF(E246="S3 SI &amp; PI",W246,IF(E246="S4 Bare-PCB Fab",AB246,IF(E246="S5 Assembly",AG246,IF(E246="S6 Bring-up",AL246,AQ246)))))))))</f>
        <v/>
      </c>
      <c r="G246" s="33" t="str">
        <f aca="false">IF($C246="","",IF(E246="All Stages Closed","",IF(E246="S1 Schematic",IF(N246="","Not added",N246),IF(E246="S2 PCB Layout",IF(S246="","Not added",S246),IF(E246="S3 SI &amp; PI",IF(X246="","Not added",X246),IF(E246="S4 Bare-PCB Fab",IF(AC246="","Not added",AC246),IF(E246="S5 Assembly",IF(AH246="","Not added",AH246),IF(E246="S6 Bring-up",IF(AM246="","Not added",AM246),IF(AR246="","Not added",AR246)))))))))</f>
        <v/>
      </c>
      <c r="H246" s="32" t="str">
        <f aca="true">IF($C246="","",IF(OR(F246="Completed",F246="Cancelled"),"",IF(NOT(ISNUMBER(G246)),"No date set",IF(TODAY()&gt;G246,TODAY()-G246&amp;" days late",G246-TODAY()&amp;" days left"))))</f>
        <v/>
      </c>
      <c r="I246" s="31" t="str">
        <f aca="false">IF($C246="","",COUNTIF(M246,"Completed")+COUNTIF(R246,"Completed")+COUNTIF(W246,"Completed")+COUNTIF(AB246,"Completed")+COUNTIF(AG246,"Completed")+COUNTIF(AL246,"Completed")+COUNTIF(AQ246,"Completed"))</f>
        <v/>
      </c>
      <c r="J246" s="31" t="str">
        <f aca="false">IF($C246="","",7-(COUNTIF(M246,"NA")+COUNTIF(R246,"NA")+COUNTIF(W246,"NA")+COUNTIF(AB246,"NA")+COUNTIF(AG246,"NA")+COUNTIF(AL246,"NA")+COUNTIF(AQ246,"NA")))</f>
        <v/>
      </c>
      <c r="K246" s="34" t="str">
        <f aca="false">IFERROR(I246/J246,"")</f>
        <v/>
      </c>
      <c r="L246" s="29"/>
      <c r="M246" s="35"/>
      <c r="N246" s="36"/>
      <c r="O246" s="36"/>
      <c r="P246" s="30"/>
      <c r="Q246" s="29"/>
      <c r="R246" s="35"/>
      <c r="S246" s="36"/>
      <c r="T246" s="36"/>
      <c r="U246" s="30"/>
      <c r="V246" s="29"/>
      <c r="W246" s="35"/>
      <c r="X246" s="36"/>
      <c r="Y246" s="36"/>
      <c r="Z246" s="30"/>
      <c r="AA246" s="29"/>
      <c r="AB246" s="35"/>
      <c r="AC246" s="36"/>
      <c r="AD246" s="36"/>
      <c r="AE246" s="30"/>
      <c r="AF246" s="29"/>
      <c r="AG246" s="35"/>
      <c r="AH246" s="36"/>
      <c r="AI246" s="36"/>
      <c r="AJ246" s="30"/>
      <c r="AK246" s="29"/>
      <c r="AL246" s="35"/>
      <c r="AM246" s="36"/>
      <c r="AN246" s="36"/>
      <c r="AO246" s="30"/>
      <c r="AP246" s="29"/>
      <c r="AQ246" s="35"/>
      <c r="AR246" s="36"/>
      <c r="AS246" s="36"/>
      <c r="AT246" s="30"/>
      <c r="AU246" s="29"/>
      <c r="AV246" s="29"/>
      <c r="AW246" s="29"/>
      <c r="AX246" s="37"/>
      <c r="AY246" s="39" t="str">
        <f aca="false">IF(AU246&lt;&gt;"Yes","",IF(AV246="","SELECT RE-ENTRY STAGE","MOVE TO ACTIVE at "&amp;AV246))</f>
        <v/>
      </c>
      <c r="AZ246" s="40" t="str">
        <f aca="false">IF(AU246="Yes",COUNTIF($AU$6:AU246,"Yes"),"")</f>
        <v/>
      </c>
      <c r="BA246" s="29"/>
      <c r="BB246" s="38" t="str">
        <f aca="false">IF($C246="","",IF(OR(F246="Completed",F246="Cancelled"),"",IF(AND(OR(F246="On Hold",ISNUMBER(VALUE(LEFT(H246,2)))),BA246=""),"Reason not given","")))</f>
        <v/>
      </c>
      <c r="BC246" s="30"/>
    </row>
    <row r="247" customFormat="false" ht="19.5" hidden="false" customHeight="true" outlineLevel="0" collapsed="false">
      <c r="A247" s="28" t="str">
        <f aca="false">IF($C247="","",COUNTA($C$6:$C247))</f>
        <v/>
      </c>
      <c r="B247" s="29"/>
      <c r="C247" s="30"/>
      <c r="D247" s="29"/>
      <c r="E247" s="31" t="str">
        <f aca="false">IF($C247="","",IF(NOT(OR(M247="Completed",M247="NA",M247="Cancelled")),"S1 Schematic",IF(NOT(OR(R247="Completed",R247="NA",R247="Cancelled")),"S2 PCB Layout",IF(NOT(OR(W247="Completed",W247="NA",W247="Cancelled")),"S3 SI &amp; PI",IF(NOT(OR(AB247="Completed",AB247="NA",AB247="Cancelled")),"S4 Bare-PCB Fab",IF(NOT(OR(AG247="Completed",AG247="NA",AG247="Cancelled")),"S5 Assembly",IF(NOT(OR(AL247="Completed",AL247="NA",AL247="Cancelled")),"S6 Bring-up",IF(NOT(OR(AQ247="Completed",AQ247="NA",AQ247="Cancelled")),"S7 BOM Procurement","All Stages Closed"))))))))</f>
        <v/>
      </c>
      <c r="F247" s="32" t="str">
        <f aca="false">IF($C247="","",IF(COUNTIF(M247,"Cancelled")+COUNTIF(R247,"Cancelled")+COUNTIF(W247,"Cancelled")+COUNTIF(AB247,"Cancelled")+COUNTIF(AG247,"Cancelled")+COUNTIF(AL247,"Cancelled")+COUNTIF(AQ247,"Cancelled")&gt;0,"Cancelled",IF(E247="All Stages Closed","Completed",IF(E247="S1 Schematic",M247,IF(E247="S2 PCB Layout",R247,IF(E247="S3 SI &amp; PI",W247,IF(E247="S4 Bare-PCB Fab",AB247,IF(E247="S5 Assembly",AG247,IF(E247="S6 Bring-up",AL247,AQ247)))))))))</f>
        <v/>
      </c>
      <c r="G247" s="33" t="str">
        <f aca="false">IF($C247="","",IF(E247="All Stages Closed","",IF(E247="S1 Schematic",IF(N247="","Not added",N247),IF(E247="S2 PCB Layout",IF(S247="","Not added",S247),IF(E247="S3 SI &amp; PI",IF(X247="","Not added",X247),IF(E247="S4 Bare-PCB Fab",IF(AC247="","Not added",AC247),IF(E247="S5 Assembly",IF(AH247="","Not added",AH247),IF(E247="S6 Bring-up",IF(AM247="","Not added",AM247),IF(AR247="","Not added",AR247)))))))))</f>
        <v/>
      </c>
      <c r="H247" s="32" t="str">
        <f aca="true">IF($C247="","",IF(OR(F247="Completed",F247="Cancelled"),"",IF(NOT(ISNUMBER(G247)),"No date set",IF(TODAY()&gt;G247,TODAY()-G247&amp;" days late",G247-TODAY()&amp;" days left"))))</f>
        <v/>
      </c>
      <c r="I247" s="31" t="str">
        <f aca="false">IF($C247="","",COUNTIF(M247,"Completed")+COUNTIF(R247,"Completed")+COUNTIF(W247,"Completed")+COUNTIF(AB247,"Completed")+COUNTIF(AG247,"Completed")+COUNTIF(AL247,"Completed")+COUNTIF(AQ247,"Completed"))</f>
        <v/>
      </c>
      <c r="J247" s="31" t="str">
        <f aca="false">IF($C247="","",7-(COUNTIF(M247,"NA")+COUNTIF(R247,"NA")+COUNTIF(W247,"NA")+COUNTIF(AB247,"NA")+COUNTIF(AG247,"NA")+COUNTIF(AL247,"NA")+COUNTIF(AQ247,"NA")))</f>
        <v/>
      </c>
      <c r="K247" s="34" t="str">
        <f aca="false">IFERROR(I247/J247,"")</f>
        <v/>
      </c>
      <c r="L247" s="29"/>
      <c r="M247" s="35"/>
      <c r="N247" s="36"/>
      <c r="O247" s="36"/>
      <c r="P247" s="30"/>
      <c r="Q247" s="29"/>
      <c r="R247" s="35"/>
      <c r="S247" s="36"/>
      <c r="T247" s="36"/>
      <c r="U247" s="30"/>
      <c r="V247" s="29"/>
      <c r="W247" s="35"/>
      <c r="X247" s="36"/>
      <c r="Y247" s="36"/>
      <c r="Z247" s="30"/>
      <c r="AA247" s="29"/>
      <c r="AB247" s="35"/>
      <c r="AC247" s="36"/>
      <c r="AD247" s="36"/>
      <c r="AE247" s="30"/>
      <c r="AF247" s="29"/>
      <c r="AG247" s="35"/>
      <c r="AH247" s="36"/>
      <c r="AI247" s="36"/>
      <c r="AJ247" s="30"/>
      <c r="AK247" s="29"/>
      <c r="AL247" s="35"/>
      <c r="AM247" s="36"/>
      <c r="AN247" s="36"/>
      <c r="AO247" s="30"/>
      <c r="AP247" s="29"/>
      <c r="AQ247" s="35"/>
      <c r="AR247" s="36"/>
      <c r="AS247" s="36"/>
      <c r="AT247" s="30"/>
      <c r="AU247" s="29"/>
      <c r="AV247" s="29"/>
      <c r="AW247" s="29"/>
      <c r="AX247" s="37"/>
      <c r="AY247" s="39" t="str">
        <f aca="false">IF(AU247&lt;&gt;"Yes","",IF(AV247="","SELECT RE-ENTRY STAGE","MOVE TO ACTIVE at "&amp;AV247))</f>
        <v/>
      </c>
      <c r="AZ247" s="40" t="str">
        <f aca="false">IF(AU247="Yes",COUNTIF($AU$6:AU247,"Yes"),"")</f>
        <v/>
      </c>
      <c r="BA247" s="29"/>
      <c r="BB247" s="38" t="str">
        <f aca="false">IF($C247="","",IF(OR(F247="Completed",F247="Cancelled"),"",IF(AND(OR(F247="On Hold",ISNUMBER(VALUE(LEFT(H247,2)))),BA247=""),"Reason not given","")))</f>
        <v/>
      </c>
      <c r="BC247" s="30"/>
    </row>
    <row r="248" customFormat="false" ht="19.5" hidden="false" customHeight="true" outlineLevel="0" collapsed="false">
      <c r="A248" s="28" t="str">
        <f aca="false">IF($C248="","",COUNTA($C$6:$C248))</f>
        <v/>
      </c>
      <c r="B248" s="29"/>
      <c r="C248" s="30"/>
      <c r="D248" s="29"/>
      <c r="E248" s="31" t="str">
        <f aca="false">IF($C248="","",IF(NOT(OR(M248="Completed",M248="NA",M248="Cancelled")),"S1 Schematic",IF(NOT(OR(R248="Completed",R248="NA",R248="Cancelled")),"S2 PCB Layout",IF(NOT(OR(W248="Completed",W248="NA",W248="Cancelled")),"S3 SI &amp; PI",IF(NOT(OR(AB248="Completed",AB248="NA",AB248="Cancelled")),"S4 Bare-PCB Fab",IF(NOT(OR(AG248="Completed",AG248="NA",AG248="Cancelled")),"S5 Assembly",IF(NOT(OR(AL248="Completed",AL248="NA",AL248="Cancelled")),"S6 Bring-up",IF(NOT(OR(AQ248="Completed",AQ248="NA",AQ248="Cancelled")),"S7 BOM Procurement","All Stages Closed"))))))))</f>
        <v/>
      </c>
      <c r="F248" s="32" t="str">
        <f aca="false">IF($C248="","",IF(COUNTIF(M248,"Cancelled")+COUNTIF(R248,"Cancelled")+COUNTIF(W248,"Cancelled")+COUNTIF(AB248,"Cancelled")+COUNTIF(AG248,"Cancelled")+COUNTIF(AL248,"Cancelled")+COUNTIF(AQ248,"Cancelled")&gt;0,"Cancelled",IF(E248="All Stages Closed","Completed",IF(E248="S1 Schematic",M248,IF(E248="S2 PCB Layout",R248,IF(E248="S3 SI &amp; PI",W248,IF(E248="S4 Bare-PCB Fab",AB248,IF(E248="S5 Assembly",AG248,IF(E248="S6 Bring-up",AL248,AQ248)))))))))</f>
        <v/>
      </c>
      <c r="G248" s="33" t="str">
        <f aca="false">IF($C248="","",IF(E248="All Stages Closed","",IF(E248="S1 Schematic",IF(N248="","Not added",N248),IF(E248="S2 PCB Layout",IF(S248="","Not added",S248),IF(E248="S3 SI &amp; PI",IF(X248="","Not added",X248),IF(E248="S4 Bare-PCB Fab",IF(AC248="","Not added",AC248),IF(E248="S5 Assembly",IF(AH248="","Not added",AH248),IF(E248="S6 Bring-up",IF(AM248="","Not added",AM248),IF(AR248="","Not added",AR248)))))))))</f>
        <v/>
      </c>
      <c r="H248" s="32" t="str">
        <f aca="true">IF($C248="","",IF(OR(F248="Completed",F248="Cancelled"),"",IF(NOT(ISNUMBER(G248)),"No date set",IF(TODAY()&gt;G248,TODAY()-G248&amp;" days late",G248-TODAY()&amp;" days left"))))</f>
        <v/>
      </c>
      <c r="I248" s="31" t="str">
        <f aca="false">IF($C248="","",COUNTIF(M248,"Completed")+COUNTIF(R248,"Completed")+COUNTIF(W248,"Completed")+COUNTIF(AB248,"Completed")+COUNTIF(AG248,"Completed")+COUNTIF(AL248,"Completed")+COUNTIF(AQ248,"Completed"))</f>
        <v/>
      </c>
      <c r="J248" s="31" t="str">
        <f aca="false">IF($C248="","",7-(COUNTIF(M248,"NA")+COUNTIF(R248,"NA")+COUNTIF(W248,"NA")+COUNTIF(AB248,"NA")+COUNTIF(AG248,"NA")+COUNTIF(AL248,"NA")+COUNTIF(AQ248,"NA")))</f>
        <v/>
      </c>
      <c r="K248" s="34" t="str">
        <f aca="false">IFERROR(I248/J248,"")</f>
        <v/>
      </c>
      <c r="L248" s="29"/>
      <c r="M248" s="35"/>
      <c r="N248" s="36"/>
      <c r="O248" s="36"/>
      <c r="P248" s="30"/>
      <c r="Q248" s="29"/>
      <c r="R248" s="35"/>
      <c r="S248" s="36"/>
      <c r="T248" s="36"/>
      <c r="U248" s="30"/>
      <c r="V248" s="29"/>
      <c r="W248" s="35"/>
      <c r="X248" s="36"/>
      <c r="Y248" s="36"/>
      <c r="Z248" s="30"/>
      <c r="AA248" s="29"/>
      <c r="AB248" s="35"/>
      <c r="AC248" s="36"/>
      <c r="AD248" s="36"/>
      <c r="AE248" s="30"/>
      <c r="AF248" s="29"/>
      <c r="AG248" s="35"/>
      <c r="AH248" s="36"/>
      <c r="AI248" s="36"/>
      <c r="AJ248" s="30"/>
      <c r="AK248" s="29"/>
      <c r="AL248" s="35"/>
      <c r="AM248" s="36"/>
      <c r="AN248" s="36"/>
      <c r="AO248" s="30"/>
      <c r="AP248" s="29"/>
      <c r="AQ248" s="35"/>
      <c r="AR248" s="36"/>
      <c r="AS248" s="36"/>
      <c r="AT248" s="30"/>
      <c r="AU248" s="29"/>
      <c r="AV248" s="29"/>
      <c r="AW248" s="29"/>
      <c r="AX248" s="37"/>
      <c r="AY248" s="39" t="str">
        <f aca="false">IF(AU248&lt;&gt;"Yes","",IF(AV248="","SELECT RE-ENTRY STAGE","MOVE TO ACTIVE at "&amp;AV248))</f>
        <v/>
      </c>
      <c r="AZ248" s="40" t="str">
        <f aca="false">IF(AU248="Yes",COUNTIF($AU$6:AU248,"Yes"),"")</f>
        <v/>
      </c>
      <c r="BA248" s="29"/>
      <c r="BB248" s="38" t="str">
        <f aca="false">IF($C248="","",IF(OR(F248="Completed",F248="Cancelled"),"",IF(AND(OR(F248="On Hold",ISNUMBER(VALUE(LEFT(H248,2)))),BA248=""),"Reason not given","")))</f>
        <v/>
      </c>
      <c r="BC248" s="30"/>
    </row>
    <row r="249" customFormat="false" ht="19.5" hidden="false" customHeight="true" outlineLevel="0" collapsed="false">
      <c r="A249" s="28" t="str">
        <f aca="false">IF($C249="","",COUNTA($C$6:$C249))</f>
        <v/>
      </c>
      <c r="B249" s="29"/>
      <c r="C249" s="30"/>
      <c r="D249" s="29"/>
      <c r="E249" s="31" t="str">
        <f aca="false">IF($C249="","",IF(NOT(OR(M249="Completed",M249="NA",M249="Cancelled")),"S1 Schematic",IF(NOT(OR(R249="Completed",R249="NA",R249="Cancelled")),"S2 PCB Layout",IF(NOT(OR(W249="Completed",W249="NA",W249="Cancelled")),"S3 SI &amp; PI",IF(NOT(OR(AB249="Completed",AB249="NA",AB249="Cancelled")),"S4 Bare-PCB Fab",IF(NOT(OR(AG249="Completed",AG249="NA",AG249="Cancelled")),"S5 Assembly",IF(NOT(OR(AL249="Completed",AL249="NA",AL249="Cancelled")),"S6 Bring-up",IF(NOT(OR(AQ249="Completed",AQ249="NA",AQ249="Cancelled")),"S7 BOM Procurement","All Stages Closed"))))))))</f>
        <v/>
      </c>
      <c r="F249" s="32" t="str">
        <f aca="false">IF($C249="","",IF(COUNTIF(M249,"Cancelled")+COUNTIF(R249,"Cancelled")+COUNTIF(W249,"Cancelled")+COUNTIF(AB249,"Cancelled")+COUNTIF(AG249,"Cancelled")+COUNTIF(AL249,"Cancelled")+COUNTIF(AQ249,"Cancelled")&gt;0,"Cancelled",IF(E249="All Stages Closed","Completed",IF(E249="S1 Schematic",M249,IF(E249="S2 PCB Layout",R249,IF(E249="S3 SI &amp; PI",W249,IF(E249="S4 Bare-PCB Fab",AB249,IF(E249="S5 Assembly",AG249,IF(E249="S6 Bring-up",AL249,AQ249)))))))))</f>
        <v/>
      </c>
      <c r="G249" s="33" t="str">
        <f aca="false">IF($C249="","",IF(E249="All Stages Closed","",IF(E249="S1 Schematic",IF(N249="","Not added",N249),IF(E249="S2 PCB Layout",IF(S249="","Not added",S249),IF(E249="S3 SI &amp; PI",IF(X249="","Not added",X249),IF(E249="S4 Bare-PCB Fab",IF(AC249="","Not added",AC249),IF(E249="S5 Assembly",IF(AH249="","Not added",AH249),IF(E249="S6 Bring-up",IF(AM249="","Not added",AM249),IF(AR249="","Not added",AR249)))))))))</f>
        <v/>
      </c>
      <c r="H249" s="32" t="str">
        <f aca="true">IF($C249="","",IF(OR(F249="Completed",F249="Cancelled"),"",IF(NOT(ISNUMBER(G249)),"No date set",IF(TODAY()&gt;G249,TODAY()-G249&amp;" days late",G249-TODAY()&amp;" days left"))))</f>
        <v/>
      </c>
      <c r="I249" s="31" t="str">
        <f aca="false">IF($C249="","",COUNTIF(M249,"Completed")+COUNTIF(R249,"Completed")+COUNTIF(W249,"Completed")+COUNTIF(AB249,"Completed")+COUNTIF(AG249,"Completed")+COUNTIF(AL249,"Completed")+COUNTIF(AQ249,"Completed"))</f>
        <v/>
      </c>
      <c r="J249" s="31" t="str">
        <f aca="false">IF($C249="","",7-(COUNTIF(M249,"NA")+COUNTIF(R249,"NA")+COUNTIF(W249,"NA")+COUNTIF(AB249,"NA")+COUNTIF(AG249,"NA")+COUNTIF(AL249,"NA")+COUNTIF(AQ249,"NA")))</f>
        <v/>
      </c>
      <c r="K249" s="34" t="str">
        <f aca="false">IFERROR(I249/J249,"")</f>
        <v/>
      </c>
      <c r="L249" s="29"/>
      <c r="M249" s="35"/>
      <c r="N249" s="36"/>
      <c r="O249" s="36"/>
      <c r="P249" s="30"/>
      <c r="Q249" s="29"/>
      <c r="R249" s="35"/>
      <c r="S249" s="36"/>
      <c r="T249" s="36"/>
      <c r="U249" s="30"/>
      <c r="V249" s="29"/>
      <c r="W249" s="35"/>
      <c r="X249" s="36"/>
      <c r="Y249" s="36"/>
      <c r="Z249" s="30"/>
      <c r="AA249" s="29"/>
      <c r="AB249" s="35"/>
      <c r="AC249" s="36"/>
      <c r="AD249" s="36"/>
      <c r="AE249" s="30"/>
      <c r="AF249" s="29"/>
      <c r="AG249" s="35"/>
      <c r="AH249" s="36"/>
      <c r="AI249" s="36"/>
      <c r="AJ249" s="30"/>
      <c r="AK249" s="29"/>
      <c r="AL249" s="35"/>
      <c r="AM249" s="36"/>
      <c r="AN249" s="36"/>
      <c r="AO249" s="30"/>
      <c r="AP249" s="29"/>
      <c r="AQ249" s="35"/>
      <c r="AR249" s="36"/>
      <c r="AS249" s="36"/>
      <c r="AT249" s="30"/>
      <c r="AU249" s="29"/>
      <c r="AV249" s="29"/>
      <c r="AW249" s="29"/>
      <c r="AX249" s="37"/>
      <c r="AY249" s="39" t="str">
        <f aca="false">IF(AU249&lt;&gt;"Yes","",IF(AV249="","SELECT RE-ENTRY STAGE","MOVE TO ACTIVE at "&amp;AV249))</f>
        <v/>
      </c>
      <c r="AZ249" s="40" t="str">
        <f aca="false">IF(AU249="Yes",COUNTIF($AU$6:AU249,"Yes"),"")</f>
        <v/>
      </c>
      <c r="BA249" s="29"/>
      <c r="BB249" s="38" t="str">
        <f aca="false">IF($C249="","",IF(OR(F249="Completed",F249="Cancelled"),"",IF(AND(OR(F249="On Hold",ISNUMBER(VALUE(LEFT(H249,2)))),BA249=""),"Reason not given","")))</f>
        <v/>
      </c>
      <c r="BC249" s="30"/>
    </row>
    <row r="250" customFormat="false" ht="19.5" hidden="false" customHeight="true" outlineLevel="0" collapsed="false">
      <c r="A250" s="28" t="str">
        <f aca="false">IF($C250="","",COUNTA($C$6:$C250))</f>
        <v/>
      </c>
      <c r="B250" s="29"/>
      <c r="C250" s="30"/>
      <c r="D250" s="29"/>
      <c r="E250" s="31" t="str">
        <f aca="false">IF($C250="","",IF(NOT(OR(M250="Completed",M250="NA",M250="Cancelled")),"S1 Schematic",IF(NOT(OR(R250="Completed",R250="NA",R250="Cancelled")),"S2 PCB Layout",IF(NOT(OR(W250="Completed",W250="NA",W250="Cancelled")),"S3 SI &amp; PI",IF(NOT(OR(AB250="Completed",AB250="NA",AB250="Cancelled")),"S4 Bare-PCB Fab",IF(NOT(OR(AG250="Completed",AG250="NA",AG250="Cancelled")),"S5 Assembly",IF(NOT(OR(AL250="Completed",AL250="NA",AL250="Cancelled")),"S6 Bring-up",IF(NOT(OR(AQ250="Completed",AQ250="NA",AQ250="Cancelled")),"S7 BOM Procurement","All Stages Closed"))))))))</f>
        <v/>
      </c>
      <c r="F250" s="32" t="str">
        <f aca="false">IF($C250="","",IF(COUNTIF(M250,"Cancelled")+COUNTIF(R250,"Cancelled")+COUNTIF(W250,"Cancelled")+COUNTIF(AB250,"Cancelled")+COUNTIF(AG250,"Cancelled")+COUNTIF(AL250,"Cancelled")+COUNTIF(AQ250,"Cancelled")&gt;0,"Cancelled",IF(E250="All Stages Closed","Completed",IF(E250="S1 Schematic",M250,IF(E250="S2 PCB Layout",R250,IF(E250="S3 SI &amp; PI",W250,IF(E250="S4 Bare-PCB Fab",AB250,IF(E250="S5 Assembly",AG250,IF(E250="S6 Bring-up",AL250,AQ250)))))))))</f>
        <v/>
      </c>
      <c r="G250" s="33" t="str">
        <f aca="false">IF($C250="","",IF(E250="All Stages Closed","",IF(E250="S1 Schematic",IF(N250="","Not added",N250),IF(E250="S2 PCB Layout",IF(S250="","Not added",S250),IF(E250="S3 SI &amp; PI",IF(X250="","Not added",X250),IF(E250="S4 Bare-PCB Fab",IF(AC250="","Not added",AC250),IF(E250="S5 Assembly",IF(AH250="","Not added",AH250),IF(E250="S6 Bring-up",IF(AM250="","Not added",AM250),IF(AR250="","Not added",AR250)))))))))</f>
        <v/>
      </c>
      <c r="H250" s="32" t="str">
        <f aca="true">IF($C250="","",IF(OR(F250="Completed",F250="Cancelled"),"",IF(NOT(ISNUMBER(G250)),"No date set",IF(TODAY()&gt;G250,TODAY()-G250&amp;" days late",G250-TODAY()&amp;" days left"))))</f>
        <v/>
      </c>
      <c r="I250" s="31" t="str">
        <f aca="false">IF($C250="","",COUNTIF(M250,"Completed")+COUNTIF(R250,"Completed")+COUNTIF(W250,"Completed")+COUNTIF(AB250,"Completed")+COUNTIF(AG250,"Completed")+COUNTIF(AL250,"Completed")+COUNTIF(AQ250,"Completed"))</f>
        <v/>
      </c>
      <c r="J250" s="31" t="str">
        <f aca="false">IF($C250="","",7-(COUNTIF(M250,"NA")+COUNTIF(R250,"NA")+COUNTIF(W250,"NA")+COUNTIF(AB250,"NA")+COUNTIF(AG250,"NA")+COUNTIF(AL250,"NA")+COUNTIF(AQ250,"NA")))</f>
        <v/>
      </c>
      <c r="K250" s="34" t="str">
        <f aca="false">IFERROR(I250/J250,"")</f>
        <v/>
      </c>
      <c r="L250" s="29"/>
      <c r="M250" s="35"/>
      <c r="N250" s="36"/>
      <c r="O250" s="36"/>
      <c r="P250" s="30"/>
      <c r="Q250" s="29"/>
      <c r="R250" s="35"/>
      <c r="S250" s="36"/>
      <c r="T250" s="36"/>
      <c r="U250" s="30"/>
      <c r="V250" s="29"/>
      <c r="W250" s="35"/>
      <c r="X250" s="36"/>
      <c r="Y250" s="36"/>
      <c r="Z250" s="30"/>
      <c r="AA250" s="29"/>
      <c r="AB250" s="35"/>
      <c r="AC250" s="36"/>
      <c r="AD250" s="36"/>
      <c r="AE250" s="30"/>
      <c r="AF250" s="29"/>
      <c r="AG250" s="35"/>
      <c r="AH250" s="36"/>
      <c r="AI250" s="36"/>
      <c r="AJ250" s="30"/>
      <c r="AK250" s="29"/>
      <c r="AL250" s="35"/>
      <c r="AM250" s="36"/>
      <c r="AN250" s="36"/>
      <c r="AO250" s="30"/>
      <c r="AP250" s="29"/>
      <c r="AQ250" s="35"/>
      <c r="AR250" s="36"/>
      <c r="AS250" s="36"/>
      <c r="AT250" s="30"/>
      <c r="AU250" s="29"/>
      <c r="AV250" s="29"/>
      <c r="AW250" s="29"/>
      <c r="AX250" s="37"/>
      <c r="AY250" s="39" t="str">
        <f aca="false">IF(AU250&lt;&gt;"Yes","",IF(AV250="","SELECT RE-ENTRY STAGE","MOVE TO ACTIVE at "&amp;AV250))</f>
        <v/>
      </c>
      <c r="AZ250" s="40" t="str">
        <f aca="false">IF(AU250="Yes",COUNTIF($AU$6:AU250,"Yes"),"")</f>
        <v/>
      </c>
      <c r="BA250" s="29"/>
      <c r="BB250" s="38" t="str">
        <f aca="false">IF($C250="","",IF(OR(F250="Completed",F250="Cancelled"),"",IF(AND(OR(F250="On Hold",ISNUMBER(VALUE(LEFT(H250,2)))),BA250=""),"Reason not given","")))</f>
        <v/>
      </c>
      <c r="BC250" s="30"/>
    </row>
    <row r="251" customFormat="false" ht="19.5" hidden="false" customHeight="true" outlineLevel="0" collapsed="false">
      <c r="A251" s="28" t="str">
        <f aca="false">IF($C251="","",COUNTA($C$6:$C251))</f>
        <v/>
      </c>
      <c r="B251" s="29"/>
      <c r="C251" s="30"/>
      <c r="D251" s="29"/>
      <c r="E251" s="31" t="str">
        <f aca="false">IF($C251="","",IF(NOT(OR(M251="Completed",M251="NA",M251="Cancelled")),"S1 Schematic",IF(NOT(OR(R251="Completed",R251="NA",R251="Cancelled")),"S2 PCB Layout",IF(NOT(OR(W251="Completed",W251="NA",W251="Cancelled")),"S3 SI &amp; PI",IF(NOT(OR(AB251="Completed",AB251="NA",AB251="Cancelled")),"S4 Bare-PCB Fab",IF(NOT(OR(AG251="Completed",AG251="NA",AG251="Cancelled")),"S5 Assembly",IF(NOT(OR(AL251="Completed",AL251="NA",AL251="Cancelled")),"S6 Bring-up",IF(NOT(OR(AQ251="Completed",AQ251="NA",AQ251="Cancelled")),"S7 BOM Procurement","All Stages Closed"))))))))</f>
        <v/>
      </c>
      <c r="F251" s="32" t="str">
        <f aca="false">IF($C251="","",IF(COUNTIF(M251,"Cancelled")+COUNTIF(R251,"Cancelled")+COUNTIF(W251,"Cancelled")+COUNTIF(AB251,"Cancelled")+COUNTIF(AG251,"Cancelled")+COUNTIF(AL251,"Cancelled")+COUNTIF(AQ251,"Cancelled")&gt;0,"Cancelled",IF(E251="All Stages Closed","Completed",IF(E251="S1 Schematic",M251,IF(E251="S2 PCB Layout",R251,IF(E251="S3 SI &amp; PI",W251,IF(E251="S4 Bare-PCB Fab",AB251,IF(E251="S5 Assembly",AG251,IF(E251="S6 Bring-up",AL251,AQ251)))))))))</f>
        <v/>
      </c>
      <c r="G251" s="33" t="str">
        <f aca="false">IF($C251="","",IF(E251="All Stages Closed","",IF(E251="S1 Schematic",IF(N251="","Not added",N251),IF(E251="S2 PCB Layout",IF(S251="","Not added",S251),IF(E251="S3 SI &amp; PI",IF(X251="","Not added",X251),IF(E251="S4 Bare-PCB Fab",IF(AC251="","Not added",AC251),IF(E251="S5 Assembly",IF(AH251="","Not added",AH251),IF(E251="S6 Bring-up",IF(AM251="","Not added",AM251),IF(AR251="","Not added",AR251)))))))))</f>
        <v/>
      </c>
      <c r="H251" s="32" t="str">
        <f aca="true">IF($C251="","",IF(OR(F251="Completed",F251="Cancelled"),"",IF(NOT(ISNUMBER(G251)),"No date set",IF(TODAY()&gt;G251,TODAY()-G251&amp;" days late",G251-TODAY()&amp;" days left"))))</f>
        <v/>
      </c>
      <c r="I251" s="31" t="str">
        <f aca="false">IF($C251="","",COUNTIF(M251,"Completed")+COUNTIF(R251,"Completed")+COUNTIF(W251,"Completed")+COUNTIF(AB251,"Completed")+COUNTIF(AG251,"Completed")+COUNTIF(AL251,"Completed")+COUNTIF(AQ251,"Completed"))</f>
        <v/>
      </c>
      <c r="J251" s="31" t="str">
        <f aca="false">IF($C251="","",7-(COUNTIF(M251,"NA")+COUNTIF(R251,"NA")+COUNTIF(W251,"NA")+COUNTIF(AB251,"NA")+COUNTIF(AG251,"NA")+COUNTIF(AL251,"NA")+COUNTIF(AQ251,"NA")))</f>
        <v/>
      </c>
      <c r="K251" s="34" t="str">
        <f aca="false">IFERROR(I251/J251,"")</f>
        <v/>
      </c>
      <c r="L251" s="29"/>
      <c r="M251" s="35"/>
      <c r="N251" s="36"/>
      <c r="O251" s="36"/>
      <c r="P251" s="30"/>
      <c r="Q251" s="29"/>
      <c r="R251" s="35"/>
      <c r="S251" s="36"/>
      <c r="T251" s="36"/>
      <c r="U251" s="30"/>
      <c r="V251" s="29"/>
      <c r="W251" s="35"/>
      <c r="X251" s="36"/>
      <c r="Y251" s="36"/>
      <c r="Z251" s="30"/>
      <c r="AA251" s="29"/>
      <c r="AB251" s="35"/>
      <c r="AC251" s="36"/>
      <c r="AD251" s="36"/>
      <c r="AE251" s="30"/>
      <c r="AF251" s="29"/>
      <c r="AG251" s="35"/>
      <c r="AH251" s="36"/>
      <c r="AI251" s="36"/>
      <c r="AJ251" s="30"/>
      <c r="AK251" s="29"/>
      <c r="AL251" s="35"/>
      <c r="AM251" s="36"/>
      <c r="AN251" s="36"/>
      <c r="AO251" s="30"/>
      <c r="AP251" s="29"/>
      <c r="AQ251" s="35"/>
      <c r="AR251" s="36"/>
      <c r="AS251" s="36"/>
      <c r="AT251" s="30"/>
      <c r="AU251" s="29"/>
      <c r="AV251" s="29"/>
      <c r="AW251" s="29"/>
      <c r="AX251" s="37"/>
      <c r="AY251" s="39" t="str">
        <f aca="false">IF(AU251&lt;&gt;"Yes","",IF(AV251="","SELECT RE-ENTRY STAGE","MOVE TO ACTIVE at "&amp;AV251))</f>
        <v/>
      </c>
      <c r="AZ251" s="40" t="str">
        <f aca="false">IF(AU251="Yes",COUNTIF($AU$6:AU251,"Yes"),"")</f>
        <v/>
      </c>
      <c r="BA251" s="29"/>
      <c r="BB251" s="38" t="str">
        <f aca="false">IF($C251="","",IF(OR(F251="Completed",F251="Cancelled"),"",IF(AND(OR(F251="On Hold",ISNUMBER(VALUE(LEFT(H251,2)))),BA251=""),"Reason not given","")))</f>
        <v/>
      </c>
      <c r="BC251" s="30"/>
    </row>
    <row r="252" customFormat="false" ht="19.5" hidden="false" customHeight="true" outlineLevel="0" collapsed="false">
      <c r="A252" s="28" t="str">
        <f aca="false">IF($C252="","",COUNTA($C$6:$C252))</f>
        <v/>
      </c>
      <c r="B252" s="29"/>
      <c r="C252" s="30"/>
      <c r="D252" s="29"/>
      <c r="E252" s="31" t="str">
        <f aca="false">IF($C252="","",IF(NOT(OR(M252="Completed",M252="NA",M252="Cancelled")),"S1 Schematic",IF(NOT(OR(R252="Completed",R252="NA",R252="Cancelled")),"S2 PCB Layout",IF(NOT(OR(W252="Completed",W252="NA",W252="Cancelled")),"S3 SI &amp; PI",IF(NOT(OR(AB252="Completed",AB252="NA",AB252="Cancelled")),"S4 Bare-PCB Fab",IF(NOT(OR(AG252="Completed",AG252="NA",AG252="Cancelled")),"S5 Assembly",IF(NOT(OR(AL252="Completed",AL252="NA",AL252="Cancelled")),"S6 Bring-up",IF(NOT(OR(AQ252="Completed",AQ252="NA",AQ252="Cancelled")),"S7 BOM Procurement","All Stages Closed"))))))))</f>
        <v/>
      </c>
      <c r="F252" s="32" t="str">
        <f aca="false">IF($C252="","",IF(COUNTIF(M252,"Cancelled")+COUNTIF(R252,"Cancelled")+COUNTIF(W252,"Cancelled")+COUNTIF(AB252,"Cancelled")+COUNTIF(AG252,"Cancelled")+COUNTIF(AL252,"Cancelled")+COUNTIF(AQ252,"Cancelled")&gt;0,"Cancelled",IF(E252="All Stages Closed","Completed",IF(E252="S1 Schematic",M252,IF(E252="S2 PCB Layout",R252,IF(E252="S3 SI &amp; PI",W252,IF(E252="S4 Bare-PCB Fab",AB252,IF(E252="S5 Assembly",AG252,IF(E252="S6 Bring-up",AL252,AQ252)))))))))</f>
        <v/>
      </c>
      <c r="G252" s="33" t="str">
        <f aca="false">IF($C252="","",IF(E252="All Stages Closed","",IF(E252="S1 Schematic",IF(N252="","Not added",N252),IF(E252="S2 PCB Layout",IF(S252="","Not added",S252),IF(E252="S3 SI &amp; PI",IF(X252="","Not added",X252),IF(E252="S4 Bare-PCB Fab",IF(AC252="","Not added",AC252),IF(E252="S5 Assembly",IF(AH252="","Not added",AH252),IF(E252="S6 Bring-up",IF(AM252="","Not added",AM252),IF(AR252="","Not added",AR252)))))))))</f>
        <v/>
      </c>
      <c r="H252" s="32" t="str">
        <f aca="true">IF($C252="","",IF(OR(F252="Completed",F252="Cancelled"),"",IF(NOT(ISNUMBER(G252)),"No date set",IF(TODAY()&gt;G252,TODAY()-G252&amp;" days late",G252-TODAY()&amp;" days left"))))</f>
        <v/>
      </c>
      <c r="I252" s="31" t="str">
        <f aca="false">IF($C252="","",COUNTIF(M252,"Completed")+COUNTIF(R252,"Completed")+COUNTIF(W252,"Completed")+COUNTIF(AB252,"Completed")+COUNTIF(AG252,"Completed")+COUNTIF(AL252,"Completed")+COUNTIF(AQ252,"Completed"))</f>
        <v/>
      </c>
      <c r="J252" s="31" t="str">
        <f aca="false">IF($C252="","",7-(COUNTIF(M252,"NA")+COUNTIF(R252,"NA")+COUNTIF(W252,"NA")+COUNTIF(AB252,"NA")+COUNTIF(AG252,"NA")+COUNTIF(AL252,"NA")+COUNTIF(AQ252,"NA")))</f>
        <v/>
      </c>
      <c r="K252" s="34" t="str">
        <f aca="false">IFERROR(I252/J252,"")</f>
        <v/>
      </c>
      <c r="L252" s="29"/>
      <c r="M252" s="35"/>
      <c r="N252" s="36"/>
      <c r="O252" s="36"/>
      <c r="P252" s="30"/>
      <c r="Q252" s="29"/>
      <c r="R252" s="35"/>
      <c r="S252" s="36"/>
      <c r="T252" s="36"/>
      <c r="U252" s="30"/>
      <c r="V252" s="29"/>
      <c r="W252" s="35"/>
      <c r="X252" s="36"/>
      <c r="Y252" s="36"/>
      <c r="Z252" s="30"/>
      <c r="AA252" s="29"/>
      <c r="AB252" s="35"/>
      <c r="AC252" s="36"/>
      <c r="AD252" s="36"/>
      <c r="AE252" s="30"/>
      <c r="AF252" s="29"/>
      <c r="AG252" s="35"/>
      <c r="AH252" s="36"/>
      <c r="AI252" s="36"/>
      <c r="AJ252" s="30"/>
      <c r="AK252" s="29"/>
      <c r="AL252" s="35"/>
      <c r="AM252" s="36"/>
      <c r="AN252" s="36"/>
      <c r="AO252" s="30"/>
      <c r="AP252" s="29"/>
      <c r="AQ252" s="35"/>
      <c r="AR252" s="36"/>
      <c r="AS252" s="36"/>
      <c r="AT252" s="30"/>
      <c r="AU252" s="29"/>
      <c r="AV252" s="29"/>
      <c r="AW252" s="29"/>
      <c r="AX252" s="37"/>
      <c r="AY252" s="39" t="str">
        <f aca="false">IF(AU252&lt;&gt;"Yes","",IF(AV252="","SELECT RE-ENTRY STAGE","MOVE TO ACTIVE at "&amp;AV252))</f>
        <v/>
      </c>
      <c r="AZ252" s="40" t="str">
        <f aca="false">IF(AU252="Yes",COUNTIF($AU$6:AU252,"Yes"),"")</f>
        <v/>
      </c>
      <c r="BA252" s="29"/>
      <c r="BB252" s="38" t="str">
        <f aca="false">IF($C252="","",IF(OR(F252="Completed",F252="Cancelled"),"",IF(AND(OR(F252="On Hold",ISNUMBER(VALUE(LEFT(H252,2)))),BA252=""),"Reason not given","")))</f>
        <v/>
      </c>
      <c r="BC252" s="30"/>
    </row>
    <row r="253" customFormat="false" ht="19.5" hidden="false" customHeight="true" outlineLevel="0" collapsed="false">
      <c r="A253" s="28" t="str">
        <f aca="false">IF($C253="","",COUNTA($C$6:$C253))</f>
        <v/>
      </c>
      <c r="B253" s="29"/>
      <c r="C253" s="30"/>
      <c r="D253" s="29"/>
      <c r="E253" s="31" t="str">
        <f aca="false">IF($C253="","",IF(NOT(OR(M253="Completed",M253="NA",M253="Cancelled")),"S1 Schematic",IF(NOT(OR(R253="Completed",R253="NA",R253="Cancelled")),"S2 PCB Layout",IF(NOT(OR(W253="Completed",W253="NA",W253="Cancelled")),"S3 SI &amp; PI",IF(NOT(OR(AB253="Completed",AB253="NA",AB253="Cancelled")),"S4 Bare-PCB Fab",IF(NOT(OR(AG253="Completed",AG253="NA",AG253="Cancelled")),"S5 Assembly",IF(NOT(OR(AL253="Completed",AL253="NA",AL253="Cancelled")),"S6 Bring-up",IF(NOT(OR(AQ253="Completed",AQ253="NA",AQ253="Cancelled")),"S7 BOM Procurement","All Stages Closed"))))))))</f>
        <v/>
      </c>
      <c r="F253" s="32" t="str">
        <f aca="false">IF($C253="","",IF(COUNTIF(M253,"Cancelled")+COUNTIF(R253,"Cancelled")+COUNTIF(W253,"Cancelled")+COUNTIF(AB253,"Cancelled")+COUNTIF(AG253,"Cancelled")+COUNTIF(AL253,"Cancelled")+COUNTIF(AQ253,"Cancelled")&gt;0,"Cancelled",IF(E253="All Stages Closed","Completed",IF(E253="S1 Schematic",M253,IF(E253="S2 PCB Layout",R253,IF(E253="S3 SI &amp; PI",W253,IF(E253="S4 Bare-PCB Fab",AB253,IF(E253="S5 Assembly",AG253,IF(E253="S6 Bring-up",AL253,AQ253)))))))))</f>
        <v/>
      </c>
      <c r="G253" s="33" t="str">
        <f aca="false">IF($C253="","",IF(E253="All Stages Closed","",IF(E253="S1 Schematic",IF(N253="","Not added",N253),IF(E253="S2 PCB Layout",IF(S253="","Not added",S253),IF(E253="S3 SI &amp; PI",IF(X253="","Not added",X253),IF(E253="S4 Bare-PCB Fab",IF(AC253="","Not added",AC253),IF(E253="S5 Assembly",IF(AH253="","Not added",AH253),IF(E253="S6 Bring-up",IF(AM253="","Not added",AM253),IF(AR253="","Not added",AR253)))))))))</f>
        <v/>
      </c>
      <c r="H253" s="32" t="str">
        <f aca="true">IF($C253="","",IF(OR(F253="Completed",F253="Cancelled"),"",IF(NOT(ISNUMBER(G253)),"No date set",IF(TODAY()&gt;G253,TODAY()-G253&amp;" days late",G253-TODAY()&amp;" days left"))))</f>
        <v/>
      </c>
      <c r="I253" s="31" t="str">
        <f aca="false">IF($C253="","",COUNTIF(M253,"Completed")+COUNTIF(R253,"Completed")+COUNTIF(W253,"Completed")+COUNTIF(AB253,"Completed")+COUNTIF(AG253,"Completed")+COUNTIF(AL253,"Completed")+COUNTIF(AQ253,"Completed"))</f>
        <v/>
      </c>
      <c r="J253" s="31" t="str">
        <f aca="false">IF($C253="","",7-(COUNTIF(M253,"NA")+COUNTIF(R253,"NA")+COUNTIF(W253,"NA")+COUNTIF(AB253,"NA")+COUNTIF(AG253,"NA")+COUNTIF(AL253,"NA")+COUNTIF(AQ253,"NA")))</f>
        <v/>
      </c>
      <c r="K253" s="34" t="str">
        <f aca="false">IFERROR(I253/J253,"")</f>
        <v/>
      </c>
      <c r="L253" s="29"/>
      <c r="M253" s="35"/>
      <c r="N253" s="36"/>
      <c r="O253" s="36"/>
      <c r="P253" s="30"/>
      <c r="Q253" s="29"/>
      <c r="R253" s="35"/>
      <c r="S253" s="36"/>
      <c r="T253" s="36"/>
      <c r="U253" s="30"/>
      <c r="V253" s="29"/>
      <c r="W253" s="35"/>
      <c r="X253" s="36"/>
      <c r="Y253" s="36"/>
      <c r="Z253" s="30"/>
      <c r="AA253" s="29"/>
      <c r="AB253" s="35"/>
      <c r="AC253" s="36"/>
      <c r="AD253" s="36"/>
      <c r="AE253" s="30"/>
      <c r="AF253" s="29"/>
      <c r="AG253" s="35"/>
      <c r="AH253" s="36"/>
      <c r="AI253" s="36"/>
      <c r="AJ253" s="30"/>
      <c r="AK253" s="29"/>
      <c r="AL253" s="35"/>
      <c r="AM253" s="36"/>
      <c r="AN253" s="36"/>
      <c r="AO253" s="30"/>
      <c r="AP253" s="29"/>
      <c r="AQ253" s="35"/>
      <c r="AR253" s="36"/>
      <c r="AS253" s="36"/>
      <c r="AT253" s="30"/>
      <c r="AU253" s="29"/>
      <c r="AV253" s="29"/>
      <c r="AW253" s="29"/>
      <c r="AX253" s="37"/>
      <c r="AY253" s="39" t="str">
        <f aca="false">IF(AU253&lt;&gt;"Yes","",IF(AV253="","SELECT RE-ENTRY STAGE","MOVE TO ACTIVE at "&amp;AV253))</f>
        <v/>
      </c>
      <c r="AZ253" s="40" t="str">
        <f aca="false">IF(AU253="Yes",COUNTIF($AU$6:AU253,"Yes"),"")</f>
        <v/>
      </c>
      <c r="BA253" s="29"/>
      <c r="BB253" s="38" t="str">
        <f aca="false">IF($C253="","",IF(OR(F253="Completed",F253="Cancelled"),"",IF(AND(OR(F253="On Hold",ISNUMBER(VALUE(LEFT(H253,2)))),BA253=""),"Reason not given","")))</f>
        <v/>
      </c>
      <c r="BC253" s="30"/>
    </row>
    <row r="254" customFormat="false" ht="19.5" hidden="false" customHeight="true" outlineLevel="0" collapsed="false">
      <c r="A254" s="28" t="str">
        <f aca="false">IF($C254="","",COUNTA($C$6:$C254))</f>
        <v/>
      </c>
      <c r="B254" s="29"/>
      <c r="C254" s="30"/>
      <c r="D254" s="29"/>
      <c r="E254" s="31" t="str">
        <f aca="false">IF($C254="","",IF(NOT(OR(M254="Completed",M254="NA",M254="Cancelled")),"S1 Schematic",IF(NOT(OR(R254="Completed",R254="NA",R254="Cancelled")),"S2 PCB Layout",IF(NOT(OR(W254="Completed",W254="NA",W254="Cancelled")),"S3 SI &amp; PI",IF(NOT(OR(AB254="Completed",AB254="NA",AB254="Cancelled")),"S4 Bare-PCB Fab",IF(NOT(OR(AG254="Completed",AG254="NA",AG254="Cancelled")),"S5 Assembly",IF(NOT(OR(AL254="Completed",AL254="NA",AL254="Cancelled")),"S6 Bring-up",IF(NOT(OR(AQ254="Completed",AQ254="NA",AQ254="Cancelled")),"S7 BOM Procurement","All Stages Closed"))))))))</f>
        <v/>
      </c>
      <c r="F254" s="32" t="str">
        <f aca="false">IF($C254="","",IF(COUNTIF(M254,"Cancelled")+COUNTIF(R254,"Cancelled")+COUNTIF(W254,"Cancelled")+COUNTIF(AB254,"Cancelled")+COUNTIF(AG254,"Cancelled")+COUNTIF(AL254,"Cancelled")+COUNTIF(AQ254,"Cancelled")&gt;0,"Cancelled",IF(E254="All Stages Closed","Completed",IF(E254="S1 Schematic",M254,IF(E254="S2 PCB Layout",R254,IF(E254="S3 SI &amp; PI",W254,IF(E254="S4 Bare-PCB Fab",AB254,IF(E254="S5 Assembly",AG254,IF(E254="S6 Bring-up",AL254,AQ254)))))))))</f>
        <v/>
      </c>
      <c r="G254" s="33" t="str">
        <f aca="false">IF($C254="","",IF(E254="All Stages Closed","",IF(E254="S1 Schematic",IF(N254="","Not added",N254),IF(E254="S2 PCB Layout",IF(S254="","Not added",S254),IF(E254="S3 SI &amp; PI",IF(X254="","Not added",X254),IF(E254="S4 Bare-PCB Fab",IF(AC254="","Not added",AC254),IF(E254="S5 Assembly",IF(AH254="","Not added",AH254),IF(E254="S6 Bring-up",IF(AM254="","Not added",AM254),IF(AR254="","Not added",AR254)))))))))</f>
        <v/>
      </c>
      <c r="H254" s="32" t="str">
        <f aca="true">IF($C254="","",IF(OR(F254="Completed",F254="Cancelled"),"",IF(NOT(ISNUMBER(G254)),"No date set",IF(TODAY()&gt;G254,TODAY()-G254&amp;" days late",G254-TODAY()&amp;" days left"))))</f>
        <v/>
      </c>
      <c r="I254" s="31" t="str">
        <f aca="false">IF($C254="","",COUNTIF(M254,"Completed")+COUNTIF(R254,"Completed")+COUNTIF(W254,"Completed")+COUNTIF(AB254,"Completed")+COUNTIF(AG254,"Completed")+COUNTIF(AL254,"Completed")+COUNTIF(AQ254,"Completed"))</f>
        <v/>
      </c>
      <c r="J254" s="31" t="str">
        <f aca="false">IF($C254="","",7-(COUNTIF(M254,"NA")+COUNTIF(R254,"NA")+COUNTIF(W254,"NA")+COUNTIF(AB254,"NA")+COUNTIF(AG254,"NA")+COUNTIF(AL254,"NA")+COUNTIF(AQ254,"NA")))</f>
        <v/>
      </c>
      <c r="K254" s="34" t="str">
        <f aca="false">IFERROR(I254/J254,"")</f>
        <v/>
      </c>
      <c r="L254" s="29"/>
      <c r="M254" s="35"/>
      <c r="N254" s="36"/>
      <c r="O254" s="36"/>
      <c r="P254" s="30"/>
      <c r="Q254" s="29"/>
      <c r="R254" s="35"/>
      <c r="S254" s="36"/>
      <c r="T254" s="36"/>
      <c r="U254" s="30"/>
      <c r="V254" s="29"/>
      <c r="W254" s="35"/>
      <c r="X254" s="36"/>
      <c r="Y254" s="36"/>
      <c r="Z254" s="30"/>
      <c r="AA254" s="29"/>
      <c r="AB254" s="35"/>
      <c r="AC254" s="36"/>
      <c r="AD254" s="36"/>
      <c r="AE254" s="30"/>
      <c r="AF254" s="29"/>
      <c r="AG254" s="35"/>
      <c r="AH254" s="36"/>
      <c r="AI254" s="36"/>
      <c r="AJ254" s="30"/>
      <c r="AK254" s="29"/>
      <c r="AL254" s="35"/>
      <c r="AM254" s="36"/>
      <c r="AN254" s="36"/>
      <c r="AO254" s="30"/>
      <c r="AP254" s="29"/>
      <c r="AQ254" s="35"/>
      <c r="AR254" s="36"/>
      <c r="AS254" s="36"/>
      <c r="AT254" s="30"/>
      <c r="AU254" s="29"/>
      <c r="AV254" s="29"/>
      <c r="AW254" s="29"/>
      <c r="AX254" s="37"/>
      <c r="AY254" s="39" t="str">
        <f aca="false">IF(AU254&lt;&gt;"Yes","",IF(AV254="","SELECT RE-ENTRY STAGE","MOVE TO ACTIVE at "&amp;AV254))</f>
        <v/>
      </c>
      <c r="AZ254" s="40" t="str">
        <f aca="false">IF(AU254="Yes",COUNTIF($AU$6:AU254,"Yes"),"")</f>
        <v/>
      </c>
      <c r="BA254" s="29"/>
      <c r="BB254" s="38" t="str">
        <f aca="false">IF($C254="","",IF(OR(F254="Completed",F254="Cancelled"),"",IF(AND(OR(F254="On Hold",ISNUMBER(VALUE(LEFT(H254,2)))),BA254=""),"Reason not given","")))</f>
        <v/>
      </c>
      <c r="BC254" s="30"/>
    </row>
    <row r="255" customFormat="false" ht="19.5" hidden="false" customHeight="true" outlineLevel="0" collapsed="false">
      <c r="A255" s="28" t="str">
        <f aca="false">IF($C255="","",COUNTA($C$6:$C255))</f>
        <v/>
      </c>
      <c r="B255" s="29"/>
      <c r="C255" s="30"/>
      <c r="D255" s="29"/>
      <c r="E255" s="31" t="str">
        <f aca="false">IF($C255="","",IF(NOT(OR(M255="Completed",M255="NA",M255="Cancelled")),"S1 Schematic",IF(NOT(OR(R255="Completed",R255="NA",R255="Cancelled")),"S2 PCB Layout",IF(NOT(OR(W255="Completed",W255="NA",W255="Cancelled")),"S3 SI &amp; PI",IF(NOT(OR(AB255="Completed",AB255="NA",AB255="Cancelled")),"S4 Bare-PCB Fab",IF(NOT(OR(AG255="Completed",AG255="NA",AG255="Cancelled")),"S5 Assembly",IF(NOT(OR(AL255="Completed",AL255="NA",AL255="Cancelled")),"S6 Bring-up",IF(NOT(OR(AQ255="Completed",AQ255="NA",AQ255="Cancelled")),"S7 BOM Procurement","All Stages Closed"))))))))</f>
        <v/>
      </c>
      <c r="F255" s="32" t="str">
        <f aca="false">IF($C255="","",IF(COUNTIF(M255,"Cancelled")+COUNTIF(R255,"Cancelled")+COUNTIF(W255,"Cancelled")+COUNTIF(AB255,"Cancelled")+COUNTIF(AG255,"Cancelled")+COUNTIF(AL255,"Cancelled")+COUNTIF(AQ255,"Cancelled")&gt;0,"Cancelled",IF(E255="All Stages Closed","Completed",IF(E255="S1 Schematic",M255,IF(E255="S2 PCB Layout",R255,IF(E255="S3 SI &amp; PI",W255,IF(E255="S4 Bare-PCB Fab",AB255,IF(E255="S5 Assembly",AG255,IF(E255="S6 Bring-up",AL255,AQ255)))))))))</f>
        <v/>
      </c>
      <c r="G255" s="33" t="str">
        <f aca="false">IF($C255="","",IF(E255="All Stages Closed","",IF(E255="S1 Schematic",IF(N255="","Not added",N255),IF(E255="S2 PCB Layout",IF(S255="","Not added",S255),IF(E255="S3 SI &amp; PI",IF(X255="","Not added",X255),IF(E255="S4 Bare-PCB Fab",IF(AC255="","Not added",AC255),IF(E255="S5 Assembly",IF(AH255="","Not added",AH255),IF(E255="S6 Bring-up",IF(AM255="","Not added",AM255),IF(AR255="","Not added",AR255)))))))))</f>
        <v/>
      </c>
      <c r="H255" s="32" t="str">
        <f aca="true">IF($C255="","",IF(OR(F255="Completed",F255="Cancelled"),"",IF(NOT(ISNUMBER(G255)),"No date set",IF(TODAY()&gt;G255,TODAY()-G255&amp;" days late",G255-TODAY()&amp;" days left"))))</f>
        <v/>
      </c>
      <c r="I255" s="31" t="str">
        <f aca="false">IF($C255="","",COUNTIF(M255,"Completed")+COUNTIF(R255,"Completed")+COUNTIF(W255,"Completed")+COUNTIF(AB255,"Completed")+COUNTIF(AG255,"Completed")+COUNTIF(AL255,"Completed")+COUNTIF(AQ255,"Completed"))</f>
        <v/>
      </c>
      <c r="J255" s="31" t="str">
        <f aca="false">IF($C255="","",7-(COUNTIF(M255,"NA")+COUNTIF(R255,"NA")+COUNTIF(W255,"NA")+COUNTIF(AB255,"NA")+COUNTIF(AG255,"NA")+COUNTIF(AL255,"NA")+COUNTIF(AQ255,"NA")))</f>
        <v/>
      </c>
      <c r="K255" s="34" t="str">
        <f aca="false">IFERROR(I255/J255,"")</f>
        <v/>
      </c>
      <c r="L255" s="29"/>
      <c r="M255" s="35"/>
      <c r="N255" s="36"/>
      <c r="O255" s="36"/>
      <c r="P255" s="30"/>
      <c r="Q255" s="29"/>
      <c r="R255" s="35"/>
      <c r="S255" s="36"/>
      <c r="T255" s="36"/>
      <c r="U255" s="30"/>
      <c r="V255" s="29"/>
      <c r="W255" s="35"/>
      <c r="X255" s="36"/>
      <c r="Y255" s="36"/>
      <c r="Z255" s="30"/>
      <c r="AA255" s="29"/>
      <c r="AB255" s="35"/>
      <c r="AC255" s="36"/>
      <c r="AD255" s="36"/>
      <c r="AE255" s="30"/>
      <c r="AF255" s="29"/>
      <c r="AG255" s="35"/>
      <c r="AH255" s="36"/>
      <c r="AI255" s="36"/>
      <c r="AJ255" s="30"/>
      <c r="AK255" s="29"/>
      <c r="AL255" s="35"/>
      <c r="AM255" s="36"/>
      <c r="AN255" s="36"/>
      <c r="AO255" s="30"/>
      <c r="AP255" s="29"/>
      <c r="AQ255" s="35"/>
      <c r="AR255" s="36"/>
      <c r="AS255" s="36"/>
      <c r="AT255" s="30"/>
      <c r="AU255" s="29"/>
      <c r="AV255" s="29"/>
      <c r="AW255" s="29"/>
      <c r="AX255" s="37"/>
      <c r="AY255" s="39" t="str">
        <f aca="false">IF(AU255&lt;&gt;"Yes","",IF(AV255="","SELECT RE-ENTRY STAGE","MOVE TO ACTIVE at "&amp;AV255))</f>
        <v/>
      </c>
      <c r="AZ255" s="40" t="str">
        <f aca="false">IF(AU255="Yes",COUNTIF($AU$6:AU255,"Yes"),"")</f>
        <v/>
      </c>
      <c r="BA255" s="29"/>
      <c r="BB255" s="38" t="str">
        <f aca="false">IF($C255="","",IF(OR(F255="Completed",F255="Cancelled"),"",IF(AND(OR(F255="On Hold",ISNUMBER(VALUE(LEFT(H255,2)))),BA255=""),"Reason not given","")))</f>
        <v/>
      </c>
      <c r="BC255" s="30"/>
    </row>
  </sheetData>
  <autoFilter ref="A5:BC255"/>
  <mergeCells count="12">
    <mergeCell ref="A2:R2"/>
    <mergeCell ref="A4:D4"/>
    <mergeCell ref="E4:K4"/>
    <mergeCell ref="L4:P4"/>
    <mergeCell ref="Q4:U4"/>
    <mergeCell ref="V4:Z4"/>
    <mergeCell ref="AA4:AE4"/>
    <mergeCell ref="AF4:AJ4"/>
    <mergeCell ref="AK4:AO4"/>
    <mergeCell ref="AP4:AT4"/>
    <mergeCell ref="AU4:AZ4"/>
    <mergeCell ref="BA4:BD4"/>
  </mergeCells>
  <conditionalFormatting sqref="F6:F255 M6:M255 R6:R255 W6:W255 AB6:AB255 AG6:AG255 AL6:AL255 AQ6:AQ255">
    <cfRule type="cellIs" priority="2" operator="equal" aboveAverage="0" equalAverage="0" bottom="0" percent="0" rank="0" text="" dxfId="6">
      <formula>"Completed"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"On Hold"</formula>
    </cfRule>
    <cfRule type="cellIs" priority="5" operator="equal" aboveAverage="0" equalAverage="0" bottom="0" percent="0" rank="0" text="" dxfId="9">
      <formula>"Not Started"</formula>
    </cfRule>
    <cfRule type="cellIs" priority="6" operator="equal" aboveAverage="0" equalAverage="0" bottom="0" percent="0" rank="0" text="" dxfId="10">
      <formula>"Cancelled"</formula>
    </cfRule>
    <cfRule type="cellIs" priority="7" operator="equal" aboveAverage="0" equalAverage="0" bottom="0" percent="0" rank="0" text="" dxfId="11">
      <formula>"NA"</formula>
    </cfRule>
  </conditionalFormatting>
  <conditionalFormatting sqref="H6:H255">
    <cfRule type="expression" priority="8" aboveAverage="0" equalAverage="0" bottom="0" percent="0" rank="0" text="" dxfId="10">
      <formula>ISNUMBER(SEARCH("late",H6))</formula>
    </cfRule>
    <cfRule type="cellIs" priority="9" operator="equal" aboveAverage="0" equalAverage="0" bottom="0" percent="0" rank="0" text="" dxfId="12">
      <formula>"No date set"</formula>
    </cfRule>
  </conditionalFormatting>
  <conditionalFormatting sqref="BB6:BB255">
    <cfRule type="cellIs" priority="10" operator="equal" aboveAverage="0" equalAverage="0" bottom="0" percent="0" rank="0" text="" dxfId="7">
      <formula>"Reason not given"</formula>
    </cfRule>
  </conditionalFormatting>
  <conditionalFormatting sqref="A6:BC255">
    <cfRule type="expression" priority="11" aboveAverage="0" equalAverage="0" bottom="0" percent="0" rank="0" text="" dxfId="14">
      <formula>$AU6="Yes"</formula>
    </cfRule>
  </conditionalFormatting>
  <dataValidations count="19">
    <dataValidation allowBlank="true" error="Pick one of: Completed, In Progress, On Hold, Not Started, NA, Cancelled" errorStyle="stop" errorTitle="Status" operator="between" showDropDown="false" showErrorMessage="true" showInputMessage="false" sqref="M6:M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L6:L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R6:R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Q6:Q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W6:W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V6:V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B6:AB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A6:AA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G6:AG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F6:AF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L6:AL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K6:AK255" type="list">
      <formula1>LISTS!$F$2:$F$59</formula1>
      <formula2>0</formula2>
    </dataValidation>
    <dataValidation allowBlank="true" error="Pick one of: Completed, In Progress, On Hold, Not Started, NA, Cancelled" errorStyle="stop" errorTitle="Status" operator="between" showDropDown="false" showErrorMessage="true" showInputMessage="false" sqref="AQ6:AQ255" type="list">
      <formula1>LISTS!$A$2:$A$7</formula1>
      <formula2>0</formula2>
    </dataValidation>
    <dataValidation allowBlank="true" error="Pick a name from EMPLOYEES, or add them there first." errorStyle="stop" errorTitle="Owner" operator="between" showDropDown="false" showErrorMessage="true" showInputMessage="false" sqref="AP6:AP255" type="list">
      <formula1>LISTS!$F$2:$F$59</formula1>
      <formula2>0</formula2>
    </dataValidation>
    <dataValidation allowBlank="true" error="Pick a client from CLIENTS, or add them there first." errorStyle="stop" errorTitle="Customer" operator="between" showDropDown="false" showErrorMessage="true" showInputMessage="false" sqref="B6:B255" type="list">
      <formula1>LISTS!$G$2:$G$59</formula1>
      <formula2>0</formula2>
    </dataValidation>
    <dataValidation allowBlank="true" error="Pick a reason code." errorStyle="stop" errorTitle="Hold / delay reason" operator="between" showDropDown="false" showErrorMessage="true" showInputMessage="false" sqref="BA6:BA255" type="list">
      <formula1>LISTS!$E$2:$E$10</formula1>
      <formula2>0</formula2>
    </dataValidation>
    <dataValidation allowBlank="true" error="Pick the stage the board re-enters at." errorStyle="stop" errorTitle="Stage" operator="between" showDropDown="false" showErrorMessage="true" showInputMessage="false" sqref="AV6:AV255" type="list">
      <formula1>LISTS!$B$2:$B$8</formula1>
      <formula2>0</formula2>
    </dataValidation>
    <dataValidation allowBlank="true" error="Pick a reason code." errorStyle="stop" errorTitle="Respin Reason" operator="between" showDropDown="false" showErrorMessage="true" showInputMessage="false" sqref="AW6:AW255" type="list">
      <formula1>LISTS!$C$2:$C$9</formula1>
      <formula2>0</formula2>
    </dataValidation>
    <dataValidation allowBlank="true" error="Yes or No." errorStyle="stop" errorTitle="Respin" operator="between" showDropDown="false" showErrorMessage="true" showInputMessage="false" sqref="AU6:AU25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  <col collapsed="false" customWidth="true" hidden="false" outlineLevel="0" max="7" min="6" style="0" width="24"/>
  </cols>
  <sheetData>
    <row r="1" customFormat="false" ht="15" hidden="false" customHeight="false" outlineLevel="0" collapsed="false">
      <c r="A1" s="41" t="s">
        <v>35</v>
      </c>
      <c r="B1" s="41" t="s">
        <v>93</v>
      </c>
      <c r="C1" s="41" t="s">
        <v>136</v>
      </c>
      <c r="D1" s="41" t="s">
        <v>175</v>
      </c>
      <c r="E1" s="41" t="s">
        <v>167</v>
      </c>
      <c r="F1" s="42" t="s">
        <v>160</v>
      </c>
      <c r="G1" s="42" t="s">
        <v>176</v>
      </c>
    </row>
    <row r="2" customFormat="false" ht="15" hidden="false" customHeight="false" outlineLevel="0" collapsed="false">
      <c r="A2" s="0" t="s">
        <v>177</v>
      </c>
      <c r="B2" s="0" t="s">
        <v>178</v>
      </c>
      <c r="C2" s="0" t="s">
        <v>179</v>
      </c>
      <c r="D2" s="0" t="s">
        <v>52</v>
      </c>
      <c r="E2" s="0" t="s">
        <v>180</v>
      </c>
      <c r="F2" s="0" t="str">
        <f aca="false">IF(EMPLOYEES!G5="","",EMPLOYEES!G5)</f>
        <v>Srinivas</v>
      </c>
      <c r="G2" s="0" t="str">
        <f aca="false">IF(CLIENTS!B5="","",CLIENTS!B5)</f>
        <v/>
      </c>
    </row>
    <row r="3" customFormat="false" ht="15" hidden="false" customHeight="false" outlineLevel="0" collapsed="false">
      <c r="A3" s="0" t="s">
        <v>181</v>
      </c>
      <c r="B3" s="0" t="s">
        <v>182</v>
      </c>
      <c r="C3" s="0" t="s">
        <v>183</v>
      </c>
      <c r="D3" s="0" t="s">
        <v>184</v>
      </c>
      <c r="E3" s="0" t="s">
        <v>185</v>
      </c>
      <c r="F3" s="0" t="str">
        <f aca="false">IF(EMPLOYEES!G6="","",EMPLOYEES!G6)</f>
        <v>Sunil</v>
      </c>
      <c r="G3" s="0" t="str">
        <f aca="false">IF(CLIENTS!B6="","",CLIENTS!B6)</f>
        <v/>
      </c>
    </row>
    <row r="4" customFormat="false" ht="15" hidden="false" customHeight="false" outlineLevel="0" collapsed="false">
      <c r="A4" s="0" t="s">
        <v>186</v>
      </c>
      <c r="B4" s="0" t="s">
        <v>143</v>
      </c>
      <c r="C4" s="0" t="s">
        <v>187</v>
      </c>
      <c r="E4" s="0" t="s">
        <v>188</v>
      </c>
      <c r="F4" s="0" t="str">
        <f aca="false">IF(EMPLOYEES!G7="","",EMPLOYEES!G7)</f>
        <v>Samudra</v>
      </c>
      <c r="G4" s="0" t="str">
        <f aca="false">IF(CLIENTS!B7="","",CLIENTS!B7)</f>
        <v/>
      </c>
    </row>
    <row r="5" customFormat="false" ht="15" hidden="false" customHeight="false" outlineLevel="0" collapsed="false">
      <c r="A5" s="0" t="s">
        <v>189</v>
      </c>
      <c r="B5" s="0" t="s">
        <v>190</v>
      </c>
      <c r="C5" s="0" t="s">
        <v>191</v>
      </c>
      <c r="E5" s="0" t="s">
        <v>192</v>
      </c>
      <c r="F5" s="0" t="str">
        <f aca="false">IF(EMPLOYEES!G8="","",EMPLOYEES!G8)</f>
        <v>Anji</v>
      </c>
      <c r="G5" s="0" t="str">
        <f aca="false">IF(CLIENTS!B8="","",CLIENTS!B8)</f>
        <v/>
      </c>
    </row>
    <row r="6" customFormat="false" ht="15" hidden="false" customHeight="false" outlineLevel="0" collapsed="false">
      <c r="A6" s="0" t="s">
        <v>193</v>
      </c>
      <c r="B6" s="0" t="s">
        <v>194</v>
      </c>
      <c r="C6" s="0" t="s">
        <v>195</v>
      </c>
      <c r="E6" s="0" t="s">
        <v>196</v>
      </c>
      <c r="F6" s="0" t="str">
        <f aca="false">IF(EMPLOYEES!G9="","",EMPLOYEES!G9)</f>
        <v>Vivek</v>
      </c>
      <c r="G6" s="0" t="str">
        <f aca="false">IF(CLIENTS!B9="","",CLIENTS!B9)</f>
        <v/>
      </c>
    </row>
    <row r="7" customFormat="false" ht="15" hidden="false" customHeight="false" outlineLevel="0" collapsed="false">
      <c r="A7" s="0" t="s">
        <v>197</v>
      </c>
      <c r="B7" s="0" t="s">
        <v>198</v>
      </c>
      <c r="C7" s="0" t="s">
        <v>199</v>
      </c>
      <c r="E7" s="0" t="s">
        <v>200</v>
      </c>
      <c r="F7" s="0" t="str">
        <f aca="false">IF(EMPLOYEES!G10="","",EMPLOYEES!G10)</f>
        <v>Veeresh</v>
      </c>
      <c r="G7" s="0" t="str">
        <f aca="false">IF(CLIENTS!B10="","",CLIENTS!B10)</f>
        <v/>
      </c>
    </row>
    <row r="8" customFormat="false" ht="15" hidden="false" customHeight="false" outlineLevel="0" collapsed="false">
      <c r="B8" s="0" t="s">
        <v>201</v>
      </c>
      <c r="C8" s="0" t="s">
        <v>202</v>
      </c>
      <c r="E8" s="0" t="s">
        <v>203</v>
      </c>
      <c r="F8" s="0" t="str">
        <f aca="false">IF(EMPLOYEES!G11="","",EMPLOYEES!G11)</f>
        <v>Ramesh</v>
      </c>
      <c r="G8" s="0" t="str">
        <f aca="false">IF(CLIENTS!B11="","",CLIENTS!B11)</f>
        <v/>
      </c>
    </row>
    <row r="9" customFormat="false" ht="15" hidden="false" customHeight="false" outlineLevel="0" collapsed="false">
      <c r="C9" s="0" t="s">
        <v>204</v>
      </c>
      <c r="E9" s="0" t="s">
        <v>205</v>
      </c>
      <c r="F9" s="0" t="str">
        <f aca="false">IF(EMPLOYEES!G12="","",EMPLOYEES!G12)</f>
        <v>Vardhan</v>
      </c>
      <c r="G9" s="0" t="str">
        <f aca="false">IF(CLIENTS!B12="","",CLIENTS!B12)</f>
        <v/>
      </c>
    </row>
    <row r="10" customFormat="false" ht="15" hidden="false" customHeight="false" outlineLevel="0" collapsed="false">
      <c r="E10" s="0" t="s">
        <v>204</v>
      </c>
      <c r="F10" s="0" t="str">
        <f aca="false">IF(EMPLOYEES!G13="","",EMPLOYEES!G13)</f>
        <v>Keerthi</v>
      </c>
      <c r="G10" s="0" t="str">
        <f aca="false">IF(CLIENTS!B13="","",CLIENTS!B13)</f>
        <v/>
      </c>
    </row>
    <row r="11" customFormat="false" ht="15" hidden="false" customHeight="false" outlineLevel="0" collapsed="false">
      <c r="F11" s="0" t="str">
        <f aca="false">IF(EMPLOYEES!G14="","",EMPLOYEES!G14)</f>
        <v>Harika</v>
      </c>
      <c r="G11" s="0" t="str">
        <f aca="false">IF(CLIENTS!B14="","",CLIENTS!B14)</f>
        <v/>
      </c>
    </row>
    <row r="12" customFormat="false" ht="15" hidden="false" customHeight="false" outlineLevel="0" collapsed="false">
      <c r="F12" s="0" t="str">
        <f aca="false">IF(EMPLOYEES!G15="","",EMPLOYEES!G15)</f>
        <v>Sandhya</v>
      </c>
      <c r="G12" s="0" t="str">
        <f aca="false">IF(CLIENTS!B15="","",CLIENTS!B15)</f>
        <v/>
      </c>
    </row>
    <row r="13" customFormat="false" ht="15" hidden="false" customHeight="false" outlineLevel="0" collapsed="false">
      <c r="F13" s="0" t="str">
        <f aca="false">IF(EMPLOYEES!G16="","",EMPLOYEES!G16)</f>
        <v>Naveen</v>
      </c>
      <c r="G13" s="0" t="str">
        <f aca="false">IF(CLIENTS!B16="","",CLIENTS!B16)</f>
        <v/>
      </c>
    </row>
    <row r="14" customFormat="false" ht="15" hidden="false" customHeight="false" outlineLevel="0" collapsed="false">
      <c r="F14" s="0" t="str">
        <f aca="false">IF(EMPLOYEES!G17="","",EMPLOYEES!G17)</f>
        <v>Rajesh Sir</v>
      </c>
      <c r="G14" s="0" t="str">
        <f aca="false">IF(CLIENTS!B17="","",CLIENTS!B17)</f>
        <v/>
      </c>
    </row>
    <row r="15" customFormat="false" ht="15" hidden="false" customHeight="false" outlineLevel="0" collapsed="false">
      <c r="F15" s="0" t="str">
        <f aca="false">IF(EMPLOYEES!G18="","",EMPLOYEES!G18)</f>
        <v/>
      </c>
      <c r="G15" s="0" t="str">
        <f aca="false">IF(CLIENTS!B18="","",CLIENTS!B18)</f>
        <v/>
      </c>
    </row>
    <row r="16" customFormat="false" ht="15" hidden="false" customHeight="false" outlineLevel="0" collapsed="false">
      <c r="F16" s="0" t="str">
        <f aca="false">IF(EMPLOYEES!G19="","",EMPLOYEES!G19)</f>
        <v/>
      </c>
      <c r="G16" s="0" t="str">
        <f aca="false">IF(CLIENTS!B19="","",CLIENTS!B19)</f>
        <v/>
      </c>
    </row>
    <row r="17" customFormat="false" ht="15" hidden="false" customHeight="false" outlineLevel="0" collapsed="false">
      <c r="F17" s="0" t="str">
        <f aca="false">IF(EMPLOYEES!G20="","",EMPLOYEES!G20)</f>
        <v/>
      </c>
      <c r="G17" s="0" t="str">
        <f aca="false">IF(CLIENTS!B20="","",CLIENTS!B20)</f>
        <v/>
      </c>
    </row>
    <row r="18" customFormat="false" ht="15" hidden="false" customHeight="false" outlineLevel="0" collapsed="false">
      <c r="F18" s="0" t="str">
        <f aca="false">IF(EMPLOYEES!G21="","",EMPLOYEES!G21)</f>
        <v/>
      </c>
      <c r="G18" s="0" t="str">
        <f aca="false">IF(CLIENTS!B21="","",CLIENTS!B21)</f>
        <v/>
      </c>
    </row>
    <row r="19" customFormat="false" ht="15" hidden="false" customHeight="false" outlineLevel="0" collapsed="false">
      <c r="F19" s="0" t="str">
        <f aca="false">IF(EMPLOYEES!G22="","",EMPLOYEES!G22)</f>
        <v/>
      </c>
      <c r="G19" s="0" t="str">
        <f aca="false">IF(CLIENTS!B22="","",CLIENTS!B22)</f>
        <v/>
      </c>
    </row>
    <row r="20" customFormat="false" ht="15" hidden="false" customHeight="false" outlineLevel="0" collapsed="false">
      <c r="F20" s="0" t="str">
        <f aca="false">IF(EMPLOYEES!G23="","",EMPLOYEES!G23)</f>
        <v/>
      </c>
      <c r="G20" s="0" t="str">
        <f aca="false">IF(CLIENTS!B23="","",CLIENTS!B23)</f>
        <v/>
      </c>
    </row>
    <row r="21" customFormat="false" ht="15" hidden="false" customHeight="false" outlineLevel="0" collapsed="false">
      <c r="F21" s="0" t="str">
        <f aca="false">IF(EMPLOYEES!G24="","",EMPLOYEES!G24)</f>
        <v/>
      </c>
      <c r="G21" s="0" t="str">
        <f aca="false">IF(CLIENTS!B24="","",CLIENTS!B24)</f>
        <v/>
      </c>
    </row>
    <row r="22" customFormat="false" ht="15" hidden="false" customHeight="false" outlineLevel="0" collapsed="false">
      <c r="F22" s="0" t="str">
        <f aca="false">IF(EMPLOYEES!G25="","",EMPLOYEES!G25)</f>
        <v/>
      </c>
      <c r="G22" s="0" t="str">
        <f aca="false">IF(CLIENTS!B25="","",CLIENTS!B25)</f>
        <v/>
      </c>
    </row>
    <row r="23" customFormat="false" ht="15" hidden="false" customHeight="false" outlineLevel="0" collapsed="false">
      <c r="F23" s="0" t="str">
        <f aca="false">IF(EMPLOYEES!G26="","",EMPLOYEES!G26)</f>
        <v/>
      </c>
      <c r="G23" s="0" t="str">
        <f aca="false">IF(CLIENTS!B26="","",CLIENTS!B26)</f>
        <v/>
      </c>
    </row>
    <row r="24" customFormat="false" ht="15" hidden="false" customHeight="false" outlineLevel="0" collapsed="false">
      <c r="F24" s="0" t="str">
        <f aca="false">IF(EMPLOYEES!G27="","",EMPLOYEES!G27)</f>
        <v/>
      </c>
      <c r="G24" s="0" t="str">
        <f aca="false">IF(CLIENTS!B27="","",CLIENTS!B27)</f>
        <v/>
      </c>
    </row>
    <row r="25" customFormat="false" ht="15" hidden="false" customHeight="false" outlineLevel="0" collapsed="false">
      <c r="F25" s="0" t="str">
        <f aca="false">IF(EMPLOYEES!G28="","",EMPLOYEES!G28)</f>
        <v/>
      </c>
      <c r="G25" s="0" t="str">
        <f aca="false">IF(CLIENTS!B28="","",CLIENTS!B28)</f>
        <v/>
      </c>
    </row>
    <row r="26" customFormat="false" ht="15" hidden="false" customHeight="false" outlineLevel="0" collapsed="false">
      <c r="F26" s="0" t="str">
        <f aca="false">IF(EMPLOYEES!G29="","",EMPLOYEES!G29)</f>
        <v/>
      </c>
      <c r="G26" s="0" t="str">
        <f aca="false">IF(CLIENTS!B29="","",CLIENTS!B29)</f>
        <v/>
      </c>
    </row>
    <row r="27" customFormat="false" ht="15" hidden="false" customHeight="false" outlineLevel="0" collapsed="false">
      <c r="F27" s="0" t="str">
        <f aca="false">IF(EMPLOYEES!G30="","",EMPLOYEES!G30)</f>
        <v/>
      </c>
      <c r="G27" s="0" t="str">
        <f aca="false">IF(CLIENTS!B30="","",CLIENTS!B30)</f>
        <v/>
      </c>
    </row>
    <row r="28" customFormat="false" ht="15" hidden="false" customHeight="false" outlineLevel="0" collapsed="false">
      <c r="F28" s="0" t="str">
        <f aca="false">IF(EMPLOYEES!G31="","",EMPLOYEES!G31)</f>
        <v/>
      </c>
      <c r="G28" s="0" t="str">
        <f aca="false">IF(CLIENTS!B31="","",CLIENTS!B31)</f>
        <v/>
      </c>
    </row>
    <row r="29" customFormat="false" ht="15" hidden="false" customHeight="false" outlineLevel="0" collapsed="false">
      <c r="F29" s="0" t="str">
        <f aca="false">IF(EMPLOYEES!G32="","",EMPLOYEES!G32)</f>
        <v/>
      </c>
      <c r="G29" s="0" t="str">
        <f aca="false">IF(CLIENTS!B32="","",CLIENTS!B32)</f>
        <v/>
      </c>
    </row>
    <row r="30" customFormat="false" ht="15" hidden="false" customHeight="false" outlineLevel="0" collapsed="false">
      <c r="F30" s="0" t="str">
        <f aca="false">IF(EMPLOYEES!G33="","",EMPLOYEES!G33)</f>
        <v/>
      </c>
      <c r="G30" s="0" t="str">
        <f aca="false">IF(CLIENTS!B33="","",CLIENTS!B33)</f>
        <v/>
      </c>
    </row>
    <row r="31" customFormat="false" ht="15" hidden="false" customHeight="false" outlineLevel="0" collapsed="false">
      <c r="F31" s="0" t="str">
        <f aca="false">IF(EMPLOYEES!G34="","",EMPLOYEES!G34)</f>
        <v/>
      </c>
      <c r="G31" s="0" t="str">
        <f aca="false">IF(CLIENTS!B34="","",CLIENTS!B34)</f>
        <v/>
      </c>
    </row>
    <row r="32" customFormat="false" ht="15" hidden="false" customHeight="false" outlineLevel="0" collapsed="false">
      <c r="F32" s="0" t="str">
        <f aca="false">IF(EMPLOYEES!G35="","",EMPLOYEES!G35)</f>
        <v/>
      </c>
      <c r="G32" s="0" t="str">
        <f aca="false">IF(CLIENTS!B35="","",CLIENTS!B35)</f>
        <v/>
      </c>
    </row>
    <row r="33" customFormat="false" ht="15" hidden="false" customHeight="false" outlineLevel="0" collapsed="false">
      <c r="F33" s="0" t="str">
        <f aca="false">IF(EMPLOYEES!G36="","",EMPLOYEES!G36)</f>
        <v/>
      </c>
      <c r="G33" s="0" t="str">
        <f aca="false">IF(CLIENTS!B36="","",CLIENTS!B36)</f>
        <v/>
      </c>
    </row>
    <row r="34" customFormat="false" ht="15" hidden="false" customHeight="false" outlineLevel="0" collapsed="false">
      <c r="F34" s="0" t="str">
        <f aca="false">IF(EMPLOYEES!G37="","",EMPLOYEES!G37)</f>
        <v/>
      </c>
      <c r="G34" s="0" t="str">
        <f aca="false">IF(CLIENTS!B37="","",CLIENTS!B37)</f>
        <v/>
      </c>
    </row>
    <row r="35" customFormat="false" ht="15" hidden="false" customHeight="false" outlineLevel="0" collapsed="false">
      <c r="F35" s="0" t="str">
        <f aca="false">IF(EMPLOYEES!G38="","",EMPLOYEES!G38)</f>
        <v/>
      </c>
      <c r="G35" s="0" t="str">
        <f aca="false">IF(CLIENTS!B38="","",CLIENTS!B38)</f>
        <v/>
      </c>
    </row>
    <row r="36" customFormat="false" ht="15" hidden="false" customHeight="false" outlineLevel="0" collapsed="false">
      <c r="F36" s="0" t="str">
        <f aca="false">IF(EMPLOYEES!G39="","",EMPLOYEES!G39)</f>
        <v/>
      </c>
      <c r="G36" s="0" t="str">
        <f aca="false">IF(CLIENTS!B39="","",CLIENTS!B39)</f>
        <v/>
      </c>
    </row>
    <row r="37" customFormat="false" ht="15" hidden="false" customHeight="false" outlineLevel="0" collapsed="false">
      <c r="F37" s="0" t="str">
        <f aca="false">IF(EMPLOYEES!G40="","",EMPLOYEES!G40)</f>
        <v/>
      </c>
      <c r="G37" s="0" t="str">
        <f aca="false">IF(CLIENTS!B40="","",CLIENTS!B40)</f>
        <v/>
      </c>
    </row>
    <row r="38" customFormat="false" ht="15" hidden="false" customHeight="false" outlineLevel="0" collapsed="false">
      <c r="F38" s="0" t="str">
        <f aca="false">IF(EMPLOYEES!G41="","",EMPLOYEES!G41)</f>
        <v/>
      </c>
      <c r="G38" s="0" t="str">
        <f aca="false">IF(CLIENTS!B41="","",CLIENTS!B41)</f>
        <v/>
      </c>
    </row>
    <row r="39" customFormat="false" ht="15" hidden="false" customHeight="false" outlineLevel="0" collapsed="false">
      <c r="F39" s="0" t="str">
        <f aca="false">IF(EMPLOYEES!G42="","",EMPLOYEES!G42)</f>
        <v/>
      </c>
      <c r="G39" s="0" t="str">
        <f aca="false">IF(CLIENTS!B42="","",CLIENTS!B42)</f>
        <v/>
      </c>
    </row>
    <row r="40" customFormat="false" ht="15" hidden="false" customHeight="false" outlineLevel="0" collapsed="false">
      <c r="F40" s="0" t="str">
        <f aca="false">IF(EMPLOYEES!G43="","",EMPLOYEES!G43)</f>
        <v/>
      </c>
      <c r="G40" s="0" t="str">
        <f aca="false">IF(CLIENTS!B43="","",CLIENTS!B43)</f>
        <v/>
      </c>
    </row>
    <row r="41" customFormat="false" ht="15" hidden="false" customHeight="false" outlineLevel="0" collapsed="false">
      <c r="F41" s="0" t="str">
        <f aca="false">IF(EMPLOYEES!G44="","",EMPLOYEES!G44)</f>
        <v/>
      </c>
      <c r="G41" s="0" t="str">
        <f aca="false">IF(CLIENTS!B44="","",CLIENTS!B44)</f>
        <v/>
      </c>
    </row>
    <row r="42" customFormat="false" ht="15" hidden="false" customHeight="false" outlineLevel="0" collapsed="false">
      <c r="F42" s="0" t="str">
        <f aca="false">IF(EMPLOYEES!G45="","",EMPLOYEES!G45)</f>
        <v/>
      </c>
      <c r="G42" s="0" t="str">
        <f aca="false">IF(CLIENTS!B45="","",CLIENTS!B45)</f>
        <v/>
      </c>
    </row>
    <row r="43" customFormat="false" ht="15" hidden="false" customHeight="false" outlineLevel="0" collapsed="false">
      <c r="F43" s="0" t="str">
        <f aca="false">IF(EMPLOYEES!G46="","",EMPLOYEES!G46)</f>
        <v/>
      </c>
      <c r="G43" s="0" t="str">
        <f aca="false">IF(CLIENTS!B46="","",CLIENTS!B46)</f>
        <v/>
      </c>
    </row>
    <row r="44" customFormat="false" ht="15" hidden="false" customHeight="false" outlineLevel="0" collapsed="false">
      <c r="F44" s="0" t="str">
        <f aca="false">IF(EMPLOYEES!G47="","",EMPLOYEES!G47)</f>
        <v/>
      </c>
      <c r="G44" s="0" t="str">
        <f aca="false">IF(CLIENTS!B47="","",CLIENTS!B47)</f>
        <v/>
      </c>
    </row>
    <row r="45" customFormat="false" ht="15" hidden="false" customHeight="false" outlineLevel="0" collapsed="false">
      <c r="F45" s="0" t="str">
        <f aca="false">IF(EMPLOYEES!G48="","",EMPLOYEES!G48)</f>
        <v/>
      </c>
      <c r="G45" s="0" t="str">
        <f aca="false">IF(CLIENTS!B48="","",CLIENTS!B48)</f>
        <v/>
      </c>
    </row>
    <row r="46" customFormat="false" ht="15" hidden="false" customHeight="false" outlineLevel="0" collapsed="false">
      <c r="F46" s="0" t="str">
        <f aca="false">IF(EMPLOYEES!G49="","",EMPLOYEES!G49)</f>
        <v/>
      </c>
      <c r="G46" s="0" t="str">
        <f aca="false">IF(CLIENTS!B49="","",CLIENTS!B49)</f>
        <v/>
      </c>
    </row>
    <row r="47" customFormat="false" ht="15" hidden="false" customHeight="false" outlineLevel="0" collapsed="false">
      <c r="F47" s="0" t="str">
        <f aca="false">IF(EMPLOYEES!G50="","",EMPLOYEES!G50)</f>
        <v/>
      </c>
      <c r="G47" s="0" t="str">
        <f aca="false">IF(CLIENTS!B50="","",CLIENTS!B50)</f>
        <v/>
      </c>
    </row>
    <row r="48" customFormat="false" ht="15" hidden="false" customHeight="false" outlineLevel="0" collapsed="false">
      <c r="F48" s="0" t="str">
        <f aca="false">IF(EMPLOYEES!G51="","",EMPLOYEES!G51)</f>
        <v/>
      </c>
      <c r="G48" s="0" t="str">
        <f aca="false">IF(CLIENTS!B51="","",CLIENTS!B51)</f>
        <v/>
      </c>
    </row>
    <row r="49" customFormat="false" ht="15" hidden="false" customHeight="false" outlineLevel="0" collapsed="false">
      <c r="F49" s="0" t="str">
        <f aca="false">IF(EMPLOYEES!G52="","",EMPLOYEES!G52)</f>
        <v/>
      </c>
      <c r="G49" s="0" t="str">
        <f aca="false">IF(CLIENTS!B52="","",CLIENTS!B52)</f>
        <v/>
      </c>
    </row>
    <row r="50" customFormat="false" ht="15" hidden="false" customHeight="false" outlineLevel="0" collapsed="false">
      <c r="F50" s="0" t="str">
        <f aca="false">IF(EMPLOYEES!G53="","",EMPLOYEES!G53)</f>
        <v/>
      </c>
      <c r="G50" s="0" t="str">
        <f aca="false">IF(CLIENTS!B53="","",CLIENTS!B53)</f>
        <v/>
      </c>
    </row>
    <row r="51" customFormat="false" ht="15" hidden="false" customHeight="false" outlineLevel="0" collapsed="false">
      <c r="F51" s="0" t="str">
        <f aca="false">IF(EMPLOYEES!G54="","",EMPLOYEES!G54)</f>
        <v/>
      </c>
      <c r="G51" s="0" t="str">
        <f aca="false">IF(CLIENTS!B54="","",CLIENTS!B54)</f>
        <v/>
      </c>
    </row>
    <row r="52" customFormat="false" ht="15" hidden="false" customHeight="false" outlineLevel="0" collapsed="false">
      <c r="F52" s="0" t="str">
        <f aca="false">IF(EMPLOYEES!G55="","",EMPLOYEES!G55)</f>
        <v/>
      </c>
      <c r="G52" s="0" t="str">
        <f aca="false">IF(CLIENTS!B55="","",CLIENTS!B55)</f>
        <v/>
      </c>
    </row>
    <row r="53" customFormat="false" ht="15" hidden="false" customHeight="false" outlineLevel="0" collapsed="false">
      <c r="F53" s="0" t="str">
        <f aca="false">IF(EMPLOYEES!G56="","",EMPLOYEES!G56)</f>
        <v/>
      </c>
      <c r="G53" s="0" t="str">
        <f aca="false">IF(CLIENTS!B56="","",CLIENTS!B56)</f>
        <v/>
      </c>
    </row>
    <row r="54" customFormat="false" ht="15" hidden="false" customHeight="false" outlineLevel="0" collapsed="false">
      <c r="F54" s="0" t="str">
        <f aca="false">IF(EMPLOYEES!G57="","",EMPLOYEES!G57)</f>
        <v/>
      </c>
      <c r="G54" s="0" t="str">
        <f aca="false">IF(CLIENTS!B57="","",CLIENTS!B57)</f>
        <v/>
      </c>
    </row>
    <row r="55" customFormat="false" ht="15" hidden="false" customHeight="false" outlineLevel="0" collapsed="false">
      <c r="F55" s="0" t="str">
        <f aca="false">IF(EMPLOYEES!G58="","",EMPLOYEES!G58)</f>
        <v/>
      </c>
      <c r="G55" s="0" t="str">
        <f aca="false">IF(CLIENTS!B58="","",CLIENTS!B58)</f>
        <v/>
      </c>
    </row>
    <row r="56" customFormat="false" ht="15" hidden="false" customHeight="false" outlineLevel="0" collapsed="false">
      <c r="F56" s="0" t="str">
        <f aca="false">IF(EMPLOYEES!G59="","",EMPLOYEES!G59)</f>
        <v/>
      </c>
      <c r="G56" s="0" t="str">
        <f aca="false">IF(CLIENTS!B59="","",CLIENTS!B59)</f>
        <v/>
      </c>
    </row>
    <row r="57" customFormat="false" ht="15" hidden="false" customHeight="false" outlineLevel="0" collapsed="false">
      <c r="F57" s="0" t="str">
        <f aca="false">IF(EMPLOYEES!G60="","",EMPLOYEES!G60)</f>
        <v/>
      </c>
      <c r="G57" s="0" t="str">
        <f aca="false">IF(CLIENTS!B60="","",CLIENTS!B60)</f>
        <v/>
      </c>
    </row>
    <row r="58" customFormat="false" ht="15" hidden="false" customHeight="false" outlineLevel="0" collapsed="false">
      <c r="F58" s="0" t="str">
        <f aca="false">IF(EMPLOYEES!G61="","",EMPLOYEES!G61)</f>
        <v/>
      </c>
      <c r="G58" s="0" t="str">
        <f aca="false">IF(CLIENTS!B61="","",CLIENTS!B61)</f>
        <v/>
      </c>
    </row>
    <row r="59" customFormat="false" ht="15" hidden="false" customHeight="false" outlineLevel="0" collapsed="false">
      <c r="F59" s="0" t="str">
        <f aca="false">IF(EMPLOYEES!G62="","",EMPLOYEES!G62)</f>
        <v/>
      </c>
      <c r="G59" s="0" t="str">
        <f aca="false">IF(CLIENTS!B62="","",CLIENTS!B62)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2026-09-04T12:22:27Z</dcterms:created>
  <dc:creator>openpyxl</dc:creator>
  <dc:description/>
  <dc:language>en-US</dc:language>
  <cp:lastModifiedBy/>
  <dcterms:modified xsi:type="dcterms:W3CDTF">2026-09-04T12:22:30Z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