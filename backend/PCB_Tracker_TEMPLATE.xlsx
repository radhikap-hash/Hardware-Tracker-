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CLIENTS" sheetId="2" state="visible" r:id="rId4"/>
    <sheet name="EMPLOYEES" sheetId="3" state="visible" r:id="rId5"/>
    <sheet name="PROCESS DEFINITION" sheetId="4" state="visible" r:id="rId6"/>
    <sheet name="ACTIVE" sheetId="5" state="visible" r:id="rId7"/>
    <sheet name="COMPLETED" sheetId="6" state="visible" r:id="rId8"/>
    <sheet name="LISTS" sheetId="7" state="hidden" r:id="rId9"/>
  </sheets>
  <definedNames>
    <definedName function="false" hidden="true" localSheetId="4" name="_xlnm._FilterDatabase" vbProcedure="false">ACTIVE!$A$16:$AU$266</definedName>
    <definedName function="false" hidden="true" localSheetId="5" name="_xlnm._FilterDatabase" vbProcedure="false">COMPLETED!$A$5:$AW$255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<sst xmlns="http://schemas.openxmlformats.org/spreadsheetml/2006/main" count="334" uniqueCount="206">
  <si>
    <t xml:space="preserve">PCB Tracker — fill these in</t>
  </si>
  <si>
    <t xml:space="preserve">Work through the sheets in this order. Everything else is calculated or filled by the dashboard.</t>
  </si>
  <si>
    <t xml:space="preserve">Step</t>
  </si>
  <si>
    <t xml:space="preserve">Sheet</t>
  </si>
  <si>
    <t xml:space="preserve">What to do</t>
  </si>
  <si>
    <t xml:space="preserve">1</t>
  </si>
  <si>
    <t xml:space="preserve">CLIENTS</t>
  </si>
  <si>
    <t xml:space="preserve">List every customer once. The name you type here is what appears everywhere else, so settle the naming now — change it later and old rows will not match.</t>
  </si>
  <si>
    <t xml:space="preserve">2</t>
  </si>
  <si>
    <t xml:space="preserve">EMPLOYEES</t>
  </si>
  <si>
    <t xml:space="preserve">Your team. The "Name in sheet" column is the short name people actually type as a stage owner. Get this right or the People tab cannot attribute work.</t>
  </si>
  <si>
    <t xml:space="preserve">3</t>
  </si>
  <si>
    <t xml:space="preserve">LISTS</t>
  </si>
  <si>
    <t xml:space="preserve">Statuses, reasons and stage names. Already filled — only edit if you want different wording.</t>
  </si>
  <si>
    <t xml:space="preserve">4</t>
  </si>
  <si>
    <t xml:space="preserve">ACTIVE</t>
  </si>
  <si>
    <t xml:space="preserve">One row per board still in progress. Fill Customer, Board, Manager, then each stage: Owner, Status, EDC. Leave EDA until the stage finishes.</t>
  </si>
  <si>
    <t xml:space="preserve">5</t>
  </si>
  <si>
    <t xml:space="preserve">COMPLETED</t>
  </si>
  <si>
    <t xml:space="preserve">Boards where every stage is done. Same columns. You can leave this empty and let the dashboard move boards here as they close.</t>
  </si>
  <si>
    <t xml:space="preserve">6</t>
  </si>
  <si>
    <t xml:space="preserve">—</t>
  </si>
  <si>
    <t xml:space="preserve">Publish the dashboard. From then on the team fills everything through it and these sheets update themselves.</t>
  </si>
  <si>
    <t xml:space="preserve">Rules worth knowing</t>
  </si>
  <si>
    <t xml:space="preserve">-  Cream-coloured cells are yours to fill. White cells with formulas calculate themselves — do not type over them.</t>
  </si>
  <si>
    <t xml:space="preserve">-  A stage marked NA is not part of that board. It is hidden from the dashboard and excluded from the completion percentage.</t>
  </si>
  <si>
    <t xml:space="preserve">-  EDC is the expected date of completion. EDA is the actual one. The dashboard writes EDA when someone presses Review done.</t>
  </si>
  <si>
    <t xml:space="preserve">-  Overall Status decides which sheet a board belongs on. The dashboard reads it back after every save and moves the row.</t>
  </si>
  <si>
    <t xml:space="preserve">-  Stage owners may combine two people with " + ", for example "Samudra + Sandhya". Both are matched against EMPLOYEES.</t>
  </si>
  <si>
    <t xml:space="preserve">Clients</t>
  </si>
  <si>
    <t xml:space="preserve">One row per customer. The Client name column feeds every dropdown in the tracker.</t>
  </si>
  <si>
    <t xml:space="preserve">Client name</t>
  </si>
  <si>
    <t xml:space="preserve">Short code</t>
  </si>
  <si>
    <t xml:space="preserve">Sector / domain</t>
  </si>
  <si>
    <t xml:space="preserve">Account owner</t>
  </si>
  <si>
    <t xml:space="preserve">Status</t>
  </si>
  <si>
    <t xml:space="preserve">Notes</t>
  </si>
  <si>
    <t xml:space="preserve">Employees</t>
  </si>
  <si>
    <t xml:space="preserve">Your roster, pre-filled from what you sent. "Name in sheet" is the short name typed into stage Owner cells — it is the join the People tab depends on.</t>
  </si>
  <si>
    <t xml:space="preserve">Employee code</t>
  </si>
  <si>
    <t xml:space="preserve">Full name</t>
  </si>
  <si>
    <t xml:space="preserve">Function</t>
  </si>
  <si>
    <t xml:space="preserve">Experience (yrs)</t>
  </si>
  <si>
    <t xml:space="preserve">Billing</t>
  </si>
  <si>
    <t xml:space="preserve">Name in sheet</t>
  </si>
  <si>
    <t xml:space="preserve">Projects</t>
  </si>
  <si>
    <t xml:space="preserve">Plan</t>
  </si>
  <si>
    <t xml:space="preserve">Active?</t>
  </si>
  <si>
    <t xml:space="preserve">Srinivasa Rao Supuri</t>
  </si>
  <si>
    <t xml:space="preserve">Hardware</t>
  </si>
  <si>
    <t xml:space="preserve">Billed</t>
  </si>
  <si>
    <t xml:space="preserve">Srinivas</t>
  </si>
  <si>
    <t xml:space="preserve">Yes</t>
  </si>
  <si>
    <t xml:space="preserve">VC_124</t>
  </si>
  <si>
    <t xml:space="preserve">Galipothu Sunil Kumar</t>
  </si>
  <si>
    <t xml:space="preserve">Sunil</t>
  </si>
  <si>
    <t xml:space="preserve">VC_176</t>
  </si>
  <si>
    <t xml:space="preserve">Jampani Samudralankaiah</t>
  </si>
  <si>
    <t xml:space="preserve">Samudra</t>
  </si>
  <si>
    <t xml:space="preserve">VC_183</t>
  </si>
  <si>
    <t xml:space="preserve">Varimadla Anjaneyulu</t>
  </si>
  <si>
    <t xml:space="preserve">Anji</t>
  </si>
  <si>
    <t xml:space="preserve">VC_224</t>
  </si>
  <si>
    <t xml:space="preserve">Chintha Vivek Sai</t>
  </si>
  <si>
    <t xml:space="preserve">Vivek</t>
  </si>
  <si>
    <t xml:space="preserve">VC_161</t>
  </si>
  <si>
    <t xml:space="preserve">Veeresh Meeniga</t>
  </si>
  <si>
    <t xml:space="preserve">Veeresh</t>
  </si>
  <si>
    <t xml:space="preserve">VC_141</t>
  </si>
  <si>
    <t xml:space="preserve">Ravada Ramesh</t>
  </si>
  <si>
    <t xml:space="preserve">Ramesh</t>
  </si>
  <si>
    <t xml:space="preserve">VC_163</t>
  </si>
  <si>
    <t xml:space="preserve">Ruka Nandi Vardhan Reddy</t>
  </si>
  <si>
    <t xml:space="preserve">Vardhan</t>
  </si>
  <si>
    <t xml:space="preserve">VC_196</t>
  </si>
  <si>
    <t xml:space="preserve">Keerthi Sepana</t>
  </si>
  <si>
    <t xml:space="preserve">Keerthi</t>
  </si>
  <si>
    <t xml:space="preserve">VC_200</t>
  </si>
  <si>
    <t xml:space="preserve">Harika Kunduru</t>
  </si>
  <si>
    <t xml:space="preserve">Harika</t>
  </si>
  <si>
    <t xml:space="preserve">VC_229</t>
  </si>
  <si>
    <t xml:space="preserve">Bommi Sandhya</t>
  </si>
  <si>
    <t xml:space="preserve">Sandhya</t>
  </si>
  <si>
    <t xml:space="preserve">Naveen</t>
  </si>
  <si>
    <t xml:space="preserve">Rajesh</t>
  </si>
  <si>
    <t xml:space="preserve">Rajesh Sir</t>
  </si>
  <si>
    <t xml:space="preserve">Fabrication vendors</t>
  </si>
  <si>
    <t xml:space="preserve">Listed separately so fab work is never counted as someone's workload.</t>
  </si>
  <si>
    <t xml:space="preserve">PCB Power</t>
  </si>
  <si>
    <t xml:space="preserve">JLC</t>
  </si>
  <si>
    <t xml:space="preserve">Micropack</t>
  </si>
  <si>
    <t xml:space="preserve">Process definition</t>
  </si>
  <si>
    <t xml:space="preserve">Seven stages, four columns each: Owner, Status, EDC, EDA.</t>
  </si>
  <si>
    <t xml:space="preserve">Stage</t>
  </si>
  <si>
    <t xml:space="preserve">Stage name</t>
  </si>
  <si>
    <t xml:space="preserve">Completed when</t>
  </si>
  <si>
    <t xml:space="preserve">Owner column holds</t>
  </si>
  <si>
    <t xml:space="preserve">S1</t>
  </si>
  <si>
    <t xml:space="preserve">Schematic Design</t>
  </si>
  <si>
    <t xml:space="preserve">Schematic released and netlist handed to layout.</t>
  </si>
  <si>
    <t xml:space="preserve">A design engineer</t>
  </si>
  <si>
    <t xml:space="preserve">S2</t>
  </si>
  <si>
    <t xml:space="preserve">PCB Layout / Design</t>
  </si>
  <si>
    <t xml:space="preserve">DRC and DFM clean, Gerber released.</t>
  </si>
  <si>
    <t xml:space="preserve">A layout engineer</t>
  </si>
  <si>
    <t xml:space="preserve">S3</t>
  </si>
  <si>
    <t xml:space="preserve">SI &amp; PI Simulation</t>
  </si>
  <si>
    <t xml:space="preserve">All in-scope interfaces within margin and report shared.</t>
  </si>
  <si>
    <t xml:space="preserve">A simulation engineer</t>
  </si>
  <si>
    <t xml:space="preserve">S4</t>
  </si>
  <si>
    <t xml:space="preserve">Bare-PCB Fabrication</t>
  </si>
  <si>
    <t xml:space="preserve">Bare boards received and inspected.</t>
  </si>
  <si>
    <t xml:space="preserve">The fabricator, not a staff member</t>
  </si>
  <si>
    <t xml:space="preserve">S5</t>
  </si>
  <si>
    <t xml:space="preserve">Assembly</t>
  </si>
  <si>
    <t xml:space="preserve">Board populated and inspected.</t>
  </si>
  <si>
    <t xml:space="preserve">A hardware engineer</t>
  </si>
  <si>
    <t xml:space="preserve">S6</t>
  </si>
  <si>
    <t xml:space="preserve">Bring-up</t>
  </si>
  <si>
    <t xml:space="preserve">Board powers up, passes validation and is handed over.</t>
  </si>
  <si>
    <t xml:space="preserve">S7</t>
  </si>
  <si>
    <t xml:space="preserve">BOM Procurement</t>
  </si>
  <si>
    <t xml:space="preserve">Parts sourced, or alternates agreed.</t>
  </si>
  <si>
    <t xml:space="preserve">Column contract the dashboard depends on</t>
  </si>
  <si>
    <t xml:space="preserve">-  The field header row must contain "Project / Board", with the stage group headers in the row directly above.</t>
  </si>
  <si>
    <t xml:space="preserve">-  Each stage group header must keep its name — SCHEMATIC, PCB LAYOUT, SI &amp; PI, BARE-PCB FAB, ASSEMBLY, BRING-UP, BOM PROCUREMENT. The S&lt;n&gt; prefix is ignored.</t>
  </si>
  <si>
    <t xml:space="preserve">-  Within a stage block the order is Owner, Status, EDC, EDA.</t>
  </si>
  <si>
    <t xml:space="preserve">-  Owner values must match the "Name in sheet" column on EMPLOYEES. Two people combine with " + ".</t>
  </si>
  <si>
    <t xml:space="preserve">-  Customer values must match the Client name column on CLIENTS.</t>
  </si>
  <si>
    <t xml:space="preserve">ACTIVE / PENDING BOARDS</t>
  </si>
  <si>
    <t xml:space="preserve">One row per board still in progress. Fill the cream cells; the white ones calculate. EDC is the expected date of completion, EDA the actual one.</t>
  </si>
  <si>
    <t xml:space="preserve">RESPIN QUEUE</t>
  </si>
  <si>
    <t xml:space="preserve">#</t>
  </si>
  <si>
    <t xml:space="preserve">Customer</t>
  </si>
  <si>
    <t xml:space="preserve">Board</t>
  </si>
  <si>
    <t xml:space="preserve">Re-entry Stage</t>
  </si>
  <si>
    <t xml:space="preserve">Respin Reason</t>
  </si>
  <si>
    <t xml:space="preserve">Raised On</t>
  </si>
  <si>
    <t xml:space="preserve">Pull in and start at</t>
  </si>
  <si>
    <t xml:space="preserve">PROJECT</t>
  </si>
  <si>
    <t xml:space="preserve">PROCESS ROLL-UP</t>
  </si>
  <si>
    <t xml:space="preserve">S1 SCHEMATIC</t>
  </si>
  <si>
    <t xml:space="preserve">S2 PCB LAYOUT</t>
  </si>
  <si>
    <t xml:space="preserve">S3 SI &amp; PI</t>
  </si>
  <si>
    <t xml:space="preserve">S4 BARE-PCB FAB</t>
  </si>
  <si>
    <t xml:space="preserve">S5 ASSEMBLY</t>
  </si>
  <si>
    <t xml:space="preserve">S6 BRING-UP</t>
  </si>
  <si>
    <t xml:space="preserve">S7 BOM PROCUREMENT</t>
  </si>
  <si>
    <t xml:space="preserve">RESPIN ORIGIN</t>
  </si>
  <si>
    <t xml:space="preserve">FOLLOW-UP</t>
  </si>
  <si>
    <t xml:space="preserve">S.No</t>
  </si>
  <si>
    <t xml:space="preserve">Project / Board</t>
  </si>
  <si>
    <t xml:space="preserve">Project Manager</t>
  </si>
  <si>
    <t xml:space="preserve">Current Stage</t>
  </si>
  <si>
    <t xml:space="preserve">Overall Status</t>
  </si>
  <si>
    <t xml:space="preserve">EDC (current stage)</t>
  </si>
  <si>
    <t xml:space="preserve">Days</t>
  </si>
  <si>
    <t xml:space="preserve">Stages Done</t>
  </si>
  <si>
    <t xml:space="preserve">Stages In Scope</t>
  </si>
  <si>
    <t xml:space="preserve">% Complete</t>
  </si>
  <si>
    <t xml:space="preserve">Owner</t>
  </si>
  <si>
    <t xml:space="preserve">EDC</t>
  </si>
  <si>
    <t xml:space="preserve">EDA</t>
  </si>
  <si>
    <t xml:space="preserve">Fabricator</t>
  </si>
  <si>
    <t xml:space="preserve">Rev / Respin No.</t>
  </si>
  <si>
    <t xml:space="preserve">Re-entered At</t>
  </si>
  <si>
    <t xml:space="preserve">Hold / delay reason</t>
  </si>
  <si>
    <t xml:space="preserve">Reason check</t>
  </si>
  <si>
    <t xml:space="preserve">Latest Comment</t>
  </si>
  <si>
    <t xml:space="preserve">Notes / Data Check</t>
  </si>
  <si>
    <t xml:space="preserve">COMPLETED BOARDS</t>
  </si>
  <si>
    <t xml:space="preserve">Boards where every stage is Completed or NA. You can leave this empty — the dashboard moves boards here as they close. Set Respin Needed? = Yes with a Re-entry Stage to send one back.</t>
  </si>
  <si>
    <t xml:space="preserve">RESPIN CONTROL</t>
  </si>
  <si>
    <t xml:space="preserve">Respin Needed?</t>
  </si>
  <si>
    <t xml:space="preserve">ACTION</t>
  </si>
  <si>
    <t xml:space="preserve">Yes/No</t>
  </si>
  <si>
    <t xml:space="preserve">Client</t>
  </si>
  <si>
    <t xml:space="preserve">Completed</t>
  </si>
  <si>
    <t xml:space="preserve">S1 Schematic</t>
  </si>
  <si>
    <t xml:space="preserve">Design defect found at bring-up</t>
  </si>
  <si>
    <t xml:space="preserve">Waiting on customer feedback</t>
  </si>
  <si>
    <t xml:space="preserve">In Progress</t>
  </si>
  <si>
    <t xml:space="preserve">S2 PCB Layout</t>
  </si>
  <si>
    <t xml:space="preserve">Component obsolete / not sourceable</t>
  </si>
  <si>
    <t xml:space="preserve">No</t>
  </si>
  <si>
    <t xml:space="preserve">Waiting on component / long-lead part</t>
  </si>
  <si>
    <t xml:space="preserve">On Hold</t>
  </si>
  <si>
    <t xml:space="preserve">Customer change request</t>
  </si>
  <si>
    <t xml:space="preserve">De-prioritised for another board</t>
  </si>
  <si>
    <t xml:space="preserve">Not Started</t>
  </si>
  <si>
    <t xml:space="preserve">S4 Bare-PCB Fab</t>
  </si>
  <si>
    <t xml:space="preserve">SI / PI failure</t>
  </si>
  <si>
    <t xml:space="preserve">Rework after SI/PI review</t>
  </si>
  <si>
    <t xml:space="preserve">NA</t>
  </si>
  <si>
    <t xml:space="preserve">S5 Assembly</t>
  </si>
  <si>
    <t xml:space="preserve">Fabrication defect</t>
  </si>
  <si>
    <t xml:space="preserve">Waiting on updated schematic</t>
  </si>
  <si>
    <t xml:space="preserve">Cancelled</t>
  </si>
  <si>
    <t xml:space="preserve">S6 Bring-up</t>
  </si>
  <si>
    <t xml:space="preserve">Assembly or footprint error</t>
  </si>
  <si>
    <t xml:space="preserve">Fab or assembly queue</t>
  </si>
  <si>
    <t xml:space="preserve">S7 BOM Procurement</t>
  </si>
  <si>
    <t xml:space="preserve">Performance not met</t>
  </si>
  <si>
    <t xml:space="preserve">Owner not available</t>
  </si>
  <si>
    <t xml:space="preserve">Other - see comment</t>
  </si>
  <si>
    <t xml:space="preserve">Scope or SoW not agreed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</si>
</sst>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\-mmm\-yy;;;@"/>
    <numFmt numFmtId="166" formatCode="0%"/>
    <numFmt numFmtId="167" formatCode="dd\-mmm\-yy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F3864"/>
      <name val="Arial"/>
      <family val="0"/>
      <charset val="1"/>
    </font>
    <font>
      <i val="true"/>
      <sz val="9"/>
      <color rgb="FF44546A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9C0006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name val="Arial"/>
      <family val="0"/>
      <charset val="1"/>
    </font>
    <font>
      <b val="true"/>
      <sz val="9"/>
      <name val="Arial"/>
      <family val="0"/>
      <charset val="1"/>
    </font>
    <font>
      <sz val="9"/>
      <color rgb="FF9C6500"/>
      <name val="Arial"/>
      <family val="0"/>
      <charset val="1"/>
    </font>
    <font>
      <b val="true"/>
      <sz val="9"/>
      <color rgb="FF9C0006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2F3"/>
        <bgColor rgb="FFE7E6E6"/>
      </patternFill>
    </fill>
    <fill>
      <patternFill patternType="solid">
        <fgColor rgb="FFFFF6E5"/>
        <bgColor rgb="FFF7F7F7"/>
      </patternFill>
    </fill>
    <fill>
      <patternFill patternType="solid">
        <fgColor rgb="FF7B3F00"/>
        <bgColor rgb="FF974706"/>
      </patternFill>
    </fill>
    <fill>
      <patternFill patternType="solid">
        <fgColor rgb="FF44546A"/>
        <bgColor rgb="FF595959"/>
      </patternFill>
    </fill>
    <fill>
      <patternFill patternType="solid">
        <fgColor rgb="FF2E5C8A"/>
        <bgColor rgb="FF44546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7" fontId="13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7" fontId="13" fillId="4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5">
    <dxf>
      <fill>
        <patternFill patternType="solid">
          <fgColor rgb="FF44546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6E5"/>
          <bgColor rgb="FF000000"/>
        </patternFill>
      </fill>
    </dxf>
    <dxf>
      <fill>
        <patternFill patternType="solid">
          <fgColor rgb="FF9C6500"/>
          <bgColor rgb="FF000000"/>
        </patternFill>
      </fill>
    </dxf>
    <dxf>
      <font>
        <name val="Arial"/>
        <charset val="1"/>
        <family val="0"/>
        <b val="1"/>
        <color rgb="FF9C0006"/>
        <sz val="9"/>
      </font>
      <fill>
        <patternFill>
          <bgColor rgb="FFFFE3E3"/>
        </patternFill>
      </fill>
    </dxf>
    <dxf>
      <font>
        <name val="Arial"/>
        <charset val="1"/>
        <family val="0"/>
        <b val="1"/>
        <color rgb="FF006100"/>
        <sz val="9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6500"/>
        <sz val="9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74706"/>
        <sz val="9"/>
      </font>
      <fill>
        <patternFill>
          <bgColor rgb="FFFCD5B4"/>
        </patternFill>
      </fill>
    </dxf>
    <dxf>
      <font>
        <name val="Arial"/>
        <charset val="1"/>
        <family val="0"/>
        <b val="1"/>
        <color rgb="FF595959"/>
        <sz val="9"/>
      </font>
      <fill>
        <patternFill>
          <bgColor rgb="FFE7E6E6"/>
        </patternFill>
      </fill>
    </dxf>
    <dxf>
      <font>
        <name val="Arial"/>
        <charset val="1"/>
        <family val="0"/>
        <b val="1"/>
        <color rgb="FF9C0006"/>
        <sz val="9"/>
      </font>
      <fill>
        <patternFill>
          <bgColor rgb="FFFFC7CE"/>
        </patternFill>
      </fill>
    </dxf>
    <dxf>
      <font>
        <name val="Arial"/>
        <charset val="1"/>
        <family val="0"/>
        <color rgb="FFA6A6A6"/>
        <sz val="9"/>
      </font>
      <fill>
        <patternFill>
          <bgColor rgb="FFF7F7F7"/>
        </patternFill>
      </fill>
    </dxf>
    <dxf>
      <font>
        <name val="Arial"/>
        <charset val="1"/>
        <family val="0"/>
        <color rgb="FF9C6500"/>
        <sz val="8"/>
      </font>
      <fill>
        <patternFill>
          <bgColor rgb="FFFFEB9C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>
          <bgColor rgb="FFFFE3E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008080"/>
      <rgbColor rgb="FFBFBFBF"/>
      <rgbColor rgb="FF808080"/>
      <rgbColor rgb="FF9999FF"/>
      <rgbColor rgb="FF7B3F00"/>
      <rgbColor rgb="FFFFF6E5"/>
      <rgbColor rgb="FFF7F7F7"/>
      <rgbColor rgb="FF660066"/>
      <rgbColor rgb="FFFF8080"/>
      <rgbColor rgb="FF2E5C8A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E6E6"/>
      <rgbColor rgb="FFC6EFCE"/>
      <rgbColor rgb="FFFFEB9C"/>
      <rgbColor rgb="FFFFE3E3"/>
      <rgbColor rgb="FFFFC7CE"/>
      <rgbColor rgb="FFCC99FF"/>
      <rgbColor rgb="FFFCD5B4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1F3864"/>
      <rgbColor rgb="FF339966"/>
      <rgbColor rgb="FF003300"/>
      <rgbColor rgb="FF333300"/>
      <rgbColor rgb="FF974706"/>
      <rgbColor rgb="FF993366"/>
      <rgbColor rgb="FF44546A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6"/>
    <col collapsed="false" customWidth="true" hidden="false" outlineLevel="0" max="3" min="3" style="0" width="16"/>
    <col collapsed="false" customWidth="true" hidden="false" outlineLevel="0" max="4" min="4" style="0" width="96"/>
  </cols>
  <sheetData>
    <row r="1" customFormat="false" ht="18.5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31.5" hidden="false" customHeight="true" outlineLevel="0" collapsed="false">
      <c r="B4" s="3" t="s">
        <v>2</v>
      </c>
      <c r="C4" s="3" t="s">
        <v>3</v>
      </c>
      <c r="D4" s="3" t="s">
        <v>4</v>
      </c>
    </row>
    <row r="5" customFormat="false" ht="42" hidden="false" customHeight="true" outlineLevel="0" collapsed="false">
      <c r="B5" s="4" t="s">
        <v>5</v>
      </c>
      <c r="C5" s="5" t="s">
        <v>6</v>
      </c>
      <c r="D5" s="6" t="s">
        <v>7</v>
      </c>
    </row>
    <row r="6" customFormat="false" ht="42" hidden="false" customHeight="true" outlineLevel="0" collapsed="false">
      <c r="B6" s="4" t="s">
        <v>8</v>
      </c>
      <c r="C6" s="5" t="s">
        <v>9</v>
      </c>
      <c r="D6" s="6" t="s">
        <v>10</v>
      </c>
    </row>
    <row r="7" customFormat="false" ht="42" hidden="false" customHeight="true" outlineLevel="0" collapsed="false">
      <c r="B7" s="4" t="s">
        <v>11</v>
      </c>
      <c r="C7" s="5" t="s">
        <v>12</v>
      </c>
      <c r="D7" s="6" t="s">
        <v>13</v>
      </c>
    </row>
    <row r="8" customFormat="false" ht="42" hidden="false" customHeight="true" outlineLevel="0" collapsed="false">
      <c r="B8" s="4" t="s">
        <v>14</v>
      </c>
      <c r="C8" s="5" t="s">
        <v>15</v>
      </c>
      <c r="D8" s="6" t="s">
        <v>16</v>
      </c>
    </row>
    <row r="9" customFormat="false" ht="42" hidden="false" customHeight="true" outlineLevel="0" collapsed="false">
      <c r="B9" s="4" t="s">
        <v>17</v>
      </c>
      <c r="C9" s="5" t="s">
        <v>18</v>
      </c>
      <c r="D9" s="6" t="s">
        <v>19</v>
      </c>
    </row>
    <row r="10" customFormat="false" ht="42" hidden="false" customHeight="true" outlineLevel="0" collapsed="false">
      <c r="B10" s="4" t="s">
        <v>20</v>
      </c>
      <c r="C10" s="5" t="s">
        <v>21</v>
      </c>
      <c r="D10" s="6" t="s">
        <v>22</v>
      </c>
    </row>
    <row r="12" customFormat="false" ht="15" hidden="false" customHeight="false" outlineLevel="0" collapsed="false">
      <c r="B12" s="7" t="s">
        <v>23</v>
      </c>
    </row>
    <row r="13" customFormat="false" ht="27.75" hidden="false" customHeight="true" outlineLevel="0" collapsed="false">
      <c r="B13" s="8" t="s">
        <v>24</v>
      </c>
      <c r="C13" s="8"/>
      <c r="D13" s="8"/>
    </row>
    <row r="14" customFormat="false" ht="27.75" hidden="false" customHeight="true" outlineLevel="0" collapsed="false">
      <c r="B14" s="8" t="s">
        <v>25</v>
      </c>
      <c r="C14" s="8"/>
      <c r="D14" s="8"/>
    </row>
    <row r="15" customFormat="false" ht="27.75" hidden="false" customHeight="true" outlineLevel="0" collapsed="false">
      <c r="B15" s="8" t="s">
        <v>26</v>
      </c>
      <c r="C15" s="8"/>
      <c r="D15" s="8"/>
    </row>
    <row r="16" customFormat="false" ht="27.75" hidden="false" customHeight="true" outlineLevel="0" collapsed="false">
      <c r="B16" s="8" t="s">
        <v>27</v>
      </c>
      <c r="C16" s="8"/>
      <c r="D16" s="8"/>
    </row>
    <row r="17" customFormat="false" ht="27.75" hidden="false" customHeight="true" outlineLevel="0" collapsed="false">
      <c r="B17" s="8" t="s">
        <v>28</v>
      </c>
      <c r="C17" s="8"/>
      <c r="D17" s="8"/>
    </row>
  </sheetData>
  <mergeCells count="6">
    <mergeCell ref="A2:J2"/>
    <mergeCell ref="B13:D13"/>
    <mergeCell ref="B14:D14"/>
    <mergeCell ref="B15:D15"/>
    <mergeCell ref="B16:D16"/>
    <mergeCell ref="B17:D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26"/>
    <col collapsed="false" customWidth="true" hidden="false" outlineLevel="0" max="3" min="3" style="0" width="14"/>
    <col collapsed="false" customWidth="true" hidden="false" outlineLevel="0" max="4" min="4" style="0" width="24"/>
    <col collapsed="false" customWidth="true" hidden="false" outlineLevel="0" max="5" min="5" style="0" width="20"/>
    <col collapsed="false" customWidth="true" hidden="false" outlineLevel="0" max="6" min="6" style="0" width="14"/>
    <col collapsed="false" customWidth="true" hidden="false" outlineLevel="0" max="7" min="7" style="0" width="40"/>
  </cols>
  <sheetData>
    <row r="1" customFormat="false" ht="18.55" hidden="false" customHeight="false" outlineLevel="0" collapsed="false">
      <c r="A1" s="1" t="s">
        <v>29</v>
      </c>
    </row>
    <row r="2" customFormat="false" ht="15" hidden="false" customHeight="false" outlineLevel="0" collapsed="false">
      <c r="A2" s="2" t="s">
        <v>30</v>
      </c>
      <c r="B2" s="2"/>
      <c r="C2" s="2"/>
      <c r="D2" s="2"/>
      <c r="E2" s="2"/>
      <c r="F2" s="2"/>
      <c r="G2" s="2"/>
      <c r="H2" s="2"/>
    </row>
    <row r="4" customFormat="false" ht="31.5" hidden="false" customHeight="true" outlineLevel="0" collapsed="false">
      <c r="B4" s="3" t="s">
        <v>31</v>
      </c>
      <c r="C4" s="3" t="s">
        <v>32</v>
      </c>
      <c r="D4" s="3" t="s">
        <v>33</v>
      </c>
      <c r="E4" s="3" t="s">
        <v>34</v>
      </c>
      <c r="F4" s="3" t="s">
        <v>35</v>
      </c>
      <c r="G4" s="3" t="s">
        <v>36</v>
      </c>
    </row>
    <row r="5" customFormat="false" ht="19.5" hidden="false" customHeight="true" outlineLevel="0" collapsed="false">
      <c r="B5" s="9"/>
      <c r="C5" s="9"/>
      <c r="D5" s="9"/>
      <c r="E5" s="9"/>
      <c r="F5" s="9"/>
      <c r="G5" s="9"/>
    </row>
    <row r="6" customFormat="false" ht="19.5" hidden="false" customHeight="true" outlineLevel="0" collapsed="false">
      <c r="B6" s="9"/>
      <c r="C6" s="9"/>
      <c r="D6" s="9"/>
      <c r="E6" s="9"/>
      <c r="F6" s="9"/>
      <c r="G6" s="9"/>
    </row>
    <row r="7" customFormat="false" ht="19.5" hidden="false" customHeight="true" outlineLevel="0" collapsed="false">
      <c r="B7" s="9"/>
      <c r="C7" s="9"/>
      <c r="D7" s="9"/>
      <c r="E7" s="9"/>
      <c r="F7" s="9"/>
      <c r="G7" s="9"/>
    </row>
    <row r="8" customFormat="false" ht="19.5" hidden="false" customHeight="true" outlineLevel="0" collapsed="false">
      <c r="B8" s="9"/>
      <c r="C8" s="9"/>
      <c r="D8" s="9"/>
      <c r="E8" s="9"/>
      <c r="F8" s="9"/>
      <c r="G8" s="9"/>
    </row>
    <row r="9" customFormat="false" ht="19.5" hidden="false" customHeight="true" outlineLevel="0" collapsed="false">
      <c r="B9" s="9"/>
      <c r="C9" s="9"/>
      <c r="D9" s="9"/>
      <c r="E9" s="9"/>
      <c r="F9" s="9"/>
      <c r="G9" s="9"/>
    </row>
    <row r="10" customFormat="false" ht="19.5" hidden="false" customHeight="true" outlineLevel="0" collapsed="false">
      <c r="B10" s="9"/>
      <c r="C10" s="9"/>
      <c r="D10" s="9"/>
      <c r="E10" s="9"/>
      <c r="F10" s="9"/>
      <c r="G10" s="9"/>
    </row>
    <row r="11" customFormat="false" ht="19.5" hidden="false" customHeight="true" outlineLevel="0" collapsed="false">
      <c r="B11" s="9"/>
      <c r="C11" s="9"/>
      <c r="D11" s="9"/>
      <c r="E11" s="9"/>
      <c r="F11" s="9"/>
      <c r="G11" s="9"/>
    </row>
    <row r="12" customFormat="false" ht="19.5" hidden="false" customHeight="true" outlineLevel="0" collapsed="false">
      <c r="B12" s="9"/>
      <c r="C12" s="9"/>
      <c r="D12" s="9"/>
      <c r="E12" s="9"/>
      <c r="F12" s="9"/>
      <c r="G12" s="9"/>
    </row>
    <row r="13" customFormat="false" ht="19.5" hidden="false" customHeight="true" outlineLevel="0" collapsed="false">
      <c r="B13" s="9"/>
      <c r="C13" s="9"/>
      <c r="D13" s="9"/>
      <c r="E13" s="9"/>
      <c r="F13" s="9"/>
      <c r="G13" s="9"/>
    </row>
    <row r="14" customFormat="false" ht="19.5" hidden="false" customHeight="true" outlineLevel="0" collapsed="false">
      <c r="B14" s="9"/>
      <c r="C14" s="9"/>
      <c r="D14" s="9"/>
      <c r="E14" s="9"/>
      <c r="F14" s="9"/>
      <c r="G14" s="9"/>
    </row>
    <row r="15" customFormat="false" ht="19.5" hidden="false" customHeight="true" outlineLevel="0" collapsed="false">
      <c r="B15" s="9"/>
      <c r="C15" s="9"/>
      <c r="D15" s="9"/>
      <c r="E15" s="9"/>
      <c r="F15" s="9"/>
      <c r="G15" s="9"/>
    </row>
    <row r="16" customFormat="false" ht="19.5" hidden="false" customHeight="true" outlineLevel="0" collapsed="false">
      <c r="B16" s="9"/>
      <c r="C16" s="9"/>
      <c r="D16" s="9"/>
      <c r="E16" s="9"/>
      <c r="F16" s="9"/>
      <c r="G16" s="9"/>
    </row>
    <row r="17" customFormat="false" ht="19.5" hidden="false" customHeight="true" outlineLevel="0" collapsed="false">
      <c r="B17" s="9"/>
      <c r="C17" s="9"/>
      <c r="D17" s="9"/>
      <c r="E17" s="9"/>
      <c r="F17" s="9"/>
      <c r="G17" s="9"/>
    </row>
    <row r="18" customFormat="false" ht="19.5" hidden="false" customHeight="true" outlineLevel="0" collapsed="false">
      <c r="B18" s="9"/>
      <c r="C18" s="9"/>
      <c r="D18" s="9"/>
      <c r="E18" s="9"/>
      <c r="F18" s="9"/>
      <c r="G18" s="9"/>
    </row>
    <row r="19" customFormat="false" ht="19.5" hidden="false" customHeight="true" outlineLevel="0" collapsed="false">
      <c r="B19" s="9"/>
      <c r="C19" s="9"/>
      <c r="D19" s="9"/>
      <c r="E19" s="9"/>
      <c r="F19" s="9"/>
      <c r="G19" s="9"/>
    </row>
    <row r="20" customFormat="false" ht="19.5" hidden="false" customHeight="true" outlineLevel="0" collapsed="false">
      <c r="B20" s="9"/>
      <c r="C20" s="9"/>
      <c r="D20" s="9"/>
      <c r="E20" s="9"/>
      <c r="F20" s="9"/>
      <c r="G20" s="9"/>
    </row>
    <row r="21" customFormat="false" ht="19.5" hidden="false" customHeight="true" outlineLevel="0" collapsed="false">
      <c r="B21" s="9"/>
      <c r="C21" s="9"/>
      <c r="D21" s="9"/>
      <c r="E21" s="9"/>
      <c r="F21" s="9"/>
      <c r="G21" s="9"/>
    </row>
    <row r="22" customFormat="false" ht="19.5" hidden="false" customHeight="true" outlineLevel="0" collapsed="false">
      <c r="B22" s="9"/>
      <c r="C22" s="9"/>
      <c r="D22" s="9"/>
      <c r="E22" s="9"/>
      <c r="F22" s="9"/>
      <c r="G22" s="9"/>
    </row>
    <row r="23" customFormat="false" ht="19.5" hidden="false" customHeight="true" outlineLevel="0" collapsed="false">
      <c r="B23" s="9"/>
      <c r="C23" s="9"/>
      <c r="D23" s="9"/>
      <c r="E23" s="9"/>
      <c r="F23" s="9"/>
      <c r="G23" s="9"/>
    </row>
    <row r="24" customFormat="false" ht="19.5" hidden="false" customHeight="true" outlineLevel="0" collapsed="false">
      <c r="B24" s="9"/>
      <c r="C24" s="9"/>
      <c r="D24" s="9"/>
      <c r="E24" s="9"/>
      <c r="F24" s="9"/>
      <c r="G24" s="9"/>
    </row>
    <row r="25" customFormat="false" ht="19.5" hidden="false" customHeight="true" outlineLevel="0" collapsed="false">
      <c r="B25" s="9"/>
      <c r="C25" s="9"/>
      <c r="D25" s="9"/>
      <c r="E25" s="9"/>
      <c r="F25" s="9"/>
      <c r="G25" s="9"/>
    </row>
    <row r="26" customFormat="false" ht="19.5" hidden="false" customHeight="true" outlineLevel="0" collapsed="false">
      <c r="B26" s="9"/>
      <c r="C26" s="9"/>
      <c r="D26" s="9"/>
      <c r="E26" s="9"/>
      <c r="F26" s="9"/>
      <c r="G26" s="9"/>
    </row>
    <row r="27" customFormat="false" ht="19.5" hidden="false" customHeight="true" outlineLevel="0" collapsed="false">
      <c r="B27" s="9"/>
      <c r="C27" s="9"/>
      <c r="D27" s="9"/>
      <c r="E27" s="9"/>
      <c r="F27" s="9"/>
      <c r="G27" s="9"/>
    </row>
    <row r="28" customFormat="false" ht="19.5" hidden="false" customHeight="true" outlineLevel="0" collapsed="false">
      <c r="B28" s="9"/>
      <c r="C28" s="9"/>
      <c r="D28" s="9"/>
      <c r="E28" s="9"/>
      <c r="F28" s="9"/>
      <c r="G28" s="9"/>
    </row>
    <row r="29" customFormat="false" ht="19.5" hidden="false" customHeight="true" outlineLevel="0" collapsed="false">
      <c r="B29" s="9"/>
      <c r="C29" s="9"/>
      <c r="D29" s="9"/>
      <c r="E29" s="9"/>
      <c r="F29" s="9"/>
      <c r="G29" s="9"/>
    </row>
    <row r="30" customFormat="false" ht="19.5" hidden="false" customHeight="true" outlineLevel="0" collapsed="false">
      <c r="B30" s="9"/>
      <c r="C30" s="9"/>
      <c r="D30" s="9"/>
      <c r="E30" s="9"/>
      <c r="F30" s="9"/>
      <c r="G30" s="9"/>
    </row>
    <row r="31" customFormat="false" ht="19.5" hidden="false" customHeight="true" outlineLevel="0" collapsed="false">
      <c r="B31" s="9"/>
      <c r="C31" s="9"/>
      <c r="D31" s="9"/>
      <c r="E31" s="9"/>
      <c r="F31" s="9"/>
      <c r="G31" s="9"/>
    </row>
    <row r="32" customFormat="false" ht="19.5" hidden="false" customHeight="true" outlineLevel="0" collapsed="false">
      <c r="B32" s="9"/>
      <c r="C32" s="9"/>
      <c r="D32" s="9"/>
      <c r="E32" s="9"/>
      <c r="F32" s="9"/>
      <c r="G32" s="9"/>
    </row>
    <row r="33" customFormat="false" ht="19.5" hidden="false" customHeight="true" outlineLevel="0" collapsed="false">
      <c r="B33" s="9"/>
      <c r="C33" s="9"/>
      <c r="D33" s="9"/>
      <c r="E33" s="9"/>
      <c r="F33" s="9"/>
      <c r="G33" s="9"/>
    </row>
    <row r="34" customFormat="false" ht="19.5" hidden="false" customHeight="true" outlineLevel="0" collapsed="false">
      <c r="B34" s="9"/>
      <c r="C34" s="9"/>
      <c r="D34" s="9"/>
      <c r="E34" s="9"/>
      <c r="F34" s="9"/>
      <c r="G34" s="9"/>
    </row>
    <row r="35" customFormat="false" ht="19.5" hidden="false" customHeight="true" outlineLevel="0" collapsed="false">
      <c r="B35" s="9"/>
      <c r="C35" s="9"/>
      <c r="D35" s="9"/>
      <c r="E35" s="9"/>
      <c r="F35" s="9"/>
      <c r="G35" s="9"/>
    </row>
    <row r="36" customFormat="false" ht="19.5" hidden="false" customHeight="true" outlineLevel="0" collapsed="false">
      <c r="B36" s="9"/>
      <c r="C36" s="9"/>
      <c r="D36" s="9"/>
      <c r="E36" s="9"/>
      <c r="F36" s="9"/>
      <c r="G36" s="9"/>
    </row>
    <row r="37" customFormat="false" ht="19.5" hidden="false" customHeight="true" outlineLevel="0" collapsed="false">
      <c r="B37" s="9"/>
      <c r="C37" s="9"/>
      <c r="D37" s="9"/>
      <c r="E37" s="9"/>
      <c r="F37" s="9"/>
      <c r="G37" s="9"/>
    </row>
    <row r="38" customFormat="false" ht="19.5" hidden="false" customHeight="true" outlineLevel="0" collapsed="false">
      <c r="B38" s="9"/>
      <c r="C38" s="9"/>
      <c r="D38" s="9"/>
      <c r="E38" s="9"/>
      <c r="F38" s="9"/>
      <c r="G38" s="9"/>
    </row>
    <row r="39" customFormat="false" ht="19.5" hidden="false" customHeight="true" outlineLevel="0" collapsed="false">
      <c r="B39" s="9"/>
      <c r="C39" s="9"/>
      <c r="D39" s="9"/>
      <c r="E39" s="9"/>
      <c r="F39" s="9"/>
      <c r="G39" s="9"/>
    </row>
    <row r="40" customFormat="false" ht="19.5" hidden="false" customHeight="true" outlineLevel="0" collapsed="false">
      <c r="B40" s="9"/>
      <c r="C40" s="9"/>
      <c r="D40" s="9"/>
      <c r="E40" s="9"/>
      <c r="F40" s="9"/>
      <c r="G40" s="9"/>
    </row>
    <row r="41" customFormat="false" ht="19.5" hidden="false" customHeight="true" outlineLevel="0" collapsed="false">
      <c r="B41" s="9"/>
      <c r="C41" s="9"/>
      <c r="D41" s="9"/>
      <c r="E41" s="9"/>
      <c r="F41" s="9"/>
      <c r="G41" s="9"/>
    </row>
    <row r="42" customFormat="false" ht="19.5" hidden="false" customHeight="true" outlineLevel="0" collapsed="false">
      <c r="B42" s="9"/>
      <c r="C42" s="9"/>
      <c r="D42" s="9"/>
      <c r="E42" s="9"/>
      <c r="F42" s="9"/>
      <c r="G42" s="9"/>
    </row>
    <row r="43" customFormat="false" ht="19.5" hidden="false" customHeight="true" outlineLevel="0" collapsed="false">
      <c r="B43" s="9"/>
      <c r="C43" s="9"/>
      <c r="D43" s="9"/>
      <c r="E43" s="9"/>
      <c r="F43" s="9"/>
      <c r="G43" s="9"/>
    </row>
    <row r="44" customFormat="false" ht="19.5" hidden="false" customHeight="true" outlineLevel="0" collapsed="false">
      <c r="B44" s="9"/>
      <c r="C44" s="9"/>
      <c r="D44" s="9"/>
      <c r="E44" s="9"/>
      <c r="F44" s="9"/>
      <c r="G44" s="9"/>
    </row>
    <row r="45" customFormat="false" ht="19.5" hidden="false" customHeight="true" outlineLevel="0" collapsed="false">
      <c r="B45" s="9"/>
      <c r="C45" s="9"/>
      <c r="D45" s="9"/>
      <c r="E45" s="9"/>
      <c r="F45" s="9"/>
      <c r="G45" s="9"/>
    </row>
    <row r="46" customFormat="false" ht="19.5" hidden="false" customHeight="true" outlineLevel="0" collapsed="false">
      <c r="B46" s="9"/>
      <c r="C46" s="9"/>
      <c r="D46" s="9"/>
      <c r="E46" s="9"/>
      <c r="F46" s="9"/>
      <c r="G46" s="9"/>
    </row>
    <row r="47" customFormat="false" ht="19.5" hidden="false" customHeight="true" outlineLevel="0" collapsed="false">
      <c r="B47" s="9"/>
      <c r="C47" s="9"/>
      <c r="D47" s="9"/>
      <c r="E47" s="9"/>
      <c r="F47" s="9"/>
      <c r="G47" s="9"/>
    </row>
    <row r="48" customFormat="false" ht="19.5" hidden="false" customHeight="true" outlineLevel="0" collapsed="false">
      <c r="B48" s="9"/>
      <c r="C48" s="9"/>
      <c r="D48" s="9"/>
      <c r="E48" s="9"/>
      <c r="F48" s="9"/>
      <c r="G48" s="9"/>
    </row>
    <row r="49" customFormat="false" ht="19.5" hidden="false" customHeight="true" outlineLevel="0" collapsed="false">
      <c r="B49" s="9"/>
      <c r="C49" s="9"/>
      <c r="D49" s="9"/>
      <c r="E49" s="9"/>
      <c r="F49" s="9"/>
      <c r="G49" s="9"/>
    </row>
    <row r="50" customFormat="false" ht="19.5" hidden="false" customHeight="true" outlineLevel="0" collapsed="false">
      <c r="B50" s="9"/>
      <c r="C50" s="9"/>
      <c r="D50" s="9"/>
      <c r="E50" s="9"/>
      <c r="F50" s="9"/>
      <c r="G50" s="9"/>
    </row>
    <row r="51" customFormat="false" ht="19.5" hidden="false" customHeight="true" outlineLevel="0" collapsed="false">
      <c r="B51" s="9"/>
      <c r="C51" s="9"/>
      <c r="D51" s="9"/>
      <c r="E51" s="9"/>
      <c r="F51" s="9"/>
      <c r="G51" s="9"/>
    </row>
    <row r="52" customFormat="false" ht="19.5" hidden="false" customHeight="true" outlineLevel="0" collapsed="false">
      <c r="B52" s="9"/>
      <c r="C52" s="9"/>
      <c r="D52" s="9"/>
      <c r="E52" s="9"/>
      <c r="F52" s="9"/>
      <c r="G52" s="9"/>
    </row>
    <row r="53" customFormat="false" ht="19.5" hidden="false" customHeight="true" outlineLevel="0" collapsed="false">
      <c r="B53" s="9"/>
      <c r="C53" s="9"/>
      <c r="D53" s="9"/>
      <c r="E53" s="9"/>
      <c r="F53" s="9"/>
      <c r="G53" s="9"/>
    </row>
    <row r="54" customFormat="false" ht="19.5" hidden="false" customHeight="true" outlineLevel="0" collapsed="false">
      <c r="B54" s="9"/>
      <c r="C54" s="9"/>
      <c r="D54" s="9"/>
      <c r="E54" s="9"/>
      <c r="F54" s="9"/>
      <c r="G54" s="9"/>
    </row>
    <row r="55" customFormat="false" ht="19.5" hidden="false" customHeight="true" outlineLevel="0" collapsed="false">
      <c r="B55" s="9"/>
      <c r="C55" s="9"/>
      <c r="D55" s="9"/>
      <c r="E55" s="9"/>
      <c r="F55" s="9"/>
      <c r="G55" s="9"/>
    </row>
    <row r="56" customFormat="false" ht="19.5" hidden="false" customHeight="true" outlineLevel="0" collapsed="false">
      <c r="B56" s="9"/>
      <c r="C56" s="9"/>
      <c r="D56" s="9"/>
      <c r="E56" s="9"/>
      <c r="F56" s="9"/>
      <c r="G56" s="9"/>
    </row>
    <row r="57" customFormat="false" ht="19.5" hidden="false" customHeight="true" outlineLevel="0" collapsed="false">
      <c r="B57" s="9"/>
      <c r="C57" s="9"/>
      <c r="D57" s="9"/>
      <c r="E57" s="9"/>
      <c r="F57" s="9"/>
      <c r="G57" s="9"/>
    </row>
    <row r="58" customFormat="false" ht="19.5" hidden="false" customHeight="true" outlineLevel="0" collapsed="false">
      <c r="B58" s="9"/>
      <c r="C58" s="9"/>
      <c r="D58" s="9"/>
      <c r="E58" s="9"/>
      <c r="F58" s="9"/>
      <c r="G58" s="9"/>
    </row>
    <row r="59" customFormat="false" ht="19.5" hidden="false" customHeight="true" outlineLevel="0" collapsed="false">
      <c r="B59" s="9"/>
      <c r="C59" s="9"/>
      <c r="D59" s="9"/>
      <c r="E59" s="9"/>
      <c r="F59" s="9"/>
      <c r="G59" s="9"/>
    </row>
    <row r="60" customFormat="false" ht="19.5" hidden="false" customHeight="true" outlineLevel="0" collapsed="false">
      <c r="B60" s="9"/>
      <c r="C60" s="9"/>
      <c r="D60" s="9"/>
      <c r="E60" s="9"/>
      <c r="F60" s="9"/>
      <c r="G60" s="9"/>
    </row>
    <row r="61" customFormat="false" ht="19.5" hidden="false" customHeight="true" outlineLevel="0" collapsed="false">
      <c r="B61" s="9"/>
      <c r="C61" s="9"/>
      <c r="D61" s="9"/>
      <c r="E61" s="9"/>
      <c r="F61" s="9"/>
      <c r="G61" s="9"/>
    </row>
    <row r="62" customFormat="false" ht="19.5" hidden="false" customHeight="true" outlineLevel="0" collapsed="false">
      <c r="B62" s="9"/>
      <c r="C62" s="9"/>
      <c r="D62" s="9"/>
      <c r="E62" s="9"/>
      <c r="F62" s="9"/>
      <c r="G62" s="9"/>
    </row>
    <row r="63" customFormat="false" ht="19.5" hidden="false" customHeight="true" outlineLevel="0" collapsed="false">
      <c r="B63" s="9"/>
      <c r="C63" s="9"/>
      <c r="D63" s="9"/>
      <c r="E63" s="9"/>
      <c r="F63" s="9"/>
      <c r="G63" s="9"/>
    </row>
    <row r="64" customFormat="false" ht="19.5" hidden="false" customHeight="true" outlineLevel="0" collapsed="false">
      <c r="B64" s="9"/>
      <c r="C64" s="9"/>
      <c r="D64" s="9"/>
      <c r="E64" s="9"/>
      <c r="F64" s="9"/>
      <c r="G64" s="9"/>
    </row>
  </sheetData>
  <mergeCells count="1">
    <mergeCell ref="A2:H2"/>
  </mergeCells>
  <dataValidations count="1">
    <dataValidation allowBlank="true" errorStyle="stop" operator="between" showDropDown="false" showErrorMessage="false" showInputMessage="false" sqref="F5:F200" type="list">
      <formula1>"Active,Prospect,Dormant,Closed"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15"/>
    <col collapsed="false" customWidth="true" hidden="false" outlineLevel="0" max="3" min="3" style="0" width="26"/>
    <col collapsed="false" customWidth="true" hidden="false" outlineLevel="0" max="4" min="4" style="0" width="13"/>
    <col collapsed="false" customWidth="true" hidden="false" outlineLevel="0" max="5" min="5" style="0" width="15"/>
    <col collapsed="false" customWidth="true" hidden="false" outlineLevel="0" max="6" min="6" style="0" width="12"/>
    <col collapsed="false" customWidth="true" hidden="false" outlineLevel="0" max="7" min="7" style="0" width="16"/>
    <col collapsed="false" customWidth="true" hidden="false" outlineLevel="0" max="8" min="8" style="0" width="34"/>
    <col collapsed="false" customWidth="true" hidden="false" outlineLevel="0" max="9" min="9" style="0" width="28"/>
    <col collapsed="false" customWidth="true" hidden="false" outlineLevel="0" max="10" min="10" style="0" width="10"/>
  </cols>
  <sheetData>
    <row r="1" customFormat="false" ht="18.55" hidden="false" customHeight="false" outlineLevel="0" collapsed="false">
      <c r="A1" s="1" t="s">
        <v>37</v>
      </c>
    </row>
    <row r="2" customFormat="false" ht="15" hidden="false" customHeight="false" outlineLevel="0" collapsed="false">
      <c r="A2" s="2" t="s">
        <v>38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31.5" hidden="false" customHeight="true" outlineLevel="0" collapsed="false">
      <c r="B4" s="3" t="s">
        <v>39</v>
      </c>
      <c r="C4" s="3" t="s">
        <v>40</v>
      </c>
      <c r="D4" s="3" t="s">
        <v>41</v>
      </c>
      <c r="E4" s="3" t="s">
        <v>42</v>
      </c>
      <c r="F4" s="3" t="s">
        <v>43</v>
      </c>
      <c r="G4" s="3" t="s">
        <v>44</v>
      </c>
      <c r="H4" s="3" t="s">
        <v>45</v>
      </c>
      <c r="I4" s="3" t="s">
        <v>46</v>
      </c>
      <c r="J4" s="3" t="s">
        <v>47</v>
      </c>
    </row>
    <row r="5" customFormat="false" ht="21.75" hidden="false" customHeight="true" outlineLevel="0" collapsed="false">
      <c r="B5" s="10"/>
      <c r="C5" s="11" t="s">
        <v>48</v>
      </c>
      <c r="D5" s="10" t="s">
        <v>49</v>
      </c>
      <c r="E5" s="10" t="n">
        <v>14</v>
      </c>
      <c r="F5" s="10" t="s">
        <v>50</v>
      </c>
      <c r="G5" s="10" t="s">
        <v>51</v>
      </c>
      <c r="H5" s="12"/>
      <c r="I5" s="12"/>
      <c r="J5" s="10" t="s">
        <v>52</v>
      </c>
    </row>
    <row r="6" customFormat="false" ht="21.75" hidden="false" customHeight="true" outlineLevel="0" collapsed="false">
      <c r="B6" s="10" t="s">
        <v>53</v>
      </c>
      <c r="C6" s="11" t="s">
        <v>54</v>
      </c>
      <c r="D6" s="10" t="s">
        <v>49</v>
      </c>
      <c r="E6" s="10" t="n">
        <v>18</v>
      </c>
      <c r="F6" s="10" t="s">
        <v>50</v>
      </c>
      <c r="G6" s="10" t="s">
        <v>55</v>
      </c>
      <c r="H6" s="12"/>
      <c r="I6" s="12"/>
      <c r="J6" s="10" t="s">
        <v>52</v>
      </c>
    </row>
    <row r="7" customFormat="false" ht="21.75" hidden="false" customHeight="true" outlineLevel="0" collapsed="false">
      <c r="B7" s="10" t="s">
        <v>56</v>
      </c>
      <c r="C7" s="11" t="s">
        <v>57</v>
      </c>
      <c r="D7" s="10" t="s">
        <v>49</v>
      </c>
      <c r="E7" s="10" t="n">
        <v>6.4</v>
      </c>
      <c r="F7" s="10" t="s">
        <v>50</v>
      </c>
      <c r="G7" s="10" t="s">
        <v>58</v>
      </c>
      <c r="H7" s="12"/>
      <c r="I7" s="12"/>
      <c r="J7" s="10" t="s">
        <v>52</v>
      </c>
    </row>
    <row r="8" customFormat="false" ht="21.75" hidden="false" customHeight="true" outlineLevel="0" collapsed="false">
      <c r="B8" s="10" t="s">
        <v>59</v>
      </c>
      <c r="C8" s="11" t="s">
        <v>60</v>
      </c>
      <c r="D8" s="10" t="s">
        <v>49</v>
      </c>
      <c r="E8" s="10" t="n">
        <v>8.1</v>
      </c>
      <c r="F8" s="10" t="s">
        <v>50</v>
      </c>
      <c r="G8" s="10" t="s">
        <v>61</v>
      </c>
      <c r="H8" s="12"/>
      <c r="I8" s="12"/>
      <c r="J8" s="10" t="s">
        <v>52</v>
      </c>
    </row>
    <row r="9" customFormat="false" ht="21.75" hidden="false" customHeight="true" outlineLevel="0" collapsed="false">
      <c r="B9" s="10" t="s">
        <v>62</v>
      </c>
      <c r="C9" s="11" t="s">
        <v>63</v>
      </c>
      <c r="D9" s="10" t="s">
        <v>49</v>
      </c>
      <c r="E9" s="10" t="n">
        <v>0.1</v>
      </c>
      <c r="F9" s="10" t="s">
        <v>50</v>
      </c>
      <c r="G9" s="10" t="s">
        <v>64</v>
      </c>
      <c r="H9" s="12"/>
      <c r="I9" s="12"/>
      <c r="J9" s="10" t="s">
        <v>52</v>
      </c>
    </row>
    <row r="10" customFormat="false" ht="21.75" hidden="false" customHeight="true" outlineLevel="0" collapsed="false">
      <c r="B10" s="10" t="s">
        <v>65</v>
      </c>
      <c r="C10" s="11" t="s">
        <v>66</v>
      </c>
      <c r="D10" s="10" t="s">
        <v>49</v>
      </c>
      <c r="E10" s="10" t="n">
        <v>2.7</v>
      </c>
      <c r="F10" s="10" t="s">
        <v>50</v>
      </c>
      <c r="G10" s="10" t="s">
        <v>67</v>
      </c>
      <c r="H10" s="12"/>
      <c r="I10" s="12"/>
      <c r="J10" s="10" t="s">
        <v>52</v>
      </c>
    </row>
    <row r="11" customFormat="false" ht="21.75" hidden="false" customHeight="true" outlineLevel="0" collapsed="false">
      <c r="B11" s="10" t="s">
        <v>68</v>
      </c>
      <c r="C11" s="11" t="s">
        <v>69</v>
      </c>
      <c r="D11" s="10" t="s">
        <v>49</v>
      </c>
      <c r="E11" s="10" t="n">
        <v>4.2</v>
      </c>
      <c r="F11" s="10" t="s">
        <v>50</v>
      </c>
      <c r="G11" s="10" t="s">
        <v>70</v>
      </c>
      <c r="H11" s="12"/>
      <c r="I11" s="12"/>
      <c r="J11" s="10" t="s">
        <v>52</v>
      </c>
    </row>
    <row r="12" customFormat="false" ht="21.75" hidden="false" customHeight="true" outlineLevel="0" collapsed="false">
      <c r="B12" s="10" t="s">
        <v>71</v>
      </c>
      <c r="C12" s="11" t="s">
        <v>72</v>
      </c>
      <c r="D12" s="10" t="s">
        <v>49</v>
      </c>
      <c r="E12" s="10" t="n">
        <v>2.7</v>
      </c>
      <c r="F12" s="10" t="s">
        <v>50</v>
      </c>
      <c r="G12" s="10" t="s">
        <v>73</v>
      </c>
      <c r="H12" s="12"/>
      <c r="I12" s="12"/>
      <c r="J12" s="10" t="s">
        <v>52</v>
      </c>
    </row>
    <row r="13" customFormat="false" ht="21.75" hidden="false" customHeight="true" outlineLevel="0" collapsed="false">
      <c r="B13" s="10" t="s">
        <v>74</v>
      </c>
      <c r="C13" s="11" t="s">
        <v>75</v>
      </c>
      <c r="D13" s="10" t="s">
        <v>49</v>
      </c>
      <c r="E13" s="10" t="n">
        <v>1.3</v>
      </c>
      <c r="F13" s="10" t="s">
        <v>50</v>
      </c>
      <c r="G13" s="10" t="s">
        <v>76</v>
      </c>
      <c r="H13" s="12"/>
      <c r="I13" s="12"/>
      <c r="J13" s="10" t="s">
        <v>52</v>
      </c>
    </row>
    <row r="14" customFormat="false" ht="21.75" hidden="false" customHeight="true" outlineLevel="0" collapsed="false">
      <c r="B14" s="10" t="s">
        <v>77</v>
      </c>
      <c r="C14" s="11" t="s">
        <v>78</v>
      </c>
      <c r="D14" s="10" t="s">
        <v>49</v>
      </c>
      <c r="E14" s="10" t="n">
        <v>4</v>
      </c>
      <c r="F14" s="10" t="s">
        <v>50</v>
      </c>
      <c r="G14" s="10" t="s">
        <v>79</v>
      </c>
      <c r="H14" s="12"/>
      <c r="I14" s="12"/>
      <c r="J14" s="10" t="s">
        <v>52</v>
      </c>
    </row>
    <row r="15" customFormat="false" ht="21.75" hidden="false" customHeight="true" outlineLevel="0" collapsed="false">
      <c r="B15" s="10" t="s">
        <v>80</v>
      </c>
      <c r="C15" s="11" t="s">
        <v>81</v>
      </c>
      <c r="D15" s="10" t="s">
        <v>49</v>
      </c>
      <c r="E15" s="10"/>
      <c r="F15" s="10"/>
      <c r="G15" s="10" t="s">
        <v>82</v>
      </c>
      <c r="H15" s="12"/>
      <c r="I15" s="12"/>
      <c r="J15" s="10" t="s">
        <v>52</v>
      </c>
    </row>
    <row r="16" customFormat="false" ht="21.75" hidden="false" customHeight="true" outlineLevel="0" collapsed="false">
      <c r="B16" s="10"/>
      <c r="C16" s="11" t="s">
        <v>83</v>
      </c>
      <c r="D16" s="10" t="s">
        <v>49</v>
      </c>
      <c r="E16" s="10"/>
      <c r="F16" s="10"/>
      <c r="G16" s="10" t="s">
        <v>83</v>
      </c>
      <c r="H16" s="12"/>
      <c r="I16" s="12"/>
      <c r="J16" s="10" t="s">
        <v>52</v>
      </c>
    </row>
    <row r="17" customFormat="false" ht="21.75" hidden="false" customHeight="true" outlineLevel="0" collapsed="false">
      <c r="B17" s="10"/>
      <c r="C17" s="11" t="s">
        <v>84</v>
      </c>
      <c r="D17" s="10" t="s">
        <v>49</v>
      </c>
      <c r="E17" s="10"/>
      <c r="F17" s="10"/>
      <c r="G17" s="10" t="s">
        <v>85</v>
      </c>
      <c r="H17" s="12"/>
      <c r="I17" s="12"/>
      <c r="J17" s="10" t="s">
        <v>52</v>
      </c>
    </row>
    <row r="18" customFormat="false" ht="19.5" hidden="false" customHeight="true" outlineLevel="0" collapsed="false">
      <c r="B18" s="9"/>
      <c r="C18" s="9"/>
      <c r="D18" s="9"/>
      <c r="E18" s="9"/>
      <c r="F18" s="9"/>
      <c r="G18" s="9"/>
      <c r="H18" s="9"/>
      <c r="I18" s="9"/>
      <c r="J18" s="9"/>
    </row>
    <row r="19" customFormat="false" ht="19.5" hidden="false" customHeight="true" outlineLevel="0" collapsed="false">
      <c r="B19" s="9"/>
      <c r="C19" s="9"/>
      <c r="D19" s="9"/>
      <c r="E19" s="9"/>
      <c r="F19" s="9"/>
      <c r="G19" s="9"/>
      <c r="H19" s="9"/>
      <c r="I19" s="9"/>
      <c r="J19" s="9"/>
    </row>
    <row r="20" customFormat="false" ht="19.5" hidden="false" customHeight="true" outlineLevel="0" collapsed="false">
      <c r="B20" s="9"/>
      <c r="C20" s="9"/>
      <c r="D20" s="9"/>
      <c r="E20" s="9"/>
      <c r="F20" s="9"/>
      <c r="G20" s="9"/>
      <c r="H20" s="9"/>
      <c r="I20" s="9"/>
      <c r="J20" s="9"/>
    </row>
    <row r="21" customFormat="false" ht="19.5" hidden="false" customHeight="true" outlineLevel="0" collapsed="false">
      <c r="B21" s="9"/>
      <c r="C21" s="9"/>
      <c r="D21" s="9"/>
      <c r="E21" s="9"/>
      <c r="F21" s="9"/>
      <c r="G21" s="9"/>
      <c r="H21" s="9"/>
      <c r="I21" s="9"/>
      <c r="J21" s="9"/>
    </row>
    <row r="22" customFormat="false" ht="19.5" hidden="false" customHeight="true" outlineLevel="0" collapsed="false">
      <c r="B22" s="9"/>
      <c r="C22" s="9"/>
      <c r="D22" s="9"/>
      <c r="E22" s="9"/>
      <c r="F22" s="9"/>
      <c r="G22" s="9"/>
      <c r="H22" s="9"/>
      <c r="I22" s="9"/>
      <c r="J22" s="9"/>
    </row>
    <row r="23" customFormat="false" ht="19.5" hidden="false" customHeight="true" outlineLevel="0" collapsed="false">
      <c r="B23" s="9"/>
      <c r="C23" s="9"/>
      <c r="D23" s="9"/>
      <c r="E23" s="9"/>
      <c r="F23" s="9"/>
      <c r="G23" s="9"/>
      <c r="H23" s="9"/>
      <c r="I23" s="9"/>
      <c r="J23" s="9"/>
    </row>
    <row r="24" customFormat="false" ht="19.5" hidden="false" customHeight="true" outlineLevel="0" collapsed="false">
      <c r="B24" s="9"/>
      <c r="C24" s="9"/>
      <c r="D24" s="9"/>
      <c r="E24" s="9"/>
      <c r="F24" s="9"/>
      <c r="G24" s="9"/>
      <c r="H24" s="9"/>
      <c r="I24" s="9"/>
      <c r="J24" s="9"/>
    </row>
    <row r="25" customFormat="false" ht="19.5" hidden="false" customHeight="true" outlineLevel="0" collapsed="false">
      <c r="B25" s="9"/>
      <c r="C25" s="9"/>
      <c r="D25" s="9"/>
      <c r="E25" s="9"/>
      <c r="F25" s="9"/>
      <c r="G25" s="9"/>
      <c r="H25" s="9"/>
      <c r="I25" s="9"/>
      <c r="J25" s="9"/>
    </row>
    <row r="26" customFormat="false" ht="19.5" hidden="false" customHeight="true" outlineLevel="0" collapsed="false">
      <c r="B26" s="9"/>
      <c r="C26" s="9"/>
      <c r="D26" s="9"/>
      <c r="E26" s="9"/>
      <c r="F26" s="9"/>
      <c r="G26" s="9"/>
      <c r="H26" s="9"/>
      <c r="I26" s="9"/>
      <c r="J26" s="9"/>
    </row>
    <row r="27" customFormat="false" ht="19.5" hidden="false" customHeight="true" outlineLevel="0" collapsed="false">
      <c r="B27" s="9"/>
      <c r="C27" s="9"/>
      <c r="D27" s="9"/>
      <c r="E27" s="9"/>
      <c r="F27" s="9"/>
      <c r="G27" s="9"/>
      <c r="H27" s="9"/>
      <c r="I27" s="9"/>
      <c r="J27" s="9"/>
    </row>
    <row r="28" customFormat="false" ht="19.5" hidden="false" customHeight="true" outlineLevel="0" collapsed="false">
      <c r="B28" s="9"/>
      <c r="C28" s="9"/>
      <c r="D28" s="9"/>
      <c r="E28" s="9"/>
      <c r="F28" s="9"/>
      <c r="G28" s="9"/>
      <c r="H28" s="9"/>
      <c r="I28" s="9"/>
      <c r="J28" s="9"/>
    </row>
    <row r="29" customFormat="false" ht="19.5" hidden="false" customHeight="true" outlineLevel="0" collapsed="false">
      <c r="B29" s="9"/>
      <c r="C29" s="9"/>
      <c r="D29" s="9"/>
      <c r="E29" s="9"/>
      <c r="F29" s="9"/>
      <c r="G29" s="9"/>
      <c r="H29" s="9"/>
      <c r="I29" s="9"/>
      <c r="J29" s="9"/>
    </row>
    <row r="30" customFormat="false" ht="19.5" hidden="false" customHeight="true" outlineLevel="0" collapsed="false">
      <c r="B30" s="9"/>
      <c r="C30" s="9"/>
      <c r="D30" s="9"/>
      <c r="E30" s="9"/>
      <c r="F30" s="9"/>
      <c r="G30" s="9"/>
      <c r="H30" s="9"/>
      <c r="I30" s="9"/>
      <c r="J30" s="9"/>
    </row>
    <row r="31" customFormat="false" ht="19.5" hidden="false" customHeight="true" outlineLevel="0" collapsed="false">
      <c r="B31" s="9"/>
      <c r="C31" s="9"/>
      <c r="D31" s="9"/>
      <c r="E31" s="9"/>
      <c r="F31" s="9"/>
      <c r="G31" s="9"/>
      <c r="H31" s="9"/>
      <c r="I31" s="9"/>
      <c r="J31" s="9"/>
    </row>
    <row r="32" customFormat="false" ht="19.5" hidden="false" customHeight="true" outlineLevel="0" collapsed="false">
      <c r="B32" s="9"/>
      <c r="C32" s="9"/>
      <c r="D32" s="9"/>
      <c r="E32" s="9"/>
      <c r="F32" s="9"/>
      <c r="G32" s="9"/>
      <c r="H32" s="9"/>
      <c r="I32" s="9"/>
      <c r="J32" s="9"/>
    </row>
    <row r="33" customFormat="false" ht="19.5" hidden="false" customHeight="true" outlineLevel="0" collapsed="false">
      <c r="B33" s="9"/>
      <c r="C33" s="9"/>
      <c r="D33" s="9"/>
      <c r="E33" s="9"/>
      <c r="F33" s="9"/>
      <c r="G33" s="9"/>
      <c r="H33" s="9"/>
      <c r="I33" s="9"/>
      <c r="J33" s="9"/>
    </row>
    <row r="34" customFormat="false" ht="19.5" hidden="false" customHeight="true" outlineLevel="0" collapsed="false">
      <c r="B34" s="9"/>
      <c r="C34" s="9"/>
      <c r="D34" s="9"/>
      <c r="E34" s="9"/>
      <c r="F34" s="9"/>
      <c r="G34" s="9"/>
      <c r="H34" s="9"/>
      <c r="I34" s="9"/>
      <c r="J34" s="9"/>
    </row>
    <row r="35" customFormat="false" ht="19.5" hidden="false" customHeight="true" outlineLevel="0" collapsed="false">
      <c r="B35" s="9"/>
      <c r="C35" s="9"/>
      <c r="D35" s="9"/>
      <c r="E35" s="9"/>
      <c r="F35" s="9"/>
      <c r="G35" s="9"/>
      <c r="H35" s="9"/>
      <c r="I35" s="9"/>
      <c r="J35" s="9"/>
    </row>
    <row r="36" customFormat="false" ht="19.5" hidden="false" customHeight="true" outlineLevel="0" collapsed="false">
      <c r="B36" s="9"/>
      <c r="C36" s="9"/>
      <c r="D36" s="9"/>
      <c r="E36" s="9"/>
      <c r="F36" s="9"/>
      <c r="G36" s="9"/>
      <c r="H36" s="9"/>
      <c r="I36" s="9"/>
      <c r="J36" s="9"/>
    </row>
    <row r="37" customFormat="false" ht="19.5" hidden="false" customHeight="true" outlineLevel="0" collapsed="false">
      <c r="B37" s="9"/>
      <c r="C37" s="9"/>
      <c r="D37" s="9"/>
      <c r="E37" s="9"/>
      <c r="F37" s="9"/>
      <c r="G37" s="9"/>
      <c r="H37" s="9"/>
      <c r="I37" s="9"/>
      <c r="J37" s="9"/>
    </row>
    <row r="38" customFormat="false" ht="19.5" hidden="false" customHeight="true" outlineLevel="0" collapsed="false">
      <c r="B38" s="9"/>
      <c r="C38" s="9"/>
      <c r="D38" s="9"/>
      <c r="E38" s="9"/>
      <c r="F38" s="9"/>
      <c r="G38" s="9"/>
      <c r="H38" s="9"/>
      <c r="I38" s="9"/>
      <c r="J38" s="9"/>
    </row>
    <row r="39" customFormat="false" ht="19.5" hidden="false" customHeight="true" outlineLevel="0" collapsed="false">
      <c r="B39" s="9"/>
      <c r="C39" s="9"/>
      <c r="D39" s="9"/>
      <c r="E39" s="9"/>
      <c r="F39" s="9"/>
      <c r="G39" s="9"/>
      <c r="H39" s="9"/>
      <c r="I39" s="9"/>
      <c r="J39" s="9"/>
    </row>
    <row r="40" customFormat="false" ht="19.5" hidden="false" customHeight="true" outlineLevel="0" collapsed="false">
      <c r="B40" s="9"/>
      <c r="C40" s="9"/>
      <c r="D40" s="9"/>
      <c r="E40" s="9"/>
      <c r="F40" s="9"/>
      <c r="G40" s="9"/>
      <c r="H40" s="9"/>
      <c r="I40" s="9"/>
      <c r="J40" s="9"/>
    </row>
    <row r="41" customFormat="false" ht="19.5" hidden="false" customHeight="true" outlineLevel="0" collapsed="false">
      <c r="B41" s="9"/>
      <c r="C41" s="9"/>
      <c r="D41" s="9"/>
      <c r="E41" s="9"/>
      <c r="F41" s="9"/>
      <c r="G41" s="9"/>
      <c r="H41" s="9"/>
      <c r="I41" s="9"/>
      <c r="J41" s="9"/>
    </row>
    <row r="42" customFormat="false" ht="19.5" hidden="false" customHeight="true" outlineLevel="0" collapsed="false">
      <c r="B42" s="9"/>
      <c r="C42" s="9"/>
      <c r="D42" s="9"/>
      <c r="E42" s="9"/>
      <c r="F42" s="9"/>
      <c r="G42" s="9"/>
      <c r="H42" s="9"/>
      <c r="I42" s="9"/>
      <c r="J42" s="9"/>
    </row>
    <row r="44" customFormat="false" ht="15" hidden="false" customHeight="false" outlineLevel="0" collapsed="false">
      <c r="B44" s="7" t="s">
        <v>86</v>
      </c>
      <c r="C44" s="13" t="s">
        <v>87</v>
      </c>
    </row>
    <row r="45" customFormat="false" ht="15" hidden="false" customHeight="false" outlineLevel="0" collapsed="false">
      <c r="B45" s="14" t="s">
        <v>88</v>
      </c>
    </row>
    <row r="46" customFormat="false" ht="15" hidden="false" customHeight="false" outlineLevel="0" collapsed="false">
      <c r="B46" s="14" t="s">
        <v>89</v>
      </c>
    </row>
    <row r="47" customFormat="false" ht="15" hidden="false" customHeight="false" outlineLevel="0" collapsed="false">
      <c r="B47" s="14" t="s">
        <v>90</v>
      </c>
    </row>
  </sheetData>
  <mergeCells count="1">
    <mergeCell ref="A2:J2"/>
  </mergeCells>
  <dataValidations count="1">
    <dataValidation allowBlank="true" errorStyle="stop" operator="between" showDropDown="false" showErrorMessage="false" showInputMessage="false" sqref="J5:J200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8"/>
    <col collapsed="false" customWidth="true" hidden="false" outlineLevel="0" max="3" min="3" style="0" width="24"/>
    <col collapsed="false" customWidth="true" hidden="false" outlineLevel="0" max="4" min="4" style="0" width="52"/>
    <col collapsed="false" customWidth="true" hidden="false" outlineLevel="0" max="5" min="5" style="0" width="30"/>
  </cols>
  <sheetData>
    <row r="1" customFormat="false" ht="18.55" hidden="false" customHeight="false" outlineLevel="0" collapsed="false">
      <c r="A1" s="1" t="s">
        <v>91</v>
      </c>
    </row>
    <row r="2" customFormat="false" ht="15" hidden="false" customHeight="false" outlineLevel="0" collapsed="false">
      <c r="A2" s="2" t="s">
        <v>92</v>
      </c>
      <c r="B2" s="2"/>
      <c r="C2" s="2"/>
      <c r="D2" s="2"/>
      <c r="E2" s="2"/>
      <c r="F2" s="2"/>
      <c r="G2" s="2"/>
      <c r="H2" s="2"/>
    </row>
    <row r="4" customFormat="false" ht="31.5" hidden="false" customHeight="true" outlineLevel="0" collapsed="false">
      <c r="B4" s="3" t="s">
        <v>93</v>
      </c>
      <c r="C4" s="3" t="s">
        <v>94</v>
      </c>
      <c r="D4" s="3" t="s">
        <v>95</v>
      </c>
      <c r="E4" s="3" t="s">
        <v>96</v>
      </c>
    </row>
    <row r="5" customFormat="false" ht="27.75" hidden="false" customHeight="true" outlineLevel="0" collapsed="false">
      <c r="B5" s="4" t="s">
        <v>97</v>
      </c>
      <c r="C5" s="5" t="s">
        <v>98</v>
      </c>
      <c r="D5" s="6" t="s">
        <v>99</v>
      </c>
      <c r="E5" s="6" t="s">
        <v>100</v>
      </c>
    </row>
    <row r="6" customFormat="false" ht="27.75" hidden="false" customHeight="true" outlineLevel="0" collapsed="false">
      <c r="B6" s="4" t="s">
        <v>101</v>
      </c>
      <c r="C6" s="5" t="s">
        <v>102</v>
      </c>
      <c r="D6" s="6" t="s">
        <v>103</v>
      </c>
      <c r="E6" s="6" t="s">
        <v>104</v>
      </c>
    </row>
    <row r="7" customFormat="false" ht="27.75" hidden="false" customHeight="true" outlineLevel="0" collapsed="false">
      <c r="B7" s="4" t="s">
        <v>105</v>
      </c>
      <c r="C7" s="5" t="s">
        <v>106</v>
      </c>
      <c r="D7" s="6" t="s">
        <v>107</v>
      </c>
      <c r="E7" s="6" t="s">
        <v>108</v>
      </c>
    </row>
    <row r="8" customFormat="false" ht="27.75" hidden="false" customHeight="true" outlineLevel="0" collapsed="false">
      <c r="B8" s="4" t="s">
        <v>109</v>
      </c>
      <c r="C8" s="5" t="s">
        <v>110</v>
      </c>
      <c r="D8" s="6" t="s">
        <v>111</v>
      </c>
      <c r="E8" s="6" t="s">
        <v>112</v>
      </c>
    </row>
    <row r="9" customFormat="false" ht="27.75" hidden="false" customHeight="true" outlineLevel="0" collapsed="false">
      <c r="B9" s="4" t="s">
        <v>113</v>
      </c>
      <c r="C9" s="5" t="s">
        <v>114</v>
      </c>
      <c r="D9" s="6" t="s">
        <v>115</v>
      </c>
      <c r="E9" s="6" t="s">
        <v>116</v>
      </c>
    </row>
    <row r="10" customFormat="false" ht="27.75" hidden="false" customHeight="true" outlineLevel="0" collapsed="false">
      <c r="B10" s="4" t="s">
        <v>117</v>
      </c>
      <c r="C10" s="5" t="s">
        <v>118</v>
      </c>
      <c r="D10" s="6" t="s">
        <v>119</v>
      </c>
      <c r="E10" s="6" t="s">
        <v>116</v>
      </c>
    </row>
    <row r="11" customFormat="false" ht="27.75" hidden="false" customHeight="true" outlineLevel="0" collapsed="false">
      <c r="B11" s="4" t="s">
        <v>120</v>
      </c>
      <c r="C11" s="5" t="s">
        <v>121</v>
      </c>
      <c r="D11" s="6" t="s">
        <v>122</v>
      </c>
      <c r="E11" s="6" t="s">
        <v>100</v>
      </c>
    </row>
    <row r="13" customFormat="false" ht="15" hidden="false" customHeight="false" outlineLevel="0" collapsed="false">
      <c r="B13" s="7" t="s">
        <v>123</v>
      </c>
    </row>
    <row r="14" customFormat="false" ht="25.5" hidden="false" customHeight="true" outlineLevel="0" collapsed="false">
      <c r="B14" s="8" t="s">
        <v>124</v>
      </c>
      <c r="C14" s="8"/>
      <c r="D14" s="8"/>
      <c r="E14" s="8"/>
    </row>
    <row r="15" customFormat="false" ht="25.5" hidden="false" customHeight="true" outlineLevel="0" collapsed="false">
      <c r="B15" s="8" t="s">
        <v>125</v>
      </c>
      <c r="C15" s="8"/>
      <c r="D15" s="8"/>
      <c r="E15" s="8"/>
    </row>
    <row r="16" customFormat="false" ht="25.5" hidden="false" customHeight="true" outlineLevel="0" collapsed="false">
      <c r="B16" s="8" t="s">
        <v>126</v>
      </c>
      <c r="C16" s="8"/>
      <c r="D16" s="8"/>
      <c r="E16" s="8"/>
    </row>
    <row r="17" customFormat="false" ht="25.5" hidden="false" customHeight="true" outlineLevel="0" collapsed="false">
      <c r="B17" s="8" t="s">
        <v>127</v>
      </c>
      <c r="C17" s="8"/>
      <c r="D17" s="8"/>
      <c r="E17" s="8"/>
    </row>
    <row r="18" customFormat="false" ht="25.5" hidden="false" customHeight="true" outlineLevel="0" collapsed="false">
      <c r="B18" s="8" t="s">
        <v>128</v>
      </c>
      <c r="C18" s="8"/>
      <c r="D18" s="8"/>
      <c r="E18" s="8"/>
    </row>
  </sheetData>
  <mergeCells count="6">
    <mergeCell ref="A2:H2"/>
    <mergeCell ref="B14:E14"/>
    <mergeCell ref="B15:E15"/>
    <mergeCell ref="B16:E16"/>
    <mergeCell ref="B17:E17"/>
    <mergeCell ref="B18:E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U26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6" topLeftCell="E17" activePane="bottomRight" state="frozen"/>
      <selection pane="topLeft" activeCell="A1" activeCellId="0" sqref="A1"/>
      <selection pane="topRight" activeCell="E1" activeCellId="0" sqref="E1"/>
      <selection pane="bottomLeft" activeCell="A17" activeCellId="0" sqref="A1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5"/>
    <col collapsed="false" customWidth="true" hidden="false" outlineLevel="0" max="3" min="3" style="0" width="30"/>
    <col collapsed="false" customWidth="true" hidden="false" outlineLevel="0" max="4" min="4" style="0" width="15"/>
    <col collapsed="false" customWidth="true" hidden="false" outlineLevel="0" max="5" min="5" style="0" width="16"/>
    <col collapsed="false" customWidth="true" hidden="false" outlineLevel="0" max="7" min="6" style="0" width="14"/>
    <col collapsed="false" customWidth="true" hidden="false" outlineLevel="0" max="8" min="8" style="0" width="16"/>
    <col collapsed="false" customWidth="true" hidden="false" outlineLevel="0" max="10" min="9" style="0" width="8"/>
    <col collapsed="false" customWidth="true" hidden="false" outlineLevel="0" max="11" min="11" style="0" width="10"/>
    <col collapsed="false" customWidth="true" hidden="false" outlineLevel="0" max="12" min="12" style="0" width="15"/>
    <col collapsed="false" customWidth="true" hidden="false" outlineLevel="0" max="13" min="13" style="0" width="13"/>
    <col collapsed="false" customWidth="true" hidden="false" outlineLevel="0" max="15" min="14" style="0" width="12"/>
    <col collapsed="false" customWidth="true" hidden="false" outlineLevel="0" max="16" min="16" style="0" width="15"/>
    <col collapsed="false" customWidth="true" hidden="false" outlineLevel="0" max="17" min="17" style="0" width="13"/>
    <col collapsed="false" customWidth="true" hidden="false" outlineLevel="0" max="19" min="18" style="0" width="12"/>
    <col collapsed="false" customWidth="true" hidden="false" outlineLevel="0" max="20" min="20" style="0" width="15"/>
    <col collapsed="false" customWidth="true" hidden="false" outlineLevel="0" max="21" min="21" style="0" width="13"/>
    <col collapsed="false" customWidth="true" hidden="false" outlineLevel="0" max="23" min="22" style="0" width="12"/>
    <col collapsed="false" customWidth="true" hidden="false" outlineLevel="0" max="24" min="24" style="0" width="15"/>
    <col collapsed="false" customWidth="true" hidden="false" outlineLevel="0" max="25" min="25" style="0" width="13"/>
    <col collapsed="false" customWidth="true" hidden="false" outlineLevel="0" max="27" min="26" style="0" width="12"/>
    <col collapsed="false" customWidth="true" hidden="false" outlineLevel="0" max="28" min="28" style="0" width="15"/>
    <col collapsed="false" customWidth="true" hidden="false" outlineLevel="0" max="29" min="29" style="0" width="13"/>
    <col collapsed="false" customWidth="true" hidden="false" outlineLevel="0" max="31" min="30" style="0" width="12"/>
    <col collapsed="false" customWidth="true" hidden="false" outlineLevel="0" max="32" min="32" style="0" width="15"/>
    <col collapsed="false" customWidth="true" hidden="false" outlineLevel="0" max="33" min="33" style="0" width="13"/>
    <col collapsed="false" customWidth="true" hidden="false" outlineLevel="0" max="35" min="34" style="0" width="12"/>
    <col collapsed="false" customWidth="true" hidden="false" outlineLevel="0" max="36" min="36" style="0" width="15"/>
    <col collapsed="false" customWidth="true" hidden="false" outlineLevel="0" max="37" min="37" style="0" width="13"/>
    <col collapsed="false" customWidth="true" hidden="false" outlineLevel="0" max="39" min="38" style="0" width="12"/>
    <col collapsed="false" customWidth="true" hidden="false" outlineLevel="0" max="40" min="40" style="0" width="11"/>
    <col collapsed="false" customWidth="true" hidden="false" outlineLevel="0" max="41" min="41" style="0" width="18"/>
    <col collapsed="false" customWidth="true" hidden="false" outlineLevel="0" max="42" min="42" style="0" width="26"/>
    <col collapsed="false" customWidth="true" hidden="false" outlineLevel="0" max="43" min="43" style="0" width="12"/>
    <col collapsed="false" customWidth="true" hidden="false" outlineLevel="0" max="44" min="44" style="0" width="24"/>
    <col collapsed="false" customWidth="true" hidden="false" outlineLevel="0" max="45" min="45" style="0" width="16"/>
    <col collapsed="false" customWidth="true" hidden="false" outlineLevel="0" max="46" min="46" style="0" width="40"/>
    <col collapsed="false" customWidth="true" hidden="false" outlineLevel="0" max="47" min="47" style="0" width="30"/>
  </cols>
  <sheetData>
    <row r="1" customFormat="false" ht="18.55" hidden="false" customHeight="false" outlineLevel="0" collapsed="false">
      <c r="A1" s="1" t="s">
        <v>129</v>
      </c>
    </row>
    <row r="2" customFormat="false" ht="15" hidden="false" customHeight="false" outlineLevel="0" collapsed="false">
      <c r="A2" s="2" t="s">
        <v>130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customFormat="false" ht="15" hidden="false" customHeight="false" outlineLevel="0" collapsed="false">
      <c r="A4" s="15" t="s">
        <v>131</v>
      </c>
      <c r="B4" s="16"/>
      <c r="C4" s="16"/>
      <c r="D4" s="16"/>
      <c r="E4" s="16"/>
      <c r="F4" s="16"/>
      <c r="G4" s="16"/>
      <c r="H4" s="17" t="str">
        <f aca="false">COUNTIF(COMPLETED!$AN$6:$AN$255,"Yes")&amp;" board(s) flagged for respin"</f>
        <v>0 board(s) flagged for respin</v>
      </c>
    </row>
    <row r="5" customFormat="false" ht="15" hidden="false" customHeight="false" outlineLevel="0" collapsed="false">
      <c r="A5" s="18" t="s">
        <v>132</v>
      </c>
      <c r="B5" s="18" t="s">
        <v>133</v>
      </c>
      <c r="C5" s="18" t="s">
        <v>134</v>
      </c>
      <c r="D5" s="18" t="s">
        <v>135</v>
      </c>
      <c r="E5" s="18" t="s">
        <v>136</v>
      </c>
      <c r="F5" s="18" t="s">
        <v>137</v>
      </c>
      <c r="G5" s="18" t="s">
        <v>138</v>
      </c>
    </row>
    <row r="6" customFormat="false" ht="15" hidden="false" customHeight="false" outlineLevel="0" collapsed="false">
      <c r="A6" s="19" t="n">
        <v>1</v>
      </c>
      <c r="B6" s="19" t="str">
        <f aca="false">IFERROR(INDEX(COMPLETED!$B$6:$B$255,MATCH(1,COMPLETED!$AS$6:$AS$255,0))&amp;"","")</f>
        <v/>
      </c>
      <c r="C6" s="20" t="str">
        <f aca="false">IFERROR(INDEX(COMPLETED!$C$6:$C$255,MATCH(1,COMPLETED!$AS$6:$AS$255,0))&amp;"","")</f>
        <v/>
      </c>
      <c r="D6" s="19" t="str">
        <f aca="false">IFERROR(INDEX(COMPLETED!$AO$6:$AO$255,MATCH(1,COMPLETED!$AS$6:$AS$255,0))&amp;"","")</f>
        <v/>
      </c>
      <c r="E6" s="21" t="str">
        <f aca="false">IFERROR(INDEX(COMPLETED!$AP$6:$AP$255,MATCH(1,COMPLETED!$AS$6:$AS$255,0))&amp;"","")</f>
        <v/>
      </c>
      <c r="F6" s="22" t="str">
        <f aca="false">IFERROR(INDEX(COMPLETED!$AQ$6:$AQ$255,MATCH(1,COMPLETED!$AS$6:$AS$255,0))&amp;"","")</f>
        <v/>
      </c>
      <c r="G6" s="21" t="str">
        <f aca="false">IF(C6="","",IF(D6="","Re-entry stage not set","start at "&amp;D6))</f>
        <v/>
      </c>
    </row>
    <row r="7" customFormat="false" ht="15" hidden="false" customHeight="false" outlineLevel="0" collapsed="false">
      <c r="A7" s="19" t="n">
        <v>2</v>
      </c>
      <c r="B7" s="19" t="str">
        <f aca="false">IFERROR(INDEX(COMPLETED!$B$6:$B$255,MATCH(2,COMPLETED!$AS$6:$AS$255,0))&amp;"","")</f>
        <v/>
      </c>
      <c r="C7" s="20" t="str">
        <f aca="false">IFERROR(INDEX(COMPLETED!$C$6:$C$255,MATCH(2,COMPLETED!$AS$6:$AS$255,0))&amp;"","")</f>
        <v/>
      </c>
      <c r="D7" s="19" t="str">
        <f aca="false">IFERROR(INDEX(COMPLETED!$AO$6:$AO$255,MATCH(2,COMPLETED!$AS$6:$AS$255,0))&amp;"","")</f>
        <v/>
      </c>
      <c r="E7" s="21" t="str">
        <f aca="false">IFERROR(INDEX(COMPLETED!$AP$6:$AP$255,MATCH(2,COMPLETED!$AS$6:$AS$255,0))&amp;"","")</f>
        <v/>
      </c>
      <c r="F7" s="22" t="str">
        <f aca="false">IFERROR(INDEX(COMPLETED!$AQ$6:$AQ$255,MATCH(2,COMPLETED!$AS$6:$AS$255,0))&amp;"","")</f>
        <v/>
      </c>
      <c r="G7" s="21" t="str">
        <f aca="false">IF(C7="","",IF(D7="","Re-entry stage not set","start at "&amp;D7))</f>
        <v/>
      </c>
    </row>
    <row r="8" customFormat="false" ht="15" hidden="false" customHeight="false" outlineLevel="0" collapsed="false">
      <c r="A8" s="19" t="n">
        <v>3</v>
      </c>
      <c r="B8" s="19" t="str">
        <f aca="false">IFERROR(INDEX(COMPLETED!$B$6:$B$255,MATCH(3,COMPLETED!$AS$6:$AS$255,0))&amp;"","")</f>
        <v/>
      </c>
      <c r="C8" s="20" t="str">
        <f aca="false">IFERROR(INDEX(COMPLETED!$C$6:$C$255,MATCH(3,COMPLETED!$AS$6:$AS$255,0))&amp;"","")</f>
        <v/>
      </c>
      <c r="D8" s="19" t="str">
        <f aca="false">IFERROR(INDEX(COMPLETED!$AO$6:$AO$255,MATCH(3,COMPLETED!$AS$6:$AS$255,0))&amp;"","")</f>
        <v/>
      </c>
      <c r="E8" s="21" t="str">
        <f aca="false">IFERROR(INDEX(COMPLETED!$AP$6:$AP$255,MATCH(3,COMPLETED!$AS$6:$AS$255,0))&amp;"","")</f>
        <v/>
      </c>
      <c r="F8" s="22" t="str">
        <f aca="false">IFERROR(INDEX(COMPLETED!$AQ$6:$AQ$255,MATCH(3,COMPLETED!$AS$6:$AS$255,0))&amp;"","")</f>
        <v/>
      </c>
      <c r="G8" s="21" t="str">
        <f aca="false">IF(C8="","",IF(D8="","Re-entry stage not set","start at "&amp;D8))</f>
        <v/>
      </c>
    </row>
    <row r="9" customFormat="false" ht="15" hidden="false" customHeight="false" outlineLevel="0" collapsed="false">
      <c r="A9" s="19" t="n">
        <v>4</v>
      </c>
      <c r="B9" s="19" t="str">
        <f aca="false">IFERROR(INDEX(COMPLETED!$B$6:$B$255,MATCH(4,COMPLETED!$AS$6:$AS$255,0))&amp;"","")</f>
        <v/>
      </c>
      <c r="C9" s="20" t="str">
        <f aca="false">IFERROR(INDEX(COMPLETED!$C$6:$C$255,MATCH(4,COMPLETED!$AS$6:$AS$255,0))&amp;"","")</f>
        <v/>
      </c>
      <c r="D9" s="19" t="str">
        <f aca="false">IFERROR(INDEX(COMPLETED!$AO$6:$AO$255,MATCH(4,COMPLETED!$AS$6:$AS$255,0))&amp;"","")</f>
        <v/>
      </c>
      <c r="E9" s="21" t="str">
        <f aca="false">IFERROR(INDEX(COMPLETED!$AP$6:$AP$255,MATCH(4,COMPLETED!$AS$6:$AS$255,0))&amp;"","")</f>
        <v/>
      </c>
      <c r="F9" s="22" t="str">
        <f aca="false">IFERROR(INDEX(COMPLETED!$AQ$6:$AQ$255,MATCH(4,COMPLETED!$AS$6:$AS$255,0))&amp;"","")</f>
        <v/>
      </c>
      <c r="G9" s="21" t="str">
        <f aca="false">IF(C9="","",IF(D9="","Re-entry stage not set","start at "&amp;D9))</f>
        <v/>
      </c>
    </row>
    <row r="10" customFormat="false" ht="15" hidden="false" customHeight="false" outlineLevel="0" collapsed="false">
      <c r="A10" s="19" t="n">
        <v>5</v>
      </c>
      <c r="B10" s="19" t="str">
        <f aca="false">IFERROR(INDEX(COMPLETED!$B$6:$B$255,MATCH(5,COMPLETED!$AS$6:$AS$255,0))&amp;"","")</f>
        <v/>
      </c>
      <c r="C10" s="20" t="str">
        <f aca="false">IFERROR(INDEX(COMPLETED!$C$6:$C$255,MATCH(5,COMPLETED!$AS$6:$AS$255,0))&amp;"","")</f>
        <v/>
      </c>
      <c r="D10" s="19" t="str">
        <f aca="false">IFERROR(INDEX(COMPLETED!$AO$6:$AO$255,MATCH(5,COMPLETED!$AS$6:$AS$255,0))&amp;"","")</f>
        <v/>
      </c>
      <c r="E10" s="21" t="str">
        <f aca="false">IFERROR(INDEX(COMPLETED!$AP$6:$AP$255,MATCH(5,COMPLETED!$AS$6:$AS$255,0))&amp;"","")</f>
        <v/>
      </c>
      <c r="F10" s="22" t="str">
        <f aca="false">IFERROR(INDEX(COMPLETED!$AQ$6:$AQ$255,MATCH(5,COMPLETED!$AS$6:$AS$255,0))&amp;"","")</f>
        <v/>
      </c>
      <c r="G10" s="21" t="str">
        <f aca="false">IF(C10="","",IF(D10="","Re-entry stage not set","start at "&amp;D10))</f>
        <v/>
      </c>
    </row>
    <row r="11" customFormat="false" ht="15" hidden="false" customHeight="false" outlineLevel="0" collapsed="false">
      <c r="A11" s="19" t="n">
        <v>6</v>
      </c>
      <c r="B11" s="19" t="str">
        <f aca="false">IFERROR(INDEX(COMPLETED!$B$6:$B$255,MATCH(6,COMPLETED!$AS$6:$AS$255,0))&amp;"","")</f>
        <v/>
      </c>
      <c r="C11" s="20" t="str">
        <f aca="false">IFERROR(INDEX(COMPLETED!$C$6:$C$255,MATCH(6,COMPLETED!$AS$6:$AS$255,0))&amp;"","")</f>
        <v/>
      </c>
      <c r="D11" s="19" t="str">
        <f aca="false">IFERROR(INDEX(COMPLETED!$AO$6:$AO$255,MATCH(6,COMPLETED!$AS$6:$AS$255,0))&amp;"","")</f>
        <v/>
      </c>
      <c r="E11" s="21" t="str">
        <f aca="false">IFERROR(INDEX(COMPLETED!$AP$6:$AP$255,MATCH(6,COMPLETED!$AS$6:$AS$255,0))&amp;"","")</f>
        <v/>
      </c>
      <c r="F11" s="22" t="str">
        <f aca="false">IFERROR(INDEX(COMPLETED!$AQ$6:$AQ$255,MATCH(6,COMPLETED!$AS$6:$AS$255,0))&amp;"","")</f>
        <v/>
      </c>
      <c r="G11" s="21" t="str">
        <f aca="false">IF(C11="","",IF(D11="","Re-entry stage not set","start at "&amp;D11))</f>
        <v/>
      </c>
    </row>
    <row r="12" customFormat="false" ht="15" hidden="false" customHeight="false" outlineLevel="0" collapsed="false">
      <c r="A12" s="19" t="n">
        <v>7</v>
      </c>
      <c r="B12" s="19" t="str">
        <f aca="false">IFERROR(INDEX(COMPLETED!$B$6:$B$255,MATCH(7,COMPLETED!$AS$6:$AS$255,0))&amp;"","")</f>
        <v/>
      </c>
      <c r="C12" s="20" t="str">
        <f aca="false">IFERROR(INDEX(COMPLETED!$C$6:$C$255,MATCH(7,COMPLETED!$AS$6:$AS$255,0))&amp;"","")</f>
        <v/>
      </c>
      <c r="D12" s="19" t="str">
        <f aca="false">IFERROR(INDEX(COMPLETED!$AO$6:$AO$255,MATCH(7,COMPLETED!$AS$6:$AS$255,0))&amp;"","")</f>
        <v/>
      </c>
      <c r="E12" s="21" t="str">
        <f aca="false">IFERROR(INDEX(COMPLETED!$AP$6:$AP$255,MATCH(7,COMPLETED!$AS$6:$AS$255,0))&amp;"","")</f>
        <v/>
      </c>
      <c r="F12" s="22" t="str">
        <f aca="false">IFERROR(INDEX(COMPLETED!$AQ$6:$AQ$255,MATCH(7,COMPLETED!$AS$6:$AS$255,0))&amp;"","")</f>
        <v/>
      </c>
      <c r="G12" s="21" t="str">
        <f aca="false">IF(C12="","",IF(D12="","Re-entry stage not set","start at "&amp;D12))</f>
        <v/>
      </c>
    </row>
    <row r="13" customFormat="false" ht="15" hidden="false" customHeight="false" outlineLevel="0" collapsed="false">
      <c r="A13" s="19" t="n">
        <v>8</v>
      </c>
      <c r="B13" s="19" t="str">
        <f aca="false">IFERROR(INDEX(COMPLETED!$B$6:$B$255,MATCH(8,COMPLETED!$AS$6:$AS$255,0))&amp;"","")</f>
        <v/>
      </c>
      <c r="C13" s="20" t="str">
        <f aca="false">IFERROR(INDEX(COMPLETED!$C$6:$C$255,MATCH(8,COMPLETED!$AS$6:$AS$255,0))&amp;"","")</f>
        <v/>
      </c>
      <c r="D13" s="19" t="str">
        <f aca="false">IFERROR(INDEX(COMPLETED!$AO$6:$AO$255,MATCH(8,COMPLETED!$AS$6:$AS$255,0))&amp;"","")</f>
        <v/>
      </c>
      <c r="E13" s="21" t="str">
        <f aca="false">IFERROR(INDEX(COMPLETED!$AP$6:$AP$255,MATCH(8,COMPLETED!$AS$6:$AS$255,0))&amp;"","")</f>
        <v/>
      </c>
      <c r="F13" s="22" t="str">
        <f aca="false">IFERROR(INDEX(COMPLETED!$AQ$6:$AQ$255,MATCH(8,COMPLETED!$AS$6:$AS$255,0))&amp;"","")</f>
        <v/>
      </c>
      <c r="G13" s="21" t="str">
        <f aca="false">IF(C13="","",IF(D13="","Re-entry stage not set","start at "&amp;D13))</f>
        <v/>
      </c>
    </row>
    <row r="15" customFormat="false" ht="19.5" hidden="false" customHeight="true" outlineLevel="0" collapsed="false">
      <c r="A15" s="23" t="s">
        <v>139</v>
      </c>
      <c r="B15" s="23"/>
      <c r="C15" s="23"/>
      <c r="D15" s="23"/>
      <c r="E15" s="24" t="s">
        <v>140</v>
      </c>
      <c r="F15" s="24"/>
      <c r="G15" s="24"/>
      <c r="H15" s="24"/>
      <c r="I15" s="24"/>
      <c r="J15" s="24"/>
      <c r="K15" s="24"/>
      <c r="L15" s="25" t="s">
        <v>141</v>
      </c>
      <c r="M15" s="25"/>
      <c r="N15" s="25"/>
      <c r="O15" s="25"/>
      <c r="P15" s="25" t="s">
        <v>142</v>
      </c>
      <c r="Q15" s="25"/>
      <c r="R15" s="25"/>
      <c r="S15" s="25"/>
      <c r="T15" s="25" t="s">
        <v>143</v>
      </c>
      <c r="U15" s="25"/>
      <c r="V15" s="25"/>
      <c r="W15" s="25"/>
      <c r="X15" s="25" t="s">
        <v>144</v>
      </c>
      <c r="Y15" s="25"/>
      <c r="Z15" s="25"/>
      <c r="AA15" s="25"/>
      <c r="AB15" s="25" t="s">
        <v>145</v>
      </c>
      <c r="AC15" s="25"/>
      <c r="AD15" s="25"/>
      <c r="AE15" s="25"/>
      <c r="AF15" s="25" t="s">
        <v>146</v>
      </c>
      <c r="AG15" s="25"/>
      <c r="AH15" s="25"/>
      <c r="AI15" s="25"/>
      <c r="AJ15" s="25" t="s">
        <v>147</v>
      </c>
      <c r="AK15" s="25"/>
      <c r="AL15" s="25"/>
      <c r="AM15" s="25"/>
      <c r="AN15" s="26" t="s">
        <v>148</v>
      </c>
      <c r="AO15" s="26"/>
      <c r="AP15" s="26"/>
      <c r="AQ15" s="26"/>
      <c r="AR15" s="24" t="s">
        <v>149</v>
      </c>
      <c r="AS15" s="24"/>
      <c r="AT15" s="24"/>
      <c r="AU15" s="24"/>
    </row>
    <row r="16" customFormat="false" ht="36" hidden="false" customHeight="true" outlineLevel="0" collapsed="false">
      <c r="A16" s="27" t="s">
        <v>150</v>
      </c>
      <c r="B16" s="27" t="s">
        <v>133</v>
      </c>
      <c r="C16" s="27" t="s">
        <v>151</v>
      </c>
      <c r="D16" s="27" t="s">
        <v>152</v>
      </c>
      <c r="E16" s="27" t="s">
        <v>153</v>
      </c>
      <c r="F16" s="27" t="s">
        <v>154</v>
      </c>
      <c r="G16" s="27" t="s">
        <v>155</v>
      </c>
      <c r="H16" s="27" t="s">
        <v>156</v>
      </c>
      <c r="I16" s="27" t="s">
        <v>157</v>
      </c>
      <c r="J16" s="27" t="s">
        <v>158</v>
      </c>
      <c r="K16" s="27" t="s">
        <v>159</v>
      </c>
      <c r="L16" s="27" t="s">
        <v>160</v>
      </c>
      <c r="M16" s="27" t="s">
        <v>35</v>
      </c>
      <c r="N16" s="27" t="s">
        <v>161</v>
      </c>
      <c r="O16" s="27" t="s">
        <v>162</v>
      </c>
      <c r="P16" s="27" t="s">
        <v>160</v>
      </c>
      <c r="Q16" s="27" t="s">
        <v>35</v>
      </c>
      <c r="R16" s="27" t="s">
        <v>161</v>
      </c>
      <c r="S16" s="27" t="s">
        <v>162</v>
      </c>
      <c r="T16" s="27" t="s">
        <v>160</v>
      </c>
      <c r="U16" s="27" t="s">
        <v>35</v>
      </c>
      <c r="V16" s="27" t="s">
        <v>161</v>
      </c>
      <c r="W16" s="27" t="s">
        <v>162</v>
      </c>
      <c r="X16" s="27" t="s">
        <v>163</v>
      </c>
      <c r="Y16" s="27" t="s">
        <v>35</v>
      </c>
      <c r="Z16" s="27" t="s">
        <v>161</v>
      </c>
      <c r="AA16" s="27" t="s">
        <v>162</v>
      </c>
      <c r="AB16" s="27" t="s">
        <v>160</v>
      </c>
      <c r="AC16" s="27" t="s">
        <v>35</v>
      </c>
      <c r="AD16" s="27" t="s">
        <v>161</v>
      </c>
      <c r="AE16" s="27" t="s">
        <v>162</v>
      </c>
      <c r="AF16" s="27" t="s">
        <v>160</v>
      </c>
      <c r="AG16" s="27" t="s">
        <v>35</v>
      </c>
      <c r="AH16" s="27" t="s">
        <v>161</v>
      </c>
      <c r="AI16" s="27" t="s">
        <v>162</v>
      </c>
      <c r="AJ16" s="27" t="s">
        <v>160</v>
      </c>
      <c r="AK16" s="27" t="s">
        <v>35</v>
      </c>
      <c r="AL16" s="27" t="s">
        <v>161</v>
      </c>
      <c r="AM16" s="27" t="s">
        <v>162</v>
      </c>
      <c r="AN16" s="27" t="s">
        <v>164</v>
      </c>
      <c r="AO16" s="27" t="s">
        <v>165</v>
      </c>
      <c r="AP16" s="27" t="s">
        <v>136</v>
      </c>
      <c r="AQ16" s="27" t="s">
        <v>137</v>
      </c>
      <c r="AR16" s="27" t="s">
        <v>166</v>
      </c>
      <c r="AS16" s="27" t="s">
        <v>167</v>
      </c>
      <c r="AT16" s="27" t="s">
        <v>168</v>
      </c>
      <c r="AU16" s="27" t="s">
        <v>169</v>
      </c>
    </row>
    <row r="17" customFormat="false" ht="19.5" hidden="false" customHeight="true" outlineLevel="0" collapsed="false">
      <c r="A17" s="28" t="str">
        <f aca="false">IF($C17="","",COUNTA($C$17:$C17))</f>
        <v/>
      </c>
      <c r="B17" s="29"/>
      <c r="C17" s="30"/>
      <c r="D17" s="29"/>
      <c r="E17" s="31" t="str">
        <f aca="false">IF($C17="","",IF(NOT(OR(M17="Completed",M17="NA",M17="Cancelled")),"S1 Schematic",IF(NOT(OR(Q17="Completed",Q17="NA",Q17="Cancelled")),"S2 PCB Layout",IF(NOT(OR(U17="Completed",U17="NA",U17="Cancelled")),"S3 SI &amp; PI",IF(NOT(OR(Y17="Completed",Y17="NA",Y17="Cancelled")),"S4 Bare-PCB Fab",IF(NOT(OR(AC17="Completed",AC17="NA",AC17="Cancelled")),"S5 Assembly",IF(NOT(OR(AG17="Completed",AG17="NA",AG17="Cancelled")),"S6 Bring-up",IF(NOT(OR(AK17="Completed",AK17="NA",AK17="Cancelled")),"S7 BOM Procurement","All Stages Closed"))))))))</f>
        <v/>
      </c>
      <c r="F17" s="32" t="str">
        <f aca="false">IF($C17="","",IF(COUNTIF(M17,"Cancelled")+COUNTIF(Q17,"Cancelled")+COUNTIF(U17,"Cancelled")+COUNTIF(Y17,"Cancelled")+COUNTIF(AC17,"Cancelled")+COUNTIF(AG17,"Cancelled")+COUNTIF(AK17,"Cancelled")&gt;0,"Cancelled",IF(E17="All Stages Closed","Completed",IF(E17="S1 Schematic",M17,IF(E17="S2 PCB Layout",Q17,IF(E17="S3 SI &amp; PI",U17,IF(E17="S4 Bare-PCB Fab",Y17,IF(E17="S5 Assembly",AC17,IF(E17="S6 Bring-up",AG17,AK17)))))))))</f>
        <v/>
      </c>
      <c r="G17" s="33" t="str">
        <f aca="false">IF($C17="","",IF(E17="All Stages Closed","",IF(E17="S1 Schematic",IF(N17="","Not added",N17),IF(E17="S2 PCB Layout",IF(R17="","Not added",R17),IF(E17="S3 SI &amp; PI",IF(V17="","Not added",V17),IF(E17="S4 Bare-PCB Fab",IF(Z17="","Not added",Z17),IF(E17="S5 Assembly",IF(AD17="","Not added",AD17),IF(E17="S6 Bring-up",IF(AH17="","Not added",AH17),IF(AL17="","Not added",AL17)))))))))</f>
        <v/>
      </c>
      <c r="H17" s="32" t="str">
        <f aca="true">IF($C17="","",IF(OR(F17="Completed",F17="Cancelled"),"",IF(NOT(ISNUMBER(G17)),"No date set",IF(TODAY()&gt;G17,TODAY()-G17&amp;" days late",G17-TODAY()&amp;" days left"))))</f>
        <v/>
      </c>
      <c r="I17" s="31" t="str">
        <f aca="false">IF($C17="","",COUNTIF(M17,"Completed")+COUNTIF(Q17,"Completed")+COUNTIF(U17,"Completed")+COUNTIF(Y17,"Completed")+COUNTIF(AC17,"Completed")+COUNTIF(AG17,"Completed")+COUNTIF(AK17,"Completed"))</f>
        <v/>
      </c>
      <c r="J17" s="31" t="str">
        <f aca="false">IF($C17="","",7-(COUNTIF(M17,"NA")+COUNTIF(Q17,"NA")+COUNTIF(U17,"NA")+COUNTIF(Y17,"NA")+COUNTIF(AC17,"NA")+COUNTIF(AG17,"NA")+COUNTIF(AK17,"NA")))</f>
        <v/>
      </c>
      <c r="K17" s="34" t="str">
        <f aca="false">IFERROR(I17/J17,"")</f>
        <v/>
      </c>
      <c r="L17" s="29"/>
      <c r="M17" s="35"/>
      <c r="N17" s="36"/>
      <c r="O17" s="36"/>
      <c r="P17" s="29"/>
      <c r="Q17" s="35"/>
      <c r="R17" s="36"/>
      <c r="S17" s="36"/>
      <c r="T17" s="29"/>
      <c r="U17" s="35"/>
      <c r="V17" s="36"/>
      <c r="W17" s="36"/>
      <c r="X17" s="29"/>
      <c r="Y17" s="35"/>
      <c r="Z17" s="36"/>
      <c r="AA17" s="36"/>
      <c r="AB17" s="29"/>
      <c r="AC17" s="35"/>
      <c r="AD17" s="36"/>
      <c r="AE17" s="36"/>
      <c r="AF17" s="29"/>
      <c r="AG17" s="35"/>
      <c r="AH17" s="36"/>
      <c r="AI17" s="36"/>
      <c r="AJ17" s="29"/>
      <c r="AK17" s="35"/>
      <c r="AL17" s="36"/>
      <c r="AM17" s="36"/>
      <c r="AN17" s="29"/>
      <c r="AO17" s="29"/>
      <c r="AP17" s="29"/>
      <c r="AQ17" s="37"/>
      <c r="AR17" s="29"/>
      <c r="AS17" s="38" t="str">
        <f aca="false">IF($C17="","",IF(OR(F17="Completed",F17="Cancelled"),"",IF(AND(OR(F17="On Hold",ISNUMBER(VALUE(LEFT(H17,2)))),AR17=""),"Reason not given","")))</f>
        <v/>
      </c>
      <c r="AT17" s="30"/>
      <c r="AU17" s="30"/>
    </row>
    <row r="18" customFormat="false" ht="19.5" hidden="false" customHeight="true" outlineLevel="0" collapsed="false">
      <c r="A18" s="28" t="str">
        <f aca="false">IF($C18="","",COUNTA($C$17:$C18))</f>
        <v/>
      </c>
      <c r="B18" s="29"/>
      <c r="C18" s="30"/>
      <c r="D18" s="29"/>
      <c r="E18" s="31" t="str">
        <f aca="false">IF($C18="","",IF(NOT(OR(M18="Completed",M18="NA",M18="Cancelled")),"S1 Schematic",IF(NOT(OR(Q18="Completed",Q18="NA",Q18="Cancelled")),"S2 PCB Layout",IF(NOT(OR(U18="Completed",U18="NA",U18="Cancelled")),"S3 SI &amp; PI",IF(NOT(OR(Y18="Completed",Y18="NA",Y18="Cancelled")),"S4 Bare-PCB Fab",IF(NOT(OR(AC18="Completed",AC18="NA",AC18="Cancelled")),"S5 Assembly",IF(NOT(OR(AG18="Completed",AG18="NA",AG18="Cancelled")),"S6 Bring-up",IF(NOT(OR(AK18="Completed",AK18="NA",AK18="Cancelled")),"S7 BOM Procurement","All Stages Closed"))))))))</f>
        <v/>
      </c>
      <c r="F18" s="32" t="str">
        <f aca="false">IF($C18="","",IF(COUNTIF(M18,"Cancelled")+COUNTIF(Q18,"Cancelled")+COUNTIF(U18,"Cancelled")+COUNTIF(Y18,"Cancelled")+COUNTIF(AC18,"Cancelled")+COUNTIF(AG18,"Cancelled")+COUNTIF(AK18,"Cancelled")&gt;0,"Cancelled",IF(E18="All Stages Closed","Completed",IF(E18="S1 Schematic",M18,IF(E18="S2 PCB Layout",Q18,IF(E18="S3 SI &amp; PI",U18,IF(E18="S4 Bare-PCB Fab",Y18,IF(E18="S5 Assembly",AC18,IF(E18="S6 Bring-up",AG18,AK18)))))))))</f>
        <v/>
      </c>
      <c r="G18" s="33" t="str">
        <f aca="false">IF($C18="","",IF(E18="All Stages Closed","",IF(E18="S1 Schematic",IF(N18="","Not added",N18),IF(E18="S2 PCB Layout",IF(R18="","Not added",R18),IF(E18="S3 SI &amp; PI",IF(V18="","Not added",V18),IF(E18="S4 Bare-PCB Fab",IF(Z18="","Not added",Z18),IF(E18="S5 Assembly",IF(AD18="","Not added",AD18),IF(E18="S6 Bring-up",IF(AH18="","Not added",AH18),IF(AL18="","Not added",AL18)))))))))</f>
        <v/>
      </c>
      <c r="H18" s="32" t="str">
        <f aca="true">IF($C18="","",IF(OR(F18="Completed",F18="Cancelled"),"",IF(NOT(ISNUMBER(G18)),"No date set",IF(TODAY()&gt;G18,TODAY()-G18&amp;" days late",G18-TODAY()&amp;" days left"))))</f>
        <v/>
      </c>
      <c r="I18" s="31" t="str">
        <f aca="false">IF($C18="","",COUNTIF(M18,"Completed")+COUNTIF(Q18,"Completed")+COUNTIF(U18,"Completed")+COUNTIF(Y18,"Completed")+COUNTIF(AC18,"Completed")+COUNTIF(AG18,"Completed")+COUNTIF(AK18,"Completed"))</f>
        <v/>
      </c>
      <c r="J18" s="31" t="str">
        <f aca="false">IF($C18="","",7-(COUNTIF(M18,"NA")+COUNTIF(Q18,"NA")+COUNTIF(U18,"NA")+COUNTIF(Y18,"NA")+COUNTIF(AC18,"NA")+COUNTIF(AG18,"NA")+COUNTIF(AK18,"NA")))</f>
        <v/>
      </c>
      <c r="K18" s="34" t="str">
        <f aca="false">IFERROR(I18/J18,"")</f>
        <v/>
      </c>
      <c r="L18" s="29"/>
      <c r="M18" s="35"/>
      <c r="N18" s="36"/>
      <c r="O18" s="36"/>
      <c r="P18" s="29"/>
      <c r="Q18" s="35"/>
      <c r="R18" s="36"/>
      <c r="S18" s="36"/>
      <c r="T18" s="29"/>
      <c r="U18" s="35"/>
      <c r="V18" s="36"/>
      <c r="W18" s="36"/>
      <c r="X18" s="29"/>
      <c r="Y18" s="35"/>
      <c r="Z18" s="36"/>
      <c r="AA18" s="36"/>
      <c r="AB18" s="29"/>
      <c r="AC18" s="35"/>
      <c r="AD18" s="36"/>
      <c r="AE18" s="36"/>
      <c r="AF18" s="29"/>
      <c r="AG18" s="35"/>
      <c r="AH18" s="36"/>
      <c r="AI18" s="36"/>
      <c r="AJ18" s="29"/>
      <c r="AK18" s="35"/>
      <c r="AL18" s="36"/>
      <c r="AM18" s="36"/>
      <c r="AN18" s="29"/>
      <c r="AO18" s="29"/>
      <c r="AP18" s="29"/>
      <c r="AQ18" s="37"/>
      <c r="AR18" s="29"/>
      <c r="AS18" s="38" t="str">
        <f aca="false">IF($C18="","",IF(OR(F18="Completed",F18="Cancelled"),"",IF(AND(OR(F18="On Hold",ISNUMBER(VALUE(LEFT(H18,2)))),AR18=""),"Reason not given","")))</f>
        <v/>
      </c>
      <c r="AT18" s="30"/>
      <c r="AU18" s="30"/>
    </row>
    <row r="19" customFormat="false" ht="19.5" hidden="false" customHeight="true" outlineLevel="0" collapsed="false">
      <c r="A19" s="28" t="str">
        <f aca="false">IF($C19="","",COUNTA($C$17:$C19))</f>
        <v/>
      </c>
      <c r="B19" s="29"/>
      <c r="C19" s="30"/>
      <c r="D19" s="29"/>
      <c r="E19" s="31" t="str">
        <f aca="false">IF($C19="","",IF(NOT(OR(M19="Completed",M19="NA",M19="Cancelled")),"S1 Schematic",IF(NOT(OR(Q19="Completed",Q19="NA",Q19="Cancelled")),"S2 PCB Layout",IF(NOT(OR(U19="Completed",U19="NA",U19="Cancelled")),"S3 SI &amp; PI",IF(NOT(OR(Y19="Completed",Y19="NA",Y19="Cancelled")),"S4 Bare-PCB Fab",IF(NOT(OR(AC19="Completed",AC19="NA",AC19="Cancelled")),"S5 Assembly",IF(NOT(OR(AG19="Completed",AG19="NA",AG19="Cancelled")),"S6 Bring-up",IF(NOT(OR(AK19="Completed",AK19="NA",AK19="Cancelled")),"S7 BOM Procurement","All Stages Closed"))))))))</f>
        <v/>
      </c>
      <c r="F19" s="32" t="str">
        <f aca="false">IF($C19="","",IF(COUNTIF(M19,"Cancelled")+COUNTIF(Q19,"Cancelled")+COUNTIF(U19,"Cancelled")+COUNTIF(Y19,"Cancelled")+COUNTIF(AC19,"Cancelled")+COUNTIF(AG19,"Cancelled")+COUNTIF(AK19,"Cancelled")&gt;0,"Cancelled",IF(E19="All Stages Closed","Completed",IF(E19="S1 Schematic",M19,IF(E19="S2 PCB Layout",Q19,IF(E19="S3 SI &amp; PI",U19,IF(E19="S4 Bare-PCB Fab",Y19,IF(E19="S5 Assembly",AC19,IF(E19="S6 Bring-up",AG19,AK19)))))))))</f>
        <v/>
      </c>
      <c r="G19" s="33" t="str">
        <f aca="false">IF($C19="","",IF(E19="All Stages Closed","",IF(E19="S1 Schematic",IF(N19="","Not added",N19),IF(E19="S2 PCB Layout",IF(R19="","Not added",R19),IF(E19="S3 SI &amp; PI",IF(V19="","Not added",V19),IF(E19="S4 Bare-PCB Fab",IF(Z19="","Not added",Z19),IF(E19="S5 Assembly",IF(AD19="","Not added",AD19),IF(E19="S6 Bring-up",IF(AH19="","Not added",AH19),IF(AL19="","Not added",AL19)))))))))</f>
        <v/>
      </c>
      <c r="H19" s="32" t="str">
        <f aca="true">IF($C19="","",IF(OR(F19="Completed",F19="Cancelled"),"",IF(NOT(ISNUMBER(G19)),"No date set",IF(TODAY()&gt;G19,TODAY()-G19&amp;" days late",G19-TODAY()&amp;" days left"))))</f>
        <v/>
      </c>
      <c r="I19" s="31" t="str">
        <f aca="false">IF($C19="","",COUNTIF(M19,"Completed")+COUNTIF(Q19,"Completed")+COUNTIF(U19,"Completed")+COUNTIF(Y19,"Completed")+COUNTIF(AC19,"Completed")+COUNTIF(AG19,"Completed")+COUNTIF(AK19,"Completed"))</f>
        <v/>
      </c>
      <c r="J19" s="31" t="str">
        <f aca="false">IF($C19="","",7-(COUNTIF(M19,"NA")+COUNTIF(Q19,"NA")+COUNTIF(U19,"NA")+COUNTIF(Y19,"NA")+COUNTIF(AC19,"NA")+COUNTIF(AG19,"NA")+COUNTIF(AK19,"NA")))</f>
        <v/>
      </c>
      <c r="K19" s="34" t="str">
        <f aca="false">IFERROR(I19/J19,"")</f>
        <v/>
      </c>
      <c r="L19" s="29"/>
      <c r="M19" s="35"/>
      <c r="N19" s="36"/>
      <c r="O19" s="36"/>
      <c r="P19" s="29"/>
      <c r="Q19" s="35"/>
      <c r="R19" s="36"/>
      <c r="S19" s="36"/>
      <c r="T19" s="29"/>
      <c r="U19" s="35"/>
      <c r="V19" s="36"/>
      <c r="W19" s="36"/>
      <c r="X19" s="29"/>
      <c r="Y19" s="35"/>
      <c r="Z19" s="36"/>
      <c r="AA19" s="36"/>
      <c r="AB19" s="29"/>
      <c r="AC19" s="35"/>
      <c r="AD19" s="36"/>
      <c r="AE19" s="36"/>
      <c r="AF19" s="29"/>
      <c r="AG19" s="35"/>
      <c r="AH19" s="36"/>
      <c r="AI19" s="36"/>
      <c r="AJ19" s="29"/>
      <c r="AK19" s="35"/>
      <c r="AL19" s="36"/>
      <c r="AM19" s="36"/>
      <c r="AN19" s="29"/>
      <c r="AO19" s="29"/>
      <c r="AP19" s="29"/>
      <c r="AQ19" s="37"/>
      <c r="AR19" s="29"/>
      <c r="AS19" s="38" t="str">
        <f aca="false">IF($C19="","",IF(OR(F19="Completed",F19="Cancelled"),"",IF(AND(OR(F19="On Hold",ISNUMBER(VALUE(LEFT(H19,2)))),AR19=""),"Reason not given","")))</f>
        <v/>
      </c>
      <c r="AT19" s="30"/>
      <c r="AU19" s="30"/>
    </row>
    <row r="20" customFormat="false" ht="19.5" hidden="false" customHeight="true" outlineLevel="0" collapsed="false">
      <c r="A20" s="28" t="str">
        <f aca="false">IF($C20="","",COUNTA($C$17:$C20))</f>
        <v/>
      </c>
      <c r="B20" s="29"/>
      <c r="C20" s="30"/>
      <c r="D20" s="29"/>
      <c r="E20" s="31" t="str">
        <f aca="false">IF($C20="","",IF(NOT(OR(M20="Completed",M20="NA",M20="Cancelled")),"S1 Schematic",IF(NOT(OR(Q20="Completed",Q20="NA",Q20="Cancelled")),"S2 PCB Layout",IF(NOT(OR(U20="Completed",U20="NA",U20="Cancelled")),"S3 SI &amp; PI",IF(NOT(OR(Y20="Completed",Y20="NA",Y20="Cancelled")),"S4 Bare-PCB Fab",IF(NOT(OR(AC20="Completed",AC20="NA",AC20="Cancelled")),"S5 Assembly",IF(NOT(OR(AG20="Completed",AG20="NA",AG20="Cancelled")),"S6 Bring-up",IF(NOT(OR(AK20="Completed",AK20="NA",AK20="Cancelled")),"S7 BOM Procurement","All Stages Closed"))))))))</f>
        <v/>
      </c>
      <c r="F20" s="32" t="str">
        <f aca="false">IF($C20="","",IF(COUNTIF(M20,"Cancelled")+COUNTIF(Q20,"Cancelled")+COUNTIF(U20,"Cancelled")+COUNTIF(Y20,"Cancelled")+COUNTIF(AC20,"Cancelled")+COUNTIF(AG20,"Cancelled")+COUNTIF(AK20,"Cancelled")&gt;0,"Cancelled",IF(E20="All Stages Closed","Completed",IF(E20="S1 Schematic",M20,IF(E20="S2 PCB Layout",Q20,IF(E20="S3 SI &amp; PI",U20,IF(E20="S4 Bare-PCB Fab",Y20,IF(E20="S5 Assembly",AC20,IF(E20="S6 Bring-up",AG20,AK20)))))))))</f>
        <v/>
      </c>
      <c r="G20" s="33" t="str">
        <f aca="false">IF($C20="","",IF(E20="All Stages Closed","",IF(E20="S1 Schematic",IF(N20="","Not added",N20),IF(E20="S2 PCB Layout",IF(R20="","Not added",R20),IF(E20="S3 SI &amp; PI",IF(V20="","Not added",V20),IF(E20="S4 Bare-PCB Fab",IF(Z20="","Not added",Z20),IF(E20="S5 Assembly",IF(AD20="","Not added",AD20),IF(E20="S6 Bring-up",IF(AH20="","Not added",AH20),IF(AL20="","Not added",AL20)))))))))</f>
        <v/>
      </c>
      <c r="H20" s="32" t="str">
        <f aca="true">IF($C20="","",IF(OR(F20="Completed",F20="Cancelled"),"",IF(NOT(ISNUMBER(G20)),"No date set",IF(TODAY()&gt;G20,TODAY()-G20&amp;" days late",G20-TODAY()&amp;" days left"))))</f>
        <v/>
      </c>
      <c r="I20" s="31" t="str">
        <f aca="false">IF($C20="","",COUNTIF(M20,"Completed")+COUNTIF(Q20,"Completed")+COUNTIF(U20,"Completed")+COUNTIF(Y20,"Completed")+COUNTIF(AC20,"Completed")+COUNTIF(AG20,"Completed")+COUNTIF(AK20,"Completed"))</f>
        <v/>
      </c>
      <c r="J20" s="31" t="str">
        <f aca="false">IF($C20="","",7-(COUNTIF(M20,"NA")+COUNTIF(Q20,"NA")+COUNTIF(U20,"NA")+COUNTIF(Y20,"NA")+COUNTIF(AC20,"NA")+COUNTIF(AG20,"NA")+COUNTIF(AK20,"NA")))</f>
        <v/>
      </c>
      <c r="K20" s="34" t="str">
        <f aca="false">IFERROR(I20/J20,"")</f>
        <v/>
      </c>
      <c r="L20" s="29"/>
      <c r="M20" s="35"/>
      <c r="N20" s="36"/>
      <c r="O20" s="36"/>
      <c r="P20" s="29"/>
      <c r="Q20" s="35"/>
      <c r="R20" s="36"/>
      <c r="S20" s="36"/>
      <c r="T20" s="29"/>
      <c r="U20" s="35"/>
      <c r="V20" s="36"/>
      <c r="W20" s="36"/>
      <c r="X20" s="29"/>
      <c r="Y20" s="35"/>
      <c r="Z20" s="36"/>
      <c r="AA20" s="36"/>
      <c r="AB20" s="29"/>
      <c r="AC20" s="35"/>
      <c r="AD20" s="36"/>
      <c r="AE20" s="36"/>
      <c r="AF20" s="29"/>
      <c r="AG20" s="35"/>
      <c r="AH20" s="36"/>
      <c r="AI20" s="36"/>
      <c r="AJ20" s="29"/>
      <c r="AK20" s="35"/>
      <c r="AL20" s="36"/>
      <c r="AM20" s="36"/>
      <c r="AN20" s="29"/>
      <c r="AO20" s="29"/>
      <c r="AP20" s="29"/>
      <c r="AQ20" s="37"/>
      <c r="AR20" s="29"/>
      <c r="AS20" s="38" t="str">
        <f aca="false">IF($C20="","",IF(OR(F20="Completed",F20="Cancelled"),"",IF(AND(OR(F20="On Hold",ISNUMBER(VALUE(LEFT(H20,2)))),AR20=""),"Reason not given","")))</f>
        <v/>
      </c>
      <c r="AT20" s="30"/>
      <c r="AU20" s="30"/>
    </row>
    <row r="21" customFormat="false" ht="19.5" hidden="false" customHeight="true" outlineLevel="0" collapsed="false">
      <c r="A21" s="28" t="str">
        <f aca="false">IF($C21="","",COUNTA($C$17:$C21))</f>
        <v/>
      </c>
      <c r="B21" s="29"/>
      <c r="C21" s="30"/>
      <c r="D21" s="29"/>
      <c r="E21" s="31" t="str">
        <f aca="false">IF($C21="","",IF(NOT(OR(M21="Completed",M21="NA",M21="Cancelled")),"S1 Schematic",IF(NOT(OR(Q21="Completed",Q21="NA",Q21="Cancelled")),"S2 PCB Layout",IF(NOT(OR(U21="Completed",U21="NA",U21="Cancelled")),"S3 SI &amp; PI",IF(NOT(OR(Y21="Completed",Y21="NA",Y21="Cancelled")),"S4 Bare-PCB Fab",IF(NOT(OR(AC21="Completed",AC21="NA",AC21="Cancelled")),"S5 Assembly",IF(NOT(OR(AG21="Completed",AG21="NA",AG21="Cancelled")),"S6 Bring-up",IF(NOT(OR(AK21="Completed",AK21="NA",AK21="Cancelled")),"S7 BOM Procurement","All Stages Closed"))))))))</f>
        <v/>
      </c>
      <c r="F21" s="32" t="str">
        <f aca="false">IF($C21="","",IF(COUNTIF(M21,"Cancelled")+COUNTIF(Q21,"Cancelled")+COUNTIF(U21,"Cancelled")+COUNTIF(Y21,"Cancelled")+COUNTIF(AC21,"Cancelled")+COUNTIF(AG21,"Cancelled")+COUNTIF(AK21,"Cancelled")&gt;0,"Cancelled",IF(E21="All Stages Closed","Completed",IF(E21="S1 Schematic",M21,IF(E21="S2 PCB Layout",Q21,IF(E21="S3 SI &amp; PI",U21,IF(E21="S4 Bare-PCB Fab",Y21,IF(E21="S5 Assembly",AC21,IF(E21="S6 Bring-up",AG21,AK21)))))))))</f>
        <v/>
      </c>
      <c r="G21" s="33" t="str">
        <f aca="false">IF($C21="","",IF(E21="All Stages Closed","",IF(E21="S1 Schematic",IF(N21="","Not added",N21),IF(E21="S2 PCB Layout",IF(R21="","Not added",R21),IF(E21="S3 SI &amp; PI",IF(V21="","Not added",V21),IF(E21="S4 Bare-PCB Fab",IF(Z21="","Not added",Z21),IF(E21="S5 Assembly",IF(AD21="","Not added",AD21),IF(E21="S6 Bring-up",IF(AH21="","Not added",AH21),IF(AL21="","Not added",AL21)))))))))</f>
        <v/>
      </c>
      <c r="H21" s="32" t="str">
        <f aca="true">IF($C21="","",IF(OR(F21="Completed",F21="Cancelled"),"",IF(NOT(ISNUMBER(G21)),"No date set",IF(TODAY()&gt;G21,TODAY()-G21&amp;" days late",G21-TODAY()&amp;" days left"))))</f>
        <v/>
      </c>
      <c r="I21" s="31" t="str">
        <f aca="false">IF($C21="","",COUNTIF(M21,"Completed")+COUNTIF(Q21,"Completed")+COUNTIF(U21,"Completed")+COUNTIF(Y21,"Completed")+COUNTIF(AC21,"Completed")+COUNTIF(AG21,"Completed")+COUNTIF(AK21,"Completed"))</f>
        <v/>
      </c>
      <c r="J21" s="31" t="str">
        <f aca="false">IF($C21="","",7-(COUNTIF(M21,"NA")+COUNTIF(Q21,"NA")+COUNTIF(U21,"NA")+COUNTIF(Y21,"NA")+COUNTIF(AC21,"NA")+COUNTIF(AG21,"NA")+COUNTIF(AK21,"NA")))</f>
        <v/>
      </c>
      <c r="K21" s="34" t="str">
        <f aca="false">IFERROR(I21/J21,"")</f>
        <v/>
      </c>
      <c r="L21" s="29"/>
      <c r="M21" s="35"/>
      <c r="N21" s="36"/>
      <c r="O21" s="36"/>
      <c r="P21" s="29"/>
      <c r="Q21" s="35"/>
      <c r="R21" s="36"/>
      <c r="S21" s="36"/>
      <c r="T21" s="29"/>
      <c r="U21" s="35"/>
      <c r="V21" s="36"/>
      <c r="W21" s="36"/>
      <c r="X21" s="29"/>
      <c r="Y21" s="35"/>
      <c r="Z21" s="36"/>
      <c r="AA21" s="36"/>
      <c r="AB21" s="29"/>
      <c r="AC21" s="35"/>
      <c r="AD21" s="36"/>
      <c r="AE21" s="36"/>
      <c r="AF21" s="29"/>
      <c r="AG21" s="35"/>
      <c r="AH21" s="36"/>
      <c r="AI21" s="36"/>
      <c r="AJ21" s="29"/>
      <c r="AK21" s="35"/>
      <c r="AL21" s="36"/>
      <c r="AM21" s="36"/>
      <c r="AN21" s="29"/>
      <c r="AO21" s="29"/>
      <c r="AP21" s="29"/>
      <c r="AQ21" s="37"/>
      <c r="AR21" s="29"/>
      <c r="AS21" s="38" t="str">
        <f aca="false">IF($C21="","",IF(OR(F21="Completed",F21="Cancelled"),"",IF(AND(OR(F21="On Hold",ISNUMBER(VALUE(LEFT(H21,2)))),AR21=""),"Reason not given","")))</f>
        <v/>
      </c>
      <c r="AT21" s="30"/>
      <c r="AU21" s="30"/>
    </row>
    <row r="22" customFormat="false" ht="19.5" hidden="false" customHeight="true" outlineLevel="0" collapsed="false">
      <c r="A22" s="28" t="str">
        <f aca="false">IF($C22="","",COUNTA($C$17:$C22))</f>
        <v/>
      </c>
      <c r="B22" s="29"/>
      <c r="C22" s="30"/>
      <c r="D22" s="29"/>
      <c r="E22" s="31" t="str">
        <f aca="false">IF($C22="","",IF(NOT(OR(M22="Completed",M22="NA",M22="Cancelled")),"S1 Schematic",IF(NOT(OR(Q22="Completed",Q22="NA",Q22="Cancelled")),"S2 PCB Layout",IF(NOT(OR(U22="Completed",U22="NA",U22="Cancelled")),"S3 SI &amp; PI",IF(NOT(OR(Y22="Completed",Y22="NA",Y22="Cancelled")),"S4 Bare-PCB Fab",IF(NOT(OR(AC22="Completed",AC22="NA",AC22="Cancelled")),"S5 Assembly",IF(NOT(OR(AG22="Completed",AG22="NA",AG22="Cancelled")),"S6 Bring-up",IF(NOT(OR(AK22="Completed",AK22="NA",AK22="Cancelled")),"S7 BOM Procurement","All Stages Closed"))))))))</f>
        <v/>
      </c>
      <c r="F22" s="32" t="str">
        <f aca="false">IF($C22="","",IF(COUNTIF(M22,"Cancelled")+COUNTIF(Q22,"Cancelled")+COUNTIF(U22,"Cancelled")+COUNTIF(Y22,"Cancelled")+COUNTIF(AC22,"Cancelled")+COUNTIF(AG22,"Cancelled")+COUNTIF(AK22,"Cancelled")&gt;0,"Cancelled",IF(E22="All Stages Closed","Completed",IF(E22="S1 Schematic",M22,IF(E22="S2 PCB Layout",Q22,IF(E22="S3 SI &amp; PI",U22,IF(E22="S4 Bare-PCB Fab",Y22,IF(E22="S5 Assembly",AC22,IF(E22="S6 Bring-up",AG22,AK22)))))))))</f>
        <v/>
      </c>
      <c r="G22" s="33" t="str">
        <f aca="false">IF($C22="","",IF(E22="All Stages Closed","",IF(E22="S1 Schematic",IF(N22="","Not added",N22),IF(E22="S2 PCB Layout",IF(R22="","Not added",R22),IF(E22="S3 SI &amp; PI",IF(V22="","Not added",V22),IF(E22="S4 Bare-PCB Fab",IF(Z22="","Not added",Z22),IF(E22="S5 Assembly",IF(AD22="","Not added",AD22),IF(E22="S6 Bring-up",IF(AH22="","Not added",AH22),IF(AL22="","Not added",AL22)))))))))</f>
        <v/>
      </c>
      <c r="H22" s="32" t="str">
        <f aca="true">IF($C22="","",IF(OR(F22="Completed",F22="Cancelled"),"",IF(NOT(ISNUMBER(G22)),"No date set",IF(TODAY()&gt;G22,TODAY()-G22&amp;" days late",G22-TODAY()&amp;" days left"))))</f>
        <v/>
      </c>
      <c r="I22" s="31" t="str">
        <f aca="false">IF($C22="","",COUNTIF(M22,"Completed")+COUNTIF(Q22,"Completed")+COUNTIF(U22,"Completed")+COUNTIF(Y22,"Completed")+COUNTIF(AC22,"Completed")+COUNTIF(AG22,"Completed")+COUNTIF(AK22,"Completed"))</f>
        <v/>
      </c>
      <c r="J22" s="31" t="str">
        <f aca="false">IF($C22="","",7-(COUNTIF(M22,"NA")+COUNTIF(Q22,"NA")+COUNTIF(U22,"NA")+COUNTIF(Y22,"NA")+COUNTIF(AC22,"NA")+COUNTIF(AG22,"NA")+COUNTIF(AK22,"NA")))</f>
        <v/>
      </c>
      <c r="K22" s="34" t="str">
        <f aca="false">IFERROR(I22/J22,"")</f>
        <v/>
      </c>
      <c r="L22" s="29"/>
      <c r="M22" s="35"/>
      <c r="N22" s="36"/>
      <c r="O22" s="36"/>
      <c r="P22" s="29"/>
      <c r="Q22" s="35"/>
      <c r="R22" s="36"/>
      <c r="S22" s="36"/>
      <c r="T22" s="29"/>
      <c r="U22" s="35"/>
      <c r="V22" s="36"/>
      <c r="W22" s="36"/>
      <c r="X22" s="29"/>
      <c r="Y22" s="35"/>
      <c r="Z22" s="36"/>
      <c r="AA22" s="36"/>
      <c r="AB22" s="29"/>
      <c r="AC22" s="35"/>
      <c r="AD22" s="36"/>
      <c r="AE22" s="36"/>
      <c r="AF22" s="29"/>
      <c r="AG22" s="35"/>
      <c r="AH22" s="36"/>
      <c r="AI22" s="36"/>
      <c r="AJ22" s="29"/>
      <c r="AK22" s="35"/>
      <c r="AL22" s="36"/>
      <c r="AM22" s="36"/>
      <c r="AN22" s="29"/>
      <c r="AO22" s="29"/>
      <c r="AP22" s="29"/>
      <c r="AQ22" s="37"/>
      <c r="AR22" s="29"/>
      <c r="AS22" s="38" t="str">
        <f aca="false">IF($C22="","",IF(OR(F22="Completed",F22="Cancelled"),"",IF(AND(OR(F22="On Hold",ISNUMBER(VALUE(LEFT(H22,2)))),AR22=""),"Reason not given","")))</f>
        <v/>
      </c>
      <c r="AT22" s="30"/>
      <c r="AU22" s="30"/>
    </row>
    <row r="23" customFormat="false" ht="19.5" hidden="false" customHeight="true" outlineLevel="0" collapsed="false">
      <c r="A23" s="28" t="str">
        <f aca="false">IF($C23="","",COUNTA($C$17:$C23))</f>
        <v/>
      </c>
      <c r="B23" s="29"/>
      <c r="C23" s="30"/>
      <c r="D23" s="29"/>
      <c r="E23" s="31" t="str">
        <f aca="false">IF($C23="","",IF(NOT(OR(M23="Completed",M23="NA",M23="Cancelled")),"S1 Schematic",IF(NOT(OR(Q23="Completed",Q23="NA",Q23="Cancelled")),"S2 PCB Layout",IF(NOT(OR(U23="Completed",U23="NA",U23="Cancelled")),"S3 SI &amp; PI",IF(NOT(OR(Y23="Completed",Y23="NA",Y23="Cancelled")),"S4 Bare-PCB Fab",IF(NOT(OR(AC23="Completed",AC23="NA",AC23="Cancelled")),"S5 Assembly",IF(NOT(OR(AG23="Completed",AG23="NA",AG23="Cancelled")),"S6 Bring-up",IF(NOT(OR(AK23="Completed",AK23="NA",AK23="Cancelled")),"S7 BOM Procurement","All Stages Closed"))))))))</f>
        <v/>
      </c>
      <c r="F23" s="32" t="str">
        <f aca="false">IF($C23="","",IF(COUNTIF(M23,"Cancelled")+COUNTIF(Q23,"Cancelled")+COUNTIF(U23,"Cancelled")+COUNTIF(Y23,"Cancelled")+COUNTIF(AC23,"Cancelled")+COUNTIF(AG23,"Cancelled")+COUNTIF(AK23,"Cancelled")&gt;0,"Cancelled",IF(E23="All Stages Closed","Completed",IF(E23="S1 Schematic",M23,IF(E23="S2 PCB Layout",Q23,IF(E23="S3 SI &amp; PI",U23,IF(E23="S4 Bare-PCB Fab",Y23,IF(E23="S5 Assembly",AC23,IF(E23="S6 Bring-up",AG23,AK23)))))))))</f>
        <v/>
      </c>
      <c r="G23" s="33" t="str">
        <f aca="false">IF($C23="","",IF(E23="All Stages Closed","",IF(E23="S1 Schematic",IF(N23="","Not added",N23),IF(E23="S2 PCB Layout",IF(R23="","Not added",R23),IF(E23="S3 SI &amp; PI",IF(V23="","Not added",V23),IF(E23="S4 Bare-PCB Fab",IF(Z23="","Not added",Z23),IF(E23="S5 Assembly",IF(AD23="","Not added",AD23),IF(E23="S6 Bring-up",IF(AH23="","Not added",AH23),IF(AL23="","Not added",AL23)))))))))</f>
        <v/>
      </c>
      <c r="H23" s="32" t="str">
        <f aca="true">IF($C23="","",IF(OR(F23="Completed",F23="Cancelled"),"",IF(NOT(ISNUMBER(G23)),"No date set",IF(TODAY()&gt;G23,TODAY()-G23&amp;" days late",G23-TODAY()&amp;" days left"))))</f>
        <v/>
      </c>
      <c r="I23" s="31" t="str">
        <f aca="false">IF($C23="","",COUNTIF(M23,"Completed")+COUNTIF(Q23,"Completed")+COUNTIF(U23,"Completed")+COUNTIF(Y23,"Completed")+COUNTIF(AC23,"Completed")+COUNTIF(AG23,"Completed")+COUNTIF(AK23,"Completed"))</f>
        <v/>
      </c>
      <c r="J23" s="31" t="str">
        <f aca="false">IF($C23="","",7-(COUNTIF(M23,"NA")+COUNTIF(Q23,"NA")+COUNTIF(U23,"NA")+COUNTIF(Y23,"NA")+COUNTIF(AC23,"NA")+COUNTIF(AG23,"NA")+COUNTIF(AK23,"NA")))</f>
        <v/>
      </c>
      <c r="K23" s="34" t="str">
        <f aca="false">IFERROR(I23/J23,"")</f>
        <v/>
      </c>
      <c r="L23" s="29"/>
      <c r="M23" s="35"/>
      <c r="N23" s="36"/>
      <c r="O23" s="36"/>
      <c r="P23" s="29"/>
      <c r="Q23" s="35"/>
      <c r="R23" s="36"/>
      <c r="S23" s="36"/>
      <c r="T23" s="29"/>
      <c r="U23" s="35"/>
      <c r="V23" s="36"/>
      <c r="W23" s="36"/>
      <c r="X23" s="29"/>
      <c r="Y23" s="35"/>
      <c r="Z23" s="36"/>
      <c r="AA23" s="36"/>
      <c r="AB23" s="29"/>
      <c r="AC23" s="35"/>
      <c r="AD23" s="36"/>
      <c r="AE23" s="36"/>
      <c r="AF23" s="29"/>
      <c r="AG23" s="35"/>
      <c r="AH23" s="36"/>
      <c r="AI23" s="36"/>
      <c r="AJ23" s="29"/>
      <c r="AK23" s="35"/>
      <c r="AL23" s="36"/>
      <c r="AM23" s="36"/>
      <c r="AN23" s="29"/>
      <c r="AO23" s="29"/>
      <c r="AP23" s="29"/>
      <c r="AQ23" s="37"/>
      <c r="AR23" s="29"/>
      <c r="AS23" s="38" t="str">
        <f aca="false">IF($C23="","",IF(OR(F23="Completed",F23="Cancelled"),"",IF(AND(OR(F23="On Hold",ISNUMBER(VALUE(LEFT(H23,2)))),AR23=""),"Reason not given","")))</f>
        <v/>
      </c>
      <c r="AT23" s="30"/>
      <c r="AU23" s="30"/>
    </row>
    <row r="24" customFormat="false" ht="19.5" hidden="false" customHeight="true" outlineLevel="0" collapsed="false">
      <c r="A24" s="28" t="str">
        <f aca="false">IF($C24="","",COUNTA($C$17:$C24))</f>
        <v/>
      </c>
      <c r="B24" s="29"/>
      <c r="C24" s="30"/>
      <c r="D24" s="29"/>
      <c r="E24" s="31" t="str">
        <f aca="false">IF($C24="","",IF(NOT(OR(M24="Completed",M24="NA",M24="Cancelled")),"S1 Schematic",IF(NOT(OR(Q24="Completed",Q24="NA",Q24="Cancelled")),"S2 PCB Layout",IF(NOT(OR(U24="Completed",U24="NA",U24="Cancelled")),"S3 SI &amp; PI",IF(NOT(OR(Y24="Completed",Y24="NA",Y24="Cancelled")),"S4 Bare-PCB Fab",IF(NOT(OR(AC24="Completed",AC24="NA",AC24="Cancelled")),"S5 Assembly",IF(NOT(OR(AG24="Completed",AG24="NA",AG24="Cancelled")),"S6 Bring-up",IF(NOT(OR(AK24="Completed",AK24="NA",AK24="Cancelled")),"S7 BOM Procurement","All Stages Closed"))))))))</f>
        <v/>
      </c>
      <c r="F24" s="32" t="str">
        <f aca="false">IF($C24="","",IF(COUNTIF(M24,"Cancelled")+COUNTIF(Q24,"Cancelled")+COUNTIF(U24,"Cancelled")+COUNTIF(Y24,"Cancelled")+COUNTIF(AC24,"Cancelled")+COUNTIF(AG24,"Cancelled")+COUNTIF(AK24,"Cancelled")&gt;0,"Cancelled",IF(E24="All Stages Closed","Completed",IF(E24="S1 Schematic",M24,IF(E24="S2 PCB Layout",Q24,IF(E24="S3 SI &amp; PI",U24,IF(E24="S4 Bare-PCB Fab",Y24,IF(E24="S5 Assembly",AC24,IF(E24="S6 Bring-up",AG24,AK24)))))))))</f>
        <v/>
      </c>
      <c r="G24" s="33" t="str">
        <f aca="false">IF($C24="","",IF(E24="All Stages Closed","",IF(E24="S1 Schematic",IF(N24="","Not added",N24),IF(E24="S2 PCB Layout",IF(R24="","Not added",R24),IF(E24="S3 SI &amp; PI",IF(V24="","Not added",V24),IF(E24="S4 Bare-PCB Fab",IF(Z24="","Not added",Z24),IF(E24="S5 Assembly",IF(AD24="","Not added",AD24),IF(E24="S6 Bring-up",IF(AH24="","Not added",AH24),IF(AL24="","Not added",AL24)))))))))</f>
        <v/>
      </c>
      <c r="H24" s="32" t="str">
        <f aca="true">IF($C24="","",IF(OR(F24="Completed",F24="Cancelled"),"",IF(NOT(ISNUMBER(G24)),"No date set",IF(TODAY()&gt;G24,TODAY()-G24&amp;" days late",G24-TODAY()&amp;" days left"))))</f>
        <v/>
      </c>
      <c r="I24" s="31" t="str">
        <f aca="false">IF($C24="","",COUNTIF(M24,"Completed")+COUNTIF(Q24,"Completed")+COUNTIF(U24,"Completed")+COUNTIF(Y24,"Completed")+COUNTIF(AC24,"Completed")+COUNTIF(AG24,"Completed")+COUNTIF(AK24,"Completed"))</f>
        <v/>
      </c>
      <c r="J24" s="31" t="str">
        <f aca="false">IF($C24="","",7-(COUNTIF(M24,"NA")+COUNTIF(Q24,"NA")+COUNTIF(U24,"NA")+COUNTIF(Y24,"NA")+COUNTIF(AC24,"NA")+COUNTIF(AG24,"NA")+COUNTIF(AK24,"NA")))</f>
        <v/>
      </c>
      <c r="K24" s="34" t="str">
        <f aca="false">IFERROR(I24/J24,"")</f>
        <v/>
      </c>
      <c r="L24" s="29"/>
      <c r="M24" s="35"/>
      <c r="N24" s="36"/>
      <c r="O24" s="36"/>
      <c r="P24" s="29"/>
      <c r="Q24" s="35"/>
      <c r="R24" s="36"/>
      <c r="S24" s="36"/>
      <c r="T24" s="29"/>
      <c r="U24" s="35"/>
      <c r="V24" s="36"/>
      <c r="W24" s="36"/>
      <c r="X24" s="29"/>
      <c r="Y24" s="35"/>
      <c r="Z24" s="36"/>
      <c r="AA24" s="36"/>
      <c r="AB24" s="29"/>
      <c r="AC24" s="35"/>
      <c r="AD24" s="36"/>
      <c r="AE24" s="36"/>
      <c r="AF24" s="29"/>
      <c r="AG24" s="35"/>
      <c r="AH24" s="36"/>
      <c r="AI24" s="36"/>
      <c r="AJ24" s="29"/>
      <c r="AK24" s="35"/>
      <c r="AL24" s="36"/>
      <c r="AM24" s="36"/>
      <c r="AN24" s="29"/>
      <c r="AO24" s="29"/>
      <c r="AP24" s="29"/>
      <c r="AQ24" s="37"/>
      <c r="AR24" s="29"/>
      <c r="AS24" s="38" t="str">
        <f aca="false">IF($C24="","",IF(OR(F24="Completed",F24="Cancelled"),"",IF(AND(OR(F24="On Hold",ISNUMBER(VALUE(LEFT(H24,2)))),AR24=""),"Reason not given","")))</f>
        <v/>
      </c>
      <c r="AT24" s="30"/>
      <c r="AU24" s="30"/>
    </row>
    <row r="25" customFormat="false" ht="19.5" hidden="false" customHeight="true" outlineLevel="0" collapsed="false">
      <c r="A25" s="28" t="str">
        <f aca="false">IF($C25="","",COUNTA($C$17:$C25))</f>
        <v/>
      </c>
      <c r="B25" s="29"/>
      <c r="C25" s="30"/>
      <c r="D25" s="29"/>
      <c r="E25" s="31" t="str">
        <f aca="false">IF($C25="","",IF(NOT(OR(M25="Completed",M25="NA",M25="Cancelled")),"S1 Schematic",IF(NOT(OR(Q25="Completed",Q25="NA",Q25="Cancelled")),"S2 PCB Layout",IF(NOT(OR(U25="Completed",U25="NA",U25="Cancelled")),"S3 SI &amp; PI",IF(NOT(OR(Y25="Completed",Y25="NA",Y25="Cancelled")),"S4 Bare-PCB Fab",IF(NOT(OR(AC25="Completed",AC25="NA",AC25="Cancelled")),"S5 Assembly",IF(NOT(OR(AG25="Completed",AG25="NA",AG25="Cancelled")),"S6 Bring-up",IF(NOT(OR(AK25="Completed",AK25="NA",AK25="Cancelled")),"S7 BOM Procurement","All Stages Closed"))))))))</f>
        <v/>
      </c>
      <c r="F25" s="32" t="str">
        <f aca="false">IF($C25="","",IF(COUNTIF(M25,"Cancelled")+COUNTIF(Q25,"Cancelled")+COUNTIF(U25,"Cancelled")+COUNTIF(Y25,"Cancelled")+COUNTIF(AC25,"Cancelled")+COUNTIF(AG25,"Cancelled")+COUNTIF(AK25,"Cancelled")&gt;0,"Cancelled",IF(E25="All Stages Closed","Completed",IF(E25="S1 Schematic",M25,IF(E25="S2 PCB Layout",Q25,IF(E25="S3 SI &amp; PI",U25,IF(E25="S4 Bare-PCB Fab",Y25,IF(E25="S5 Assembly",AC25,IF(E25="S6 Bring-up",AG25,AK25)))))))))</f>
        <v/>
      </c>
      <c r="G25" s="33" t="str">
        <f aca="false">IF($C25="","",IF(E25="All Stages Closed","",IF(E25="S1 Schematic",IF(N25="","Not added",N25),IF(E25="S2 PCB Layout",IF(R25="","Not added",R25),IF(E25="S3 SI &amp; PI",IF(V25="","Not added",V25),IF(E25="S4 Bare-PCB Fab",IF(Z25="","Not added",Z25),IF(E25="S5 Assembly",IF(AD25="","Not added",AD25),IF(E25="S6 Bring-up",IF(AH25="","Not added",AH25),IF(AL25="","Not added",AL25)))))))))</f>
        <v/>
      </c>
      <c r="H25" s="32" t="str">
        <f aca="true">IF($C25="","",IF(OR(F25="Completed",F25="Cancelled"),"",IF(NOT(ISNUMBER(G25)),"No date set",IF(TODAY()&gt;G25,TODAY()-G25&amp;" days late",G25-TODAY()&amp;" days left"))))</f>
        <v/>
      </c>
      <c r="I25" s="31" t="str">
        <f aca="false">IF($C25="","",COUNTIF(M25,"Completed")+COUNTIF(Q25,"Completed")+COUNTIF(U25,"Completed")+COUNTIF(Y25,"Completed")+COUNTIF(AC25,"Completed")+COUNTIF(AG25,"Completed")+COUNTIF(AK25,"Completed"))</f>
        <v/>
      </c>
      <c r="J25" s="31" t="str">
        <f aca="false">IF($C25="","",7-(COUNTIF(M25,"NA")+COUNTIF(Q25,"NA")+COUNTIF(U25,"NA")+COUNTIF(Y25,"NA")+COUNTIF(AC25,"NA")+COUNTIF(AG25,"NA")+COUNTIF(AK25,"NA")))</f>
        <v/>
      </c>
      <c r="K25" s="34" t="str">
        <f aca="false">IFERROR(I25/J25,"")</f>
        <v/>
      </c>
      <c r="L25" s="29"/>
      <c r="M25" s="35"/>
      <c r="N25" s="36"/>
      <c r="O25" s="36"/>
      <c r="P25" s="29"/>
      <c r="Q25" s="35"/>
      <c r="R25" s="36"/>
      <c r="S25" s="36"/>
      <c r="T25" s="29"/>
      <c r="U25" s="35"/>
      <c r="V25" s="36"/>
      <c r="W25" s="36"/>
      <c r="X25" s="29"/>
      <c r="Y25" s="35"/>
      <c r="Z25" s="36"/>
      <c r="AA25" s="36"/>
      <c r="AB25" s="29"/>
      <c r="AC25" s="35"/>
      <c r="AD25" s="36"/>
      <c r="AE25" s="36"/>
      <c r="AF25" s="29"/>
      <c r="AG25" s="35"/>
      <c r="AH25" s="36"/>
      <c r="AI25" s="36"/>
      <c r="AJ25" s="29"/>
      <c r="AK25" s="35"/>
      <c r="AL25" s="36"/>
      <c r="AM25" s="36"/>
      <c r="AN25" s="29"/>
      <c r="AO25" s="29"/>
      <c r="AP25" s="29"/>
      <c r="AQ25" s="37"/>
      <c r="AR25" s="29"/>
      <c r="AS25" s="38" t="str">
        <f aca="false">IF($C25="","",IF(OR(F25="Completed",F25="Cancelled"),"",IF(AND(OR(F25="On Hold",ISNUMBER(VALUE(LEFT(H25,2)))),AR25=""),"Reason not given","")))</f>
        <v/>
      </c>
      <c r="AT25" s="30"/>
      <c r="AU25" s="30"/>
    </row>
    <row r="26" customFormat="false" ht="19.5" hidden="false" customHeight="true" outlineLevel="0" collapsed="false">
      <c r="A26" s="28" t="str">
        <f aca="false">IF($C26="","",COUNTA($C$17:$C26))</f>
        <v/>
      </c>
      <c r="B26" s="29"/>
      <c r="C26" s="30"/>
      <c r="D26" s="29"/>
      <c r="E26" s="31" t="str">
        <f aca="false">IF($C26="","",IF(NOT(OR(M26="Completed",M26="NA",M26="Cancelled")),"S1 Schematic",IF(NOT(OR(Q26="Completed",Q26="NA",Q26="Cancelled")),"S2 PCB Layout",IF(NOT(OR(U26="Completed",U26="NA",U26="Cancelled")),"S3 SI &amp; PI",IF(NOT(OR(Y26="Completed",Y26="NA",Y26="Cancelled")),"S4 Bare-PCB Fab",IF(NOT(OR(AC26="Completed",AC26="NA",AC26="Cancelled")),"S5 Assembly",IF(NOT(OR(AG26="Completed",AG26="NA",AG26="Cancelled")),"S6 Bring-up",IF(NOT(OR(AK26="Completed",AK26="NA",AK26="Cancelled")),"S7 BOM Procurement","All Stages Closed"))))))))</f>
        <v/>
      </c>
      <c r="F26" s="32" t="str">
        <f aca="false">IF($C26="","",IF(COUNTIF(M26,"Cancelled")+COUNTIF(Q26,"Cancelled")+COUNTIF(U26,"Cancelled")+COUNTIF(Y26,"Cancelled")+COUNTIF(AC26,"Cancelled")+COUNTIF(AG26,"Cancelled")+COUNTIF(AK26,"Cancelled")&gt;0,"Cancelled",IF(E26="All Stages Closed","Completed",IF(E26="S1 Schematic",M26,IF(E26="S2 PCB Layout",Q26,IF(E26="S3 SI &amp; PI",U26,IF(E26="S4 Bare-PCB Fab",Y26,IF(E26="S5 Assembly",AC26,IF(E26="S6 Bring-up",AG26,AK26)))))))))</f>
        <v/>
      </c>
      <c r="G26" s="33" t="str">
        <f aca="false">IF($C26="","",IF(E26="All Stages Closed","",IF(E26="S1 Schematic",IF(N26="","Not added",N26),IF(E26="S2 PCB Layout",IF(R26="","Not added",R26),IF(E26="S3 SI &amp; PI",IF(V26="","Not added",V26),IF(E26="S4 Bare-PCB Fab",IF(Z26="","Not added",Z26),IF(E26="S5 Assembly",IF(AD26="","Not added",AD26),IF(E26="S6 Bring-up",IF(AH26="","Not added",AH26),IF(AL26="","Not added",AL26)))))))))</f>
        <v/>
      </c>
      <c r="H26" s="32" t="str">
        <f aca="true">IF($C26="","",IF(OR(F26="Completed",F26="Cancelled"),"",IF(NOT(ISNUMBER(G26)),"No date set",IF(TODAY()&gt;G26,TODAY()-G26&amp;" days late",G26-TODAY()&amp;" days left"))))</f>
        <v/>
      </c>
      <c r="I26" s="31" t="str">
        <f aca="false">IF($C26="","",COUNTIF(M26,"Completed")+COUNTIF(Q26,"Completed")+COUNTIF(U26,"Completed")+COUNTIF(Y26,"Completed")+COUNTIF(AC26,"Completed")+COUNTIF(AG26,"Completed")+COUNTIF(AK26,"Completed"))</f>
        <v/>
      </c>
      <c r="J26" s="31" t="str">
        <f aca="false">IF($C26="","",7-(COUNTIF(M26,"NA")+COUNTIF(Q26,"NA")+COUNTIF(U26,"NA")+COUNTIF(Y26,"NA")+COUNTIF(AC26,"NA")+COUNTIF(AG26,"NA")+COUNTIF(AK26,"NA")))</f>
        <v/>
      </c>
      <c r="K26" s="34" t="str">
        <f aca="false">IFERROR(I26/J26,"")</f>
        <v/>
      </c>
      <c r="L26" s="29"/>
      <c r="M26" s="35"/>
      <c r="N26" s="36"/>
      <c r="O26" s="36"/>
      <c r="P26" s="29"/>
      <c r="Q26" s="35"/>
      <c r="R26" s="36"/>
      <c r="S26" s="36"/>
      <c r="T26" s="29"/>
      <c r="U26" s="35"/>
      <c r="V26" s="36"/>
      <c r="W26" s="36"/>
      <c r="X26" s="29"/>
      <c r="Y26" s="35"/>
      <c r="Z26" s="36"/>
      <c r="AA26" s="36"/>
      <c r="AB26" s="29"/>
      <c r="AC26" s="35"/>
      <c r="AD26" s="36"/>
      <c r="AE26" s="36"/>
      <c r="AF26" s="29"/>
      <c r="AG26" s="35"/>
      <c r="AH26" s="36"/>
      <c r="AI26" s="36"/>
      <c r="AJ26" s="29"/>
      <c r="AK26" s="35"/>
      <c r="AL26" s="36"/>
      <c r="AM26" s="36"/>
      <c r="AN26" s="29"/>
      <c r="AO26" s="29"/>
      <c r="AP26" s="29"/>
      <c r="AQ26" s="37"/>
      <c r="AR26" s="29"/>
      <c r="AS26" s="38" t="str">
        <f aca="false">IF($C26="","",IF(OR(F26="Completed",F26="Cancelled"),"",IF(AND(OR(F26="On Hold",ISNUMBER(VALUE(LEFT(H26,2)))),AR26=""),"Reason not given","")))</f>
        <v/>
      </c>
      <c r="AT26" s="30"/>
      <c r="AU26" s="30"/>
    </row>
    <row r="27" customFormat="false" ht="19.5" hidden="false" customHeight="true" outlineLevel="0" collapsed="false">
      <c r="A27" s="28" t="str">
        <f aca="false">IF($C27="","",COUNTA($C$17:$C27))</f>
        <v/>
      </c>
      <c r="B27" s="29"/>
      <c r="C27" s="30"/>
      <c r="D27" s="29"/>
      <c r="E27" s="31" t="str">
        <f aca="false">IF($C27="","",IF(NOT(OR(M27="Completed",M27="NA",M27="Cancelled")),"S1 Schematic",IF(NOT(OR(Q27="Completed",Q27="NA",Q27="Cancelled")),"S2 PCB Layout",IF(NOT(OR(U27="Completed",U27="NA",U27="Cancelled")),"S3 SI &amp; PI",IF(NOT(OR(Y27="Completed",Y27="NA",Y27="Cancelled")),"S4 Bare-PCB Fab",IF(NOT(OR(AC27="Completed",AC27="NA",AC27="Cancelled")),"S5 Assembly",IF(NOT(OR(AG27="Completed",AG27="NA",AG27="Cancelled")),"S6 Bring-up",IF(NOT(OR(AK27="Completed",AK27="NA",AK27="Cancelled")),"S7 BOM Procurement","All Stages Closed"))))))))</f>
        <v/>
      </c>
      <c r="F27" s="32" t="str">
        <f aca="false">IF($C27="","",IF(COUNTIF(M27,"Cancelled")+COUNTIF(Q27,"Cancelled")+COUNTIF(U27,"Cancelled")+COUNTIF(Y27,"Cancelled")+COUNTIF(AC27,"Cancelled")+COUNTIF(AG27,"Cancelled")+COUNTIF(AK27,"Cancelled")&gt;0,"Cancelled",IF(E27="All Stages Closed","Completed",IF(E27="S1 Schematic",M27,IF(E27="S2 PCB Layout",Q27,IF(E27="S3 SI &amp; PI",U27,IF(E27="S4 Bare-PCB Fab",Y27,IF(E27="S5 Assembly",AC27,IF(E27="S6 Bring-up",AG27,AK27)))))))))</f>
        <v/>
      </c>
      <c r="G27" s="33" t="str">
        <f aca="false">IF($C27="","",IF(E27="All Stages Closed","",IF(E27="S1 Schematic",IF(N27="","Not added",N27),IF(E27="S2 PCB Layout",IF(R27="","Not added",R27),IF(E27="S3 SI &amp; PI",IF(V27="","Not added",V27),IF(E27="S4 Bare-PCB Fab",IF(Z27="","Not added",Z27),IF(E27="S5 Assembly",IF(AD27="","Not added",AD27),IF(E27="S6 Bring-up",IF(AH27="","Not added",AH27),IF(AL27="","Not added",AL27)))))))))</f>
        <v/>
      </c>
      <c r="H27" s="32" t="str">
        <f aca="true">IF($C27="","",IF(OR(F27="Completed",F27="Cancelled"),"",IF(NOT(ISNUMBER(G27)),"No date set",IF(TODAY()&gt;G27,TODAY()-G27&amp;" days late",G27-TODAY()&amp;" days left"))))</f>
        <v/>
      </c>
      <c r="I27" s="31" t="str">
        <f aca="false">IF($C27="","",COUNTIF(M27,"Completed")+COUNTIF(Q27,"Completed")+COUNTIF(U27,"Completed")+COUNTIF(Y27,"Completed")+COUNTIF(AC27,"Completed")+COUNTIF(AG27,"Completed")+COUNTIF(AK27,"Completed"))</f>
        <v/>
      </c>
      <c r="J27" s="31" t="str">
        <f aca="false">IF($C27="","",7-(COUNTIF(M27,"NA")+COUNTIF(Q27,"NA")+COUNTIF(U27,"NA")+COUNTIF(Y27,"NA")+COUNTIF(AC27,"NA")+COUNTIF(AG27,"NA")+COUNTIF(AK27,"NA")))</f>
        <v/>
      </c>
      <c r="K27" s="34" t="str">
        <f aca="false">IFERROR(I27/J27,"")</f>
        <v/>
      </c>
      <c r="L27" s="29"/>
      <c r="M27" s="35"/>
      <c r="N27" s="36"/>
      <c r="O27" s="36"/>
      <c r="P27" s="29"/>
      <c r="Q27" s="35"/>
      <c r="R27" s="36"/>
      <c r="S27" s="36"/>
      <c r="T27" s="29"/>
      <c r="U27" s="35"/>
      <c r="V27" s="36"/>
      <c r="W27" s="36"/>
      <c r="X27" s="29"/>
      <c r="Y27" s="35"/>
      <c r="Z27" s="36"/>
      <c r="AA27" s="36"/>
      <c r="AB27" s="29"/>
      <c r="AC27" s="35"/>
      <c r="AD27" s="36"/>
      <c r="AE27" s="36"/>
      <c r="AF27" s="29"/>
      <c r="AG27" s="35"/>
      <c r="AH27" s="36"/>
      <c r="AI27" s="36"/>
      <c r="AJ27" s="29"/>
      <c r="AK27" s="35"/>
      <c r="AL27" s="36"/>
      <c r="AM27" s="36"/>
      <c r="AN27" s="29"/>
      <c r="AO27" s="29"/>
      <c r="AP27" s="29"/>
      <c r="AQ27" s="37"/>
      <c r="AR27" s="29"/>
      <c r="AS27" s="38" t="str">
        <f aca="false">IF($C27="","",IF(OR(F27="Completed",F27="Cancelled"),"",IF(AND(OR(F27="On Hold",ISNUMBER(VALUE(LEFT(H27,2)))),AR27=""),"Reason not given","")))</f>
        <v/>
      </c>
      <c r="AT27" s="30"/>
      <c r="AU27" s="30"/>
    </row>
    <row r="28" customFormat="false" ht="19.5" hidden="false" customHeight="true" outlineLevel="0" collapsed="false">
      <c r="A28" s="28" t="str">
        <f aca="false">IF($C28="","",COUNTA($C$17:$C28))</f>
        <v/>
      </c>
      <c r="B28" s="29"/>
      <c r="C28" s="30"/>
      <c r="D28" s="29"/>
      <c r="E28" s="31" t="str">
        <f aca="false">IF($C28="","",IF(NOT(OR(M28="Completed",M28="NA",M28="Cancelled")),"S1 Schematic",IF(NOT(OR(Q28="Completed",Q28="NA",Q28="Cancelled")),"S2 PCB Layout",IF(NOT(OR(U28="Completed",U28="NA",U28="Cancelled")),"S3 SI &amp; PI",IF(NOT(OR(Y28="Completed",Y28="NA",Y28="Cancelled")),"S4 Bare-PCB Fab",IF(NOT(OR(AC28="Completed",AC28="NA",AC28="Cancelled")),"S5 Assembly",IF(NOT(OR(AG28="Completed",AG28="NA",AG28="Cancelled")),"S6 Bring-up",IF(NOT(OR(AK28="Completed",AK28="NA",AK28="Cancelled")),"S7 BOM Procurement","All Stages Closed"))))))))</f>
        <v/>
      </c>
      <c r="F28" s="32" t="str">
        <f aca="false">IF($C28="","",IF(COUNTIF(M28,"Cancelled")+COUNTIF(Q28,"Cancelled")+COUNTIF(U28,"Cancelled")+COUNTIF(Y28,"Cancelled")+COUNTIF(AC28,"Cancelled")+COUNTIF(AG28,"Cancelled")+COUNTIF(AK28,"Cancelled")&gt;0,"Cancelled",IF(E28="All Stages Closed","Completed",IF(E28="S1 Schematic",M28,IF(E28="S2 PCB Layout",Q28,IF(E28="S3 SI &amp; PI",U28,IF(E28="S4 Bare-PCB Fab",Y28,IF(E28="S5 Assembly",AC28,IF(E28="S6 Bring-up",AG28,AK28)))))))))</f>
        <v/>
      </c>
      <c r="G28" s="33" t="str">
        <f aca="false">IF($C28="","",IF(E28="All Stages Closed","",IF(E28="S1 Schematic",IF(N28="","Not added",N28),IF(E28="S2 PCB Layout",IF(R28="","Not added",R28),IF(E28="S3 SI &amp; PI",IF(V28="","Not added",V28),IF(E28="S4 Bare-PCB Fab",IF(Z28="","Not added",Z28),IF(E28="S5 Assembly",IF(AD28="","Not added",AD28),IF(E28="S6 Bring-up",IF(AH28="","Not added",AH28),IF(AL28="","Not added",AL28)))))))))</f>
        <v/>
      </c>
      <c r="H28" s="32" t="str">
        <f aca="true">IF($C28="","",IF(OR(F28="Completed",F28="Cancelled"),"",IF(NOT(ISNUMBER(G28)),"No date set",IF(TODAY()&gt;G28,TODAY()-G28&amp;" days late",G28-TODAY()&amp;" days left"))))</f>
        <v/>
      </c>
      <c r="I28" s="31" t="str">
        <f aca="false">IF($C28="","",COUNTIF(M28,"Completed")+COUNTIF(Q28,"Completed")+COUNTIF(U28,"Completed")+COUNTIF(Y28,"Completed")+COUNTIF(AC28,"Completed")+COUNTIF(AG28,"Completed")+COUNTIF(AK28,"Completed"))</f>
        <v/>
      </c>
      <c r="J28" s="31" t="str">
        <f aca="false">IF($C28="","",7-(COUNTIF(M28,"NA")+COUNTIF(Q28,"NA")+COUNTIF(U28,"NA")+COUNTIF(Y28,"NA")+COUNTIF(AC28,"NA")+COUNTIF(AG28,"NA")+COUNTIF(AK28,"NA")))</f>
        <v/>
      </c>
      <c r="K28" s="34" t="str">
        <f aca="false">IFERROR(I28/J28,"")</f>
        <v/>
      </c>
      <c r="L28" s="29"/>
      <c r="M28" s="35"/>
      <c r="N28" s="36"/>
      <c r="O28" s="36"/>
      <c r="P28" s="29"/>
      <c r="Q28" s="35"/>
      <c r="R28" s="36"/>
      <c r="S28" s="36"/>
      <c r="T28" s="29"/>
      <c r="U28" s="35"/>
      <c r="V28" s="36"/>
      <c r="W28" s="36"/>
      <c r="X28" s="29"/>
      <c r="Y28" s="35"/>
      <c r="Z28" s="36"/>
      <c r="AA28" s="36"/>
      <c r="AB28" s="29"/>
      <c r="AC28" s="35"/>
      <c r="AD28" s="36"/>
      <c r="AE28" s="36"/>
      <c r="AF28" s="29"/>
      <c r="AG28" s="35"/>
      <c r="AH28" s="36"/>
      <c r="AI28" s="36"/>
      <c r="AJ28" s="29"/>
      <c r="AK28" s="35"/>
      <c r="AL28" s="36"/>
      <c r="AM28" s="36"/>
      <c r="AN28" s="29"/>
      <c r="AO28" s="29"/>
      <c r="AP28" s="29"/>
      <c r="AQ28" s="37"/>
      <c r="AR28" s="29"/>
      <c r="AS28" s="38" t="str">
        <f aca="false">IF($C28="","",IF(OR(F28="Completed",F28="Cancelled"),"",IF(AND(OR(F28="On Hold",ISNUMBER(VALUE(LEFT(H28,2)))),AR28=""),"Reason not given","")))</f>
        <v/>
      </c>
      <c r="AT28" s="30"/>
      <c r="AU28" s="30"/>
    </row>
    <row r="29" customFormat="false" ht="19.5" hidden="false" customHeight="true" outlineLevel="0" collapsed="false">
      <c r="A29" s="28" t="str">
        <f aca="false">IF($C29="","",COUNTA($C$17:$C29))</f>
        <v/>
      </c>
      <c r="B29" s="29"/>
      <c r="C29" s="30"/>
      <c r="D29" s="29"/>
      <c r="E29" s="31" t="str">
        <f aca="false">IF($C29="","",IF(NOT(OR(M29="Completed",M29="NA",M29="Cancelled")),"S1 Schematic",IF(NOT(OR(Q29="Completed",Q29="NA",Q29="Cancelled")),"S2 PCB Layout",IF(NOT(OR(U29="Completed",U29="NA",U29="Cancelled")),"S3 SI &amp; PI",IF(NOT(OR(Y29="Completed",Y29="NA",Y29="Cancelled")),"S4 Bare-PCB Fab",IF(NOT(OR(AC29="Completed",AC29="NA",AC29="Cancelled")),"S5 Assembly",IF(NOT(OR(AG29="Completed",AG29="NA",AG29="Cancelled")),"S6 Bring-up",IF(NOT(OR(AK29="Completed",AK29="NA",AK29="Cancelled")),"S7 BOM Procurement","All Stages Closed"))))))))</f>
        <v/>
      </c>
      <c r="F29" s="32" t="str">
        <f aca="false">IF($C29="","",IF(COUNTIF(M29,"Cancelled")+COUNTIF(Q29,"Cancelled")+COUNTIF(U29,"Cancelled")+COUNTIF(Y29,"Cancelled")+COUNTIF(AC29,"Cancelled")+COUNTIF(AG29,"Cancelled")+COUNTIF(AK29,"Cancelled")&gt;0,"Cancelled",IF(E29="All Stages Closed","Completed",IF(E29="S1 Schematic",M29,IF(E29="S2 PCB Layout",Q29,IF(E29="S3 SI &amp; PI",U29,IF(E29="S4 Bare-PCB Fab",Y29,IF(E29="S5 Assembly",AC29,IF(E29="S6 Bring-up",AG29,AK29)))))))))</f>
        <v/>
      </c>
      <c r="G29" s="33" t="str">
        <f aca="false">IF($C29="","",IF(E29="All Stages Closed","",IF(E29="S1 Schematic",IF(N29="","Not added",N29),IF(E29="S2 PCB Layout",IF(R29="","Not added",R29),IF(E29="S3 SI &amp; PI",IF(V29="","Not added",V29),IF(E29="S4 Bare-PCB Fab",IF(Z29="","Not added",Z29),IF(E29="S5 Assembly",IF(AD29="","Not added",AD29),IF(E29="S6 Bring-up",IF(AH29="","Not added",AH29),IF(AL29="","Not added",AL29)))))))))</f>
        <v/>
      </c>
      <c r="H29" s="32" t="str">
        <f aca="true">IF($C29="","",IF(OR(F29="Completed",F29="Cancelled"),"",IF(NOT(ISNUMBER(G29)),"No date set",IF(TODAY()&gt;G29,TODAY()-G29&amp;" days late",G29-TODAY()&amp;" days left"))))</f>
        <v/>
      </c>
      <c r="I29" s="31" t="str">
        <f aca="false">IF($C29="","",COUNTIF(M29,"Completed")+COUNTIF(Q29,"Completed")+COUNTIF(U29,"Completed")+COUNTIF(Y29,"Completed")+COUNTIF(AC29,"Completed")+COUNTIF(AG29,"Completed")+COUNTIF(AK29,"Completed"))</f>
        <v/>
      </c>
      <c r="J29" s="31" t="str">
        <f aca="false">IF($C29="","",7-(COUNTIF(M29,"NA")+COUNTIF(Q29,"NA")+COUNTIF(U29,"NA")+COUNTIF(Y29,"NA")+COUNTIF(AC29,"NA")+COUNTIF(AG29,"NA")+COUNTIF(AK29,"NA")))</f>
        <v/>
      </c>
      <c r="K29" s="34" t="str">
        <f aca="false">IFERROR(I29/J29,"")</f>
        <v/>
      </c>
      <c r="L29" s="29"/>
      <c r="M29" s="35"/>
      <c r="N29" s="36"/>
      <c r="O29" s="36"/>
      <c r="P29" s="29"/>
      <c r="Q29" s="35"/>
      <c r="R29" s="36"/>
      <c r="S29" s="36"/>
      <c r="T29" s="29"/>
      <c r="U29" s="35"/>
      <c r="V29" s="36"/>
      <c r="W29" s="36"/>
      <c r="X29" s="29"/>
      <c r="Y29" s="35"/>
      <c r="Z29" s="36"/>
      <c r="AA29" s="36"/>
      <c r="AB29" s="29"/>
      <c r="AC29" s="35"/>
      <c r="AD29" s="36"/>
      <c r="AE29" s="36"/>
      <c r="AF29" s="29"/>
      <c r="AG29" s="35"/>
      <c r="AH29" s="36"/>
      <c r="AI29" s="36"/>
      <c r="AJ29" s="29"/>
      <c r="AK29" s="35"/>
      <c r="AL29" s="36"/>
      <c r="AM29" s="36"/>
      <c r="AN29" s="29"/>
      <c r="AO29" s="29"/>
      <c r="AP29" s="29"/>
      <c r="AQ29" s="37"/>
      <c r="AR29" s="29"/>
      <c r="AS29" s="38" t="str">
        <f aca="false">IF($C29="","",IF(OR(F29="Completed",F29="Cancelled"),"",IF(AND(OR(F29="On Hold",ISNUMBER(VALUE(LEFT(H29,2)))),AR29=""),"Reason not given","")))</f>
        <v/>
      </c>
      <c r="AT29" s="30"/>
      <c r="AU29" s="30"/>
    </row>
    <row r="30" customFormat="false" ht="19.5" hidden="false" customHeight="true" outlineLevel="0" collapsed="false">
      <c r="A30" s="28" t="str">
        <f aca="false">IF($C30="","",COUNTA($C$17:$C30))</f>
        <v/>
      </c>
      <c r="B30" s="29"/>
      <c r="C30" s="30"/>
      <c r="D30" s="29"/>
      <c r="E30" s="31" t="str">
        <f aca="false">IF($C30="","",IF(NOT(OR(M30="Completed",M30="NA",M30="Cancelled")),"S1 Schematic",IF(NOT(OR(Q30="Completed",Q30="NA",Q30="Cancelled")),"S2 PCB Layout",IF(NOT(OR(U30="Completed",U30="NA",U30="Cancelled")),"S3 SI &amp; PI",IF(NOT(OR(Y30="Completed",Y30="NA",Y30="Cancelled")),"S4 Bare-PCB Fab",IF(NOT(OR(AC30="Completed",AC30="NA",AC30="Cancelled")),"S5 Assembly",IF(NOT(OR(AG30="Completed",AG30="NA",AG30="Cancelled")),"S6 Bring-up",IF(NOT(OR(AK30="Completed",AK30="NA",AK30="Cancelled")),"S7 BOM Procurement","All Stages Closed"))))))))</f>
        <v/>
      </c>
      <c r="F30" s="32" t="str">
        <f aca="false">IF($C30="","",IF(COUNTIF(M30,"Cancelled")+COUNTIF(Q30,"Cancelled")+COUNTIF(U30,"Cancelled")+COUNTIF(Y30,"Cancelled")+COUNTIF(AC30,"Cancelled")+COUNTIF(AG30,"Cancelled")+COUNTIF(AK30,"Cancelled")&gt;0,"Cancelled",IF(E30="All Stages Closed","Completed",IF(E30="S1 Schematic",M30,IF(E30="S2 PCB Layout",Q30,IF(E30="S3 SI &amp; PI",U30,IF(E30="S4 Bare-PCB Fab",Y30,IF(E30="S5 Assembly",AC30,IF(E30="S6 Bring-up",AG30,AK30)))))))))</f>
        <v/>
      </c>
      <c r="G30" s="33" t="str">
        <f aca="false">IF($C30="","",IF(E30="All Stages Closed","",IF(E30="S1 Schematic",IF(N30="","Not added",N30),IF(E30="S2 PCB Layout",IF(R30="","Not added",R30),IF(E30="S3 SI &amp; PI",IF(V30="","Not added",V30),IF(E30="S4 Bare-PCB Fab",IF(Z30="","Not added",Z30),IF(E30="S5 Assembly",IF(AD30="","Not added",AD30),IF(E30="S6 Bring-up",IF(AH30="","Not added",AH30),IF(AL30="","Not added",AL30)))))))))</f>
        <v/>
      </c>
      <c r="H30" s="32" t="str">
        <f aca="true">IF($C30="","",IF(OR(F30="Completed",F30="Cancelled"),"",IF(NOT(ISNUMBER(G30)),"No date set",IF(TODAY()&gt;G30,TODAY()-G30&amp;" days late",G30-TODAY()&amp;" days left"))))</f>
        <v/>
      </c>
      <c r="I30" s="31" t="str">
        <f aca="false">IF($C30="","",COUNTIF(M30,"Completed")+COUNTIF(Q30,"Completed")+COUNTIF(U30,"Completed")+COUNTIF(Y30,"Completed")+COUNTIF(AC30,"Completed")+COUNTIF(AG30,"Completed")+COUNTIF(AK30,"Completed"))</f>
        <v/>
      </c>
      <c r="J30" s="31" t="str">
        <f aca="false">IF($C30="","",7-(COUNTIF(M30,"NA")+COUNTIF(Q30,"NA")+COUNTIF(U30,"NA")+COUNTIF(Y30,"NA")+COUNTIF(AC30,"NA")+COUNTIF(AG30,"NA")+COUNTIF(AK30,"NA")))</f>
        <v/>
      </c>
      <c r="K30" s="34" t="str">
        <f aca="false">IFERROR(I30/J30,"")</f>
        <v/>
      </c>
      <c r="L30" s="29"/>
      <c r="M30" s="35"/>
      <c r="N30" s="36"/>
      <c r="O30" s="36"/>
      <c r="P30" s="29"/>
      <c r="Q30" s="35"/>
      <c r="R30" s="36"/>
      <c r="S30" s="36"/>
      <c r="T30" s="29"/>
      <c r="U30" s="35"/>
      <c r="V30" s="36"/>
      <c r="W30" s="36"/>
      <c r="X30" s="29"/>
      <c r="Y30" s="35"/>
      <c r="Z30" s="36"/>
      <c r="AA30" s="36"/>
      <c r="AB30" s="29"/>
      <c r="AC30" s="35"/>
      <c r="AD30" s="36"/>
      <c r="AE30" s="36"/>
      <c r="AF30" s="29"/>
      <c r="AG30" s="35"/>
      <c r="AH30" s="36"/>
      <c r="AI30" s="36"/>
      <c r="AJ30" s="29"/>
      <c r="AK30" s="35"/>
      <c r="AL30" s="36"/>
      <c r="AM30" s="36"/>
      <c r="AN30" s="29"/>
      <c r="AO30" s="29"/>
      <c r="AP30" s="29"/>
      <c r="AQ30" s="37"/>
      <c r="AR30" s="29"/>
      <c r="AS30" s="38" t="str">
        <f aca="false">IF($C30="","",IF(OR(F30="Completed",F30="Cancelled"),"",IF(AND(OR(F30="On Hold",ISNUMBER(VALUE(LEFT(H30,2)))),AR30=""),"Reason not given","")))</f>
        <v/>
      </c>
      <c r="AT30" s="30"/>
      <c r="AU30" s="30"/>
    </row>
    <row r="31" customFormat="false" ht="19.5" hidden="false" customHeight="true" outlineLevel="0" collapsed="false">
      <c r="A31" s="28" t="str">
        <f aca="false">IF($C31="","",COUNTA($C$17:$C31))</f>
        <v/>
      </c>
      <c r="B31" s="29"/>
      <c r="C31" s="30"/>
      <c r="D31" s="29"/>
      <c r="E31" s="31" t="str">
        <f aca="false">IF($C31="","",IF(NOT(OR(M31="Completed",M31="NA",M31="Cancelled")),"S1 Schematic",IF(NOT(OR(Q31="Completed",Q31="NA",Q31="Cancelled")),"S2 PCB Layout",IF(NOT(OR(U31="Completed",U31="NA",U31="Cancelled")),"S3 SI &amp; PI",IF(NOT(OR(Y31="Completed",Y31="NA",Y31="Cancelled")),"S4 Bare-PCB Fab",IF(NOT(OR(AC31="Completed",AC31="NA",AC31="Cancelled")),"S5 Assembly",IF(NOT(OR(AG31="Completed",AG31="NA",AG31="Cancelled")),"S6 Bring-up",IF(NOT(OR(AK31="Completed",AK31="NA",AK31="Cancelled")),"S7 BOM Procurement","All Stages Closed"))))))))</f>
        <v/>
      </c>
      <c r="F31" s="32" t="str">
        <f aca="false">IF($C31="","",IF(COUNTIF(M31,"Cancelled")+COUNTIF(Q31,"Cancelled")+COUNTIF(U31,"Cancelled")+COUNTIF(Y31,"Cancelled")+COUNTIF(AC31,"Cancelled")+COUNTIF(AG31,"Cancelled")+COUNTIF(AK31,"Cancelled")&gt;0,"Cancelled",IF(E31="All Stages Closed","Completed",IF(E31="S1 Schematic",M31,IF(E31="S2 PCB Layout",Q31,IF(E31="S3 SI &amp; PI",U31,IF(E31="S4 Bare-PCB Fab",Y31,IF(E31="S5 Assembly",AC31,IF(E31="S6 Bring-up",AG31,AK31)))))))))</f>
        <v/>
      </c>
      <c r="G31" s="33" t="str">
        <f aca="false">IF($C31="","",IF(E31="All Stages Closed","",IF(E31="S1 Schematic",IF(N31="","Not added",N31),IF(E31="S2 PCB Layout",IF(R31="","Not added",R31),IF(E31="S3 SI &amp; PI",IF(V31="","Not added",V31),IF(E31="S4 Bare-PCB Fab",IF(Z31="","Not added",Z31),IF(E31="S5 Assembly",IF(AD31="","Not added",AD31),IF(E31="S6 Bring-up",IF(AH31="","Not added",AH31),IF(AL31="","Not added",AL31)))))))))</f>
        <v/>
      </c>
      <c r="H31" s="32" t="str">
        <f aca="true">IF($C31="","",IF(OR(F31="Completed",F31="Cancelled"),"",IF(NOT(ISNUMBER(G31)),"No date set",IF(TODAY()&gt;G31,TODAY()-G31&amp;" days late",G31-TODAY()&amp;" days left"))))</f>
        <v/>
      </c>
      <c r="I31" s="31" t="str">
        <f aca="false">IF($C31="","",COUNTIF(M31,"Completed")+COUNTIF(Q31,"Completed")+COUNTIF(U31,"Completed")+COUNTIF(Y31,"Completed")+COUNTIF(AC31,"Completed")+COUNTIF(AG31,"Completed")+COUNTIF(AK31,"Completed"))</f>
        <v/>
      </c>
      <c r="J31" s="31" t="str">
        <f aca="false">IF($C31="","",7-(COUNTIF(M31,"NA")+COUNTIF(Q31,"NA")+COUNTIF(U31,"NA")+COUNTIF(Y31,"NA")+COUNTIF(AC31,"NA")+COUNTIF(AG31,"NA")+COUNTIF(AK31,"NA")))</f>
        <v/>
      </c>
      <c r="K31" s="34" t="str">
        <f aca="false">IFERROR(I31/J31,"")</f>
        <v/>
      </c>
      <c r="L31" s="29"/>
      <c r="M31" s="35"/>
      <c r="N31" s="36"/>
      <c r="O31" s="36"/>
      <c r="P31" s="29"/>
      <c r="Q31" s="35"/>
      <c r="R31" s="36"/>
      <c r="S31" s="36"/>
      <c r="T31" s="29"/>
      <c r="U31" s="35"/>
      <c r="V31" s="36"/>
      <c r="W31" s="36"/>
      <c r="X31" s="29"/>
      <c r="Y31" s="35"/>
      <c r="Z31" s="36"/>
      <c r="AA31" s="36"/>
      <c r="AB31" s="29"/>
      <c r="AC31" s="35"/>
      <c r="AD31" s="36"/>
      <c r="AE31" s="36"/>
      <c r="AF31" s="29"/>
      <c r="AG31" s="35"/>
      <c r="AH31" s="36"/>
      <c r="AI31" s="36"/>
      <c r="AJ31" s="29"/>
      <c r="AK31" s="35"/>
      <c r="AL31" s="36"/>
      <c r="AM31" s="36"/>
      <c r="AN31" s="29"/>
      <c r="AO31" s="29"/>
      <c r="AP31" s="29"/>
      <c r="AQ31" s="37"/>
      <c r="AR31" s="29"/>
      <c r="AS31" s="38" t="str">
        <f aca="false">IF($C31="","",IF(OR(F31="Completed",F31="Cancelled"),"",IF(AND(OR(F31="On Hold",ISNUMBER(VALUE(LEFT(H31,2)))),AR31=""),"Reason not given","")))</f>
        <v/>
      </c>
      <c r="AT31" s="30"/>
      <c r="AU31" s="30"/>
    </row>
    <row r="32" customFormat="false" ht="19.5" hidden="false" customHeight="true" outlineLevel="0" collapsed="false">
      <c r="A32" s="28" t="str">
        <f aca="false">IF($C32="","",COUNTA($C$17:$C32))</f>
        <v/>
      </c>
      <c r="B32" s="29"/>
      <c r="C32" s="30"/>
      <c r="D32" s="29"/>
      <c r="E32" s="31" t="str">
        <f aca="false">IF($C32="","",IF(NOT(OR(M32="Completed",M32="NA",M32="Cancelled")),"S1 Schematic",IF(NOT(OR(Q32="Completed",Q32="NA",Q32="Cancelled")),"S2 PCB Layout",IF(NOT(OR(U32="Completed",U32="NA",U32="Cancelled")),"S3 SI &amp; PI",IF(NOT(OR(Y32="Completed",Y32="NA",Y32="Cancelled")),"S4 Bare-PCB Fab",IF(NOT(OR(AC32="Completed",AC32="NA",AC32="Cancelled")),"S5 Assembly",IF(NOT(OR(AG32="Completed",AG32="NA",AG32="Cancelled")),"S6 Bring-up",IF(NOT(OR(AK32="Completed",AK32="NA",AK32="Cancelled")),"S7 BOM Procurement","All Stages Closed"))))))))</f>
        <v/>
      </c>
      <c r="F32" s="32" t="str">
        <f aca="false">IF($C32="","",IF(COUNTIF(M32,"Cancelled")+COUNTIF(Q32,"Cancelled")+COUNTIF(U32,"Cancelled")+COUNTIF(Y32,"Cancelled")+COUNTIF(AC32,"Cancelled")+COUNTIF(AG32,"Cancelled")+COUNTIF(AK32,"Cancelled")&gt;0,"Cancelled",IF(E32="All Stages Closed","Completed",IF(E32="S1 Schematic",M32,IF(E32="S2 PCB Layout",Q32,IF(E32="S3 SI &amp; PI",U32,IF(E32="S4 Bare-PCB Fab",Y32,IF(E32="S5 Assembly",AC32,IF(E32="S6 Bring-up",AG32,AK32)))))))))</f>
        <v/>
      </c>
      <c r="G32" s="33" t="str">
        <f aca="false">IF($C32="","",IF(E32="All Stages Closed","",IF(E32="S1 Schematic",IF(N32="","Not added",N32),IF(E32="S2 PCB Layout",IF(R32="","Not added",R32),IF(E32="S3 SI &amp; PI",IF(V32="","Not added",V32),IF(E32="S4 Bare-PCB Fab",IF(Z32="","Not added",Z32),IF(E32="S5 Assembly",IF(AD32="","Not added",AD32),IF(E32="S6 Bring-up",IF(AH32="","Not added",AH32),IF(AL32="","Not added",AL32)))))))))</f>
        <v/>
      </c>
      <c r="H32" s="32" t="str">
        <f aca="true">IF($C32="","",IF(OR(F32="Completed",F32="Cancelled"),"",IF(NOT(ISNUMBER(G32)),"No date set",IF(TODAY()&gt;G32,TODAY()-G32&amp;" days late",G32-TODAY()&amp;" days left"))))</f>
        <v/>
      </c>
      <c r="I32" s="31" t="str">
        <f aca="false">IF($C32="","",COUNTIF(M32,"Completed")+COUNTIF(Q32,"Completed")+COUNTIF(U32,"Completed")+COUNTIF(Y32,"Completed")+COUNTIF(AC32,"Completed")+COUNTIF(AG32,"Completed")+COUNTIF(AK32,"Completed"))</f>
        <v/>
      </c>
      <c r="J32" s="31" t="str">
        <f aca="false">IF($C32="","",7-(COUNTIF(M32,"NA")+COUNTIF(Q32,"NA")+COUNTIF(U32,"NA")+COUNTIF(Y32,"NA")+COUNTIF(AC32,"NA")+COUNTIF(AG32,"NA")+COUNTIF(AK32,"NA")))</f>
        <v/>
      </c>
      <c r="K32" s="34" t="str">
        <f aca="false">IFERROR(I32/J32,"")</f>
        <v/>
      </c>
      <c r="L32" s="29"/>
      <c r="M32" s="35"/>
      <c r="N32" s="36"/>
      <c r="O32" s="36"/>
      <c r="P32" s="29"/>
      <c r="Q32" s="35"/>
      <c r="R32" s="36"/>
      <c r="S32" s="36"/>
      <c r="T32" s="29"/>
      <c r="U32" s="35"/>
      <c r="V32" s="36"/>
      <c r="W32" s="36"/>
      <c r="X32" s="29"/>
      <c r="Y32" s="35"/>
      <c r="Z32" s="36"/>
      <c r="AA32" s="36"/>
      <c r="AB32" s="29"/>
      <c r="AC32" s="35"/>
      <c r="AD32" s="36"/>
      <c r="AE32" s="36"/>
      <c r="AF32" s="29"/>
      <c r="AG32" s="35"/>
      <c r="AH32" s="36"/>
      <c r="AI32" s="36"/>
      <c r="AJ32" s="29"/>
      <c r="AK32" s="35"/>
      <c r="AL32" s="36"/>
      <c r="AM32" s="36"/>
      <c r="AN32" s="29"/>
      <c r="AO32" s="29"/>
      <c r="AP32" s="29"/>
      <c r="AQ32" s="37"/>
      <c r="AR32" s="29"/>
      <c r="AS32" s="38" t="str">
        <f aca="false">IF($C32="","",IF(OR(F32="Completed",F32="Cancelled"),"",IF(AND(OR(F32="On Hold",ISNUMBER(VALUE(LEFT(H32,2)))),AR32=""),"Reason not given","")))</f>
        <v/>
      </c>
      <c r="AT32" s="30"/>
      <c r="AU32" s="30"/>
    </row>
    <row r="33" customFormat="false" ht="19.5" hidden="false" customHeight="true" outlineLevel="0" collapsed="false">
      <c r="A33" s="28" t="str">
        <f aca="false">IF($C33="","",COUNTA($C$17:$C33))</f>
        <v/>
      </c>
      <c r="B33" s="29"/>
      <c r="C33" s="30"/>
      <c r="D33" s="29"/>
      <c r="E33" s="31" t="str">
        <f aca="false">IF($C33="","",IF(NOT(OR(M33="Completed",M33="NA",M33="Cancelled")),"S1 Schematic",IF(NOT(OR(Q33="Completed",Q33="NA",Q33="Cancelled")),"S2 PCB Layout",IF(NOT(OR(U33="Completed",U33="NA",U33="Cancelled")),"S3 SI &amp; PI",IF(NOT(OR(Y33="Completed",Y33="NA",Y33="Cancelled")),"S4 Bare-PCB Fab",IF(NOT(OR(AC33="Completed",AC33="NA",AC33="Cancelled")),"S5 Assembly",IF(NOT(OR(AG33="Completed",AG33="NA",AG33="Cancelled")),"S6 Bring-up",IF(NOT(OR(AK33="Completed",AK33="NA",AK33="Cancelled")),"S7 BOM Procurement","All Stages Closed"))))))))</f>
        <v/>
      </c>
      <c r="F33" s="32" t="str">
        <f aca="false">IF($C33="","",IF(COUNTIF(M33,"Cancelled")+COUNTIF(Q33,"Cancelled")+COUNTIF(U33,"Cancelled")+COUNTIF(Y33,"Cancelled")+COUNTIF(AC33,"Cancelled")+COUNTIF(AG33,"Cancelled")+COUNTIF(AK33,"Cancelled")&gt;0,"Cancelled",IF(E33="All Stages Closed","Completed",IF(E33="S1 Schematic",M33,IF(E33="S2 PCB Layout",Q33,IF(E33="S3 SI &amp; PI",U33,IF(E33="S4 Bare-PCB Fab",Y33,IF(E33="S5 Assembly",AC33,IF(E33="S6 Bring-up",AG33,AK33)))))))))</f>
        <v/>
      </c>
      <c r="G33" s="33" t="str">
        <f aca="false">IF($C33="","",IF(E33="All Stages Closed","",IF(E33="S1 Schematic",IF(N33="","Not added",N33),IF(E33="S2 PCB Layout",IF(R33="","Not added",R33),IF(E33="S3 SI &amp; PI",IF(V33="","Not added",V33),IF(E33="S4 Bare-PCB Fab",IF(Z33="","Not added",Z33),IF(E33="S5 Assembly",IF(AD33="","Not added",AD33),IF(E33="S6 Bring-up",IF(AH33="","Not added",AH33),IF(AL33="","Not added",AL33)))))))))</f>
        <v/>
      </c>
      <c r="H33" s="32" t="str">
        <f aca="true">IF($C33="","",IF(OR(F33="Completed",F33="Cancelled"),"",IF(NOT(ISNUMBER(G33)),"No date set",IF(TODAY()&gt;G33,TODAY()-G33&amp;" days late",G33-TODAY()&amp;" days left"))))</f>
        <v/>
      </c>
      <c r="I33" s="31" t="str">
        <f aca="false">IF($C33="","",COUNTIF(M33,"Completed")+COUNTIF(Q33,"Completed")+COUNTIF(U33,"Completed")+COUNTIF(Y33,"Completed")+COUNTIF(AC33,"Completed")+COUNTIF(AG33,"Completed")+COUNTIF(AK33,"Completed"))</f>
        <v/>
      </c>
      <c r="J33" s="31" t="str">
        <f aca="false">IF($C33="","",7-(COUNTIF(M33,"NA")+COUNTIF(Q33,"NA")+COUNTIF(U33,"NA")+COUNTIF(Y33,"NA")+COUNTIF(AC33,"NA")+COUNTIF(AG33,"NA")+COUNTIF(AK33,"NA")))</f>
        <v/>
      </c>
      <c r="K33" s="34" t="str">
        <f aca="false">IFERROR(I33/J33,"")</f>
        <v/>
      </c>
      <c r="L33" s="29"/>
      <c r="M33" s="35"/>
      <c r="N33" s="36"/>
      <c r="O33" s="36"/>
      <c r="P33" s="29"/>
      <c r="Q33" s="35"/>
      <c r="R33" s="36"/>
      <c r="S33" s="36"/>
      <c r="T33" s="29"/>
      <c r="U33" s="35"/>
      <c r="V33" s="36"/>
      <c r="W33" s="36"/>
      <c r="X33" s="29"/>
      <c r="Y33" s="35"/>
      <c r="Z33" s="36"/>
      <c r="AA33" s="36"/>
      <c r="AB33" s="29"/>
      <c r="AC33" s="35"/>
      <c r="AD33" s="36"/>
      <c r="AE33" s="36"/>
      <c r="AF33" s="29"/>
      <c r="AG33" s="35"/>
      <c r="AH33" s="36"/>
      <c r="AI33" s="36"/>
      <c r="AJ33" s="29"/>
      <c r="AK33" s="35"/>
      <c r="AL33" s="36"/>
      <c r="AM33" s="36"/>
      <c r="AN33" s="29"/>
      <c r="AO33" s="29"/>
      <c r="AP33" s="29"/>
      <c r="AQ33" s="37"/>
      <c r="AR33" s="29"/>
      <c r="AS33" s="38" t="str">
        <f aca="false">IF($C33="","",IF(OR(F33="Completed",F33="Cancelled"),"",IF(AND(OR(F33="On Hold",ISNUMBER(VALUE(LEFT(H33,2)))),AR33=""),"Reason not given","")))</f>
        <v/>
      </c>
      <c r="AT33" s="30"/>
      <c r="AU33" s="30"/>
    </row>
    <row r="34" customFormat="false" ht="19.5" hidden="false" customHeight="true" outlineLevel="0" collapsed="false">
      <c r="A34" s="28" t="str">
        <f aca="false">IF($C34="","",COUNTA($C$17:$C34))</f>
        <v/>
      </c>
      <c r="B34" s="29"/>
      <c r="C34" s="30"/>
      <c r="D34" s="29"/>
      <c r="E34" s="31" t="str">
        <f aca="false">IF($C34="","",IF(NOT(OR(M34="Completed",M34="NA",M34="Cancelled")),"S1 Schematic",IF(NOT(OR(Q34="Completed",Q34="NA",Q34="Cancelled")),"S2 PCB Layout",IF(NOT(OR(U34="Completed",U34="NA",U34="Cancelled")),"S3 SI &amp; PI",IF(NOT(OR(Y34="Completed",Y34="NA",Y34="Cancelled")),"S4 Bare-PCB Fab",IF(NOT(OR(AC34="Completed",AC34="NA",AC34="Cancelled")),"S5 Assembly",IF(NOT(OR(AG34="Completed",AG34="NA",AG34="Cancelled")),"S6 Bring-up",IF(NOT(OR(AK34="Completed",AK34="NA",AK34="Cancelled")),"S7 BOM Procurement","All Stages Closed"))))))))</f>
        <v/>
      </c>
      <c r="F34" s="32" t="str">
        <f aca="false">IF($C34="","",IF(COUNTIF(M34,"Cancelled")+COUNTIF(Q34,"Cancelled")+COUNTIF(U34,"Cancelled")+COUNTIF(Y34,"Cancelled")+COUNTIF(AC34,"Cancelled")+COUNTIF(AG34,"Cancelled")+COUNTIF(AK34,"Cancelled")&gt;0,"Cancelled",IF(E34="All Stages Closed","Completed",IF(E34="S1 Schematic",M34,IF(E34="S2 PCB Layout",Q34,IF(E34="S3 SI &amp; PI",U34,IF(E34="S4 Bare-PCB Fab",Y34,IF(E34="S5 Assembly",AC34,IF(E34="S6 Bring-up",AG34,AK34)))))))))</f>
        <v/>
      </c>
      <c r="G34" s="33" t="str">
        <f aca="false">IF($C34="","",IF(E34="All Stages Closed","",IF(E34="S1 Schematic",IF(N34="","Not added",N34),IF(E34="S2 PCB Layout",IF(R34="","Not added",R34),IF(E34="S3 SI &amp; PI",IF(V34="","Not added",V34),IF(E34="S4 Bare-PCB Fab",IF(Z34="","Not added",Z34),IF(E34="S5 Assembly",IF(AD34="","Not added",AD34),IF(E34="S6 Bring-up",IF(AH34="","Not added",AH34),IF(AL34="","Not added",AL34)))))))))</f>
        <v/>
      </c>
      <c r="H34" s="32" t="str">
        <f aca="true">IF($C34="","",IF(OR(F34="Completed",F34="Cancelled"),"",IF(NOT(ISNUMBER(G34)),"No date set",IF(TODAY()&gt;G34,TODAY()-G34&amp;" days late",G34-TODAY()&amp;" days left"))))</f>
        <v/>
      </c>
      <c r="I34" s="31" t="str">
        <f aca="false">IF($C34="","",COUNTIF(M34,"Completed")+COUNTIF(Q34,"Completed")+COUNTIF(U34,"Completed")+COUNTIF(Y34,"Completed")+COUNTIF(AC34,"Completed")+COUNTIF(AG34,"Completed")+COUNTIF(AK34,"Completed"))</f>
        <v/>
      </c>
      <c r="J34" s="31" t="str">
        <f aca="false">IF($C34="","",7-(COUNTIF(M34,"NA")+COUNTIF(Q34,"NA")+COUNTIF(U34,"NA")+COUNTIF(Y34,"NA")+COUNTIF(AC34,"NA")+COUNTIF(AG34,"NA")+COUNTIF(AK34,"NA")))</f>
        <v/>
      </c>
      <c r="K34" s="34" t="str">
        <f aca="false">IFERROR(I34/J34,"")</f>
        <v/>
      </c>
      <c r="L34" s="29"/>
      <c r="M34" s="35"/>
      <c r="N34" s="36"/>
      <c r="O34" s="36"/>
      <c r="P34" s="29"/>
      <c r="Q34" s="35"/>
      <c r="R34" s="36"/>
      <c r="S34" s="36"/>
      <c r="T34" s="29"/>
      <c r="U34" s="35"/>
      <c r="V34" s="36"/>
      <c r="W34" s="36"/>
      <c r="X34" s="29"/>
      <c r="Y34" s="35"/>
      <c r="Z34" s="36"/>
      <c r="AA34" s="36"/>
      <c r="AB34" s="29"/>
      <c r="AC34" s="35"/>
      <c r="AD34" s="36"/>
      <c r="AE34" s="36"/>
      <c r="AF34" s="29"/>
      <c r="AG34" s="35"/>
      <c r="AH34" s="36"/>
      <c r="AI34" s="36"/>
      <c r="AJ34" s="29"/>
      <c r="AK34" s="35"/>
      <c r="AL34" s="36"/>
      <c r="AM34" s="36"/>
      <c r="AN34" s="29"/>
      <c r="AO34" s="29"/>
      <c r="AP34" s="29"/>
      <c r="AQ34" s="37"/>
      <c r="AR34" s="29"/>
      <c r="AS34" s="38" t="str">
        <f aca="false">IF($C34="","",IF(OR(F34="Completed",F34="Cancelled"),"",IF(AND(OR(F34="On Hold",ISNUMBER(VALUE(LEFT(H34,2)))),AR34=""),"Reason not given","")))</f>
        <v/>
      </c>
      <c r="AT34" s="30"/>
      <c r="AU34" s="30"/>
    </row>
    <row r="35" customFormat="false" ht="19.5" hidden="false" customHeight="true" outlineLevel="0" collapsed="false">
      <c r="A35" s="28" t="str">
        <f aca="false">IF($C35="","",COUNTA($C$17:$C35))</f>
        <v/>
      </c>
      <c r="B35" s="29"/>
      <c r="C35" s="30"/>
      <c r="D35" s="29"/>
      <c r="E35" s="31" t="str">
        <f aca="false">IF($C35="","",IF(NOT(OR(M35="Completed",M35="NA",M35="Cancelled")),"S1 Schematic",IF(NOT(OR(Q35="Completed",Q35="NA",Q35="Cancelled")),"S2 PCB Layout",IF(NOT(OR(U35="Completed",U35="NA",U35="Cancelled")),"S3 SI &amp; PI",IF(NOT(OR(Y35="Completed",Y35="NA",Y35="Cancelled")),"S4 Bare-PCB Fab",IF(NOT(OR(AC35="Completed",AC35="NA",AC35="Cancelled")),"S5 Assembly",IF(NOT(OR(AG35="Completed",AG35="NA",AG35="Cancelled")),"S6 Bring-up",IF(NOT(OR(AK35="Completed",AK35="NA",AK35="Cancelled")),"S7 BOM Procurement","All Stages Closed"))))))))</f>
        <v/>
      </c>
      <c r="F35" s="32" t="str">
        <f aca="false">IF($C35="","",IF(COUNTIF(M35,"Cancelled")+COUNTIF(Q35,"Cancelled")+COUNTIF(U35,"Cancelled")+COUNTIF(Y35,"Cancelled")+COUNTIF(AC35,"Cancelled")+COUNTIF(AG35,"Cancelled")+COUNTIF(AK35,"Cancelled")&gt;0,"Cancelled",IF(E35="All Stages Closed","Completed",IF(E35="S1 Schematic",M35,IF(E35="S2 PCB Layout",Q35,IF(E35="S3 SI &amp; PI",U35,IF(E35="S4 Bare-PCB Fab",Y35,IF(E35="S5 Assembly",AC35,IF(E35="S6 Bring-up",AG35,AK35)))))))))</f>
        <v/>
      </c>
      <c r="G35" s="33" t="str">
        <f aca="false">IF($C35="","",IF(E35="All Stages Closed","",IF(E35="S1 Schematic",IF(N35="","Not added",N35),IF(E35="S2 PCB Layout",IF(R35="","Not added",R35),IF(E35="S3 SI &amp; PI",IF(V35="","Not added",V35),IF(E35="S4 Bare-PCB Fab",IF(Z35="","Not added",Z35),IF(E35="S5 Assembly",IF(AD35="","Not added",AD35),IF(E35="S6 Bring-up",IF(AH35="","Not added",AH35),IF(AL35="","Not added",AL35)))))))))</f>
        <v/>
      </c>
      <c r="H35" s="32" t="str">
        <f aca="true">IF($C35="","",IF(OR(F35="Completed",F35="Cancelled"),"",IF(NOT(ISNUMBER(G35)),"No date set",IF(TODAY()&gt;G35,TODAY()-G35&amp;" days late",G35-TODAY()&amp;" days left"))))</f>
        <v/>
      </c>
      <c r="I35" s="31" t="str">
        <f aca="false">IF($C35="","",COUNTIF(M35,"Completed")+COUNTIF(Q35,"Completed")+COUNTIF(U35,"Completed")+COUNTIF(Y35,"Completed")+COUNTIF(AC35,"Completed")+COUNTIF(AG35,"Completed")+COUNTIF(AK35,"Completed"))</f>
        <v/>
      </c>
      <c r="J35" s="31" t="str">
        <f aca="false">IF($C35="","",7-(COUNTIF(M35,"NA")+COUNTIF(Q35,"NA")+COUNTIF(U35,"NA")+COUNTIF(Y35,"NA")+COUNTIF(AC35,"NA")+COUNTIF(AG35,"NA")+COUNTIF(AK35,"NA")))</f>
        <v/>
      </c>
      <c r="K35" s="34" t="str">
        <f aca="false">IFERROR(I35/J35,"")</f>
        <v/>
      </c>
      <c r="L35" s="29"/>
      <c r="M35" s="35"/>
      <c r="N35" s="36"/>
      <c r="O35" s="36"/>
      <c r="P35" s="29"/>
      <c r="Q35" s="35"/>
      <c r="R35" s="36"/>
      <c r="S35" s="36"/>
      <c r="T35" s="29"/>
      <c r="U35" s="35"/>
      <c r="V35" s="36"/>
      <c r="W35" s="36"/>
      <c r="X35" s="29"/>
      <c r="Y35" s="35"/>
      <c r="Z35" s="36"/>
      <c r="AA35" s="36"/>
      <c r="AB35" s="29"/>
      <c r="AC35" s="35"/>
      <c r="AD35" s="36"/>
      <c r="AE35" s="36"/>
      <c r="AF35" s="29"/>
      <c r="AG35" s="35"/>
      <c r="AH35" s="36"/>
      <c r="AI35" s="36"/>
      <c r="AJ35" s="29"/>
      <c r="AK35" s="35"/>
      <c r="AL35" s="36"/>
      <c r="AM35" s="36"/>
      <c r="AN35" s="29"/>
      <c r="AO35" s="29"/>
      <c r="AP35" s="29"/>
      <c r="AQ35" s="37"/>
      <c r="AR35" s="29"/>
      <c r="AS35" s="38" t="str">
        <f aca="false">IF($C35="","",IF(OR(F35="Completed",F35="Cancelled"),"",IF(AND(OR(F35="On Hold",ISNUMBER(VALUE(LEFT(H35,2)))),AR35=""),"Reason not given","")))</f>
        <v/>
      </c>
      <c r="AT35" s="30"/>
      <c r="AU35" s="30"/>
    </row>
    <row r="36" customFormat="false" ht="19.5" hidden="false" customHeight="true" outlineLevel="0" collapsed="false">
      <c r="A36" s="28" t="str">
        <f aca="false">IF($C36="","",COUNTA($C$17:$C36))</f>
        <v/>
      </c>
      <c r="B36" s="29"/>
      <c r="C36" s="30"/>
      <c r="D36" s="29"/>
      <c r="E36" s="31" t="str">
        <f aca="false">IF($C36="","",IF(NOT(OR(M36="Completed",M36="NA",M36="Cancelled")),"S1 Schematic",IF(NOT(OR(Q36="Completed",Q36="NA",Q36="Cancelled")),"S2 PCB Layout",IF(NOT(OR(U36="Completed",U36="NA",U36="Cancelled")),"S3 SI &amp; PI",IF(NOT(OR(Y36="Completed",Y36="NA",Y36="Cancelled")),"S4 Bare-PCB Fab",IF(NOT(OR(AC36="Completed",AC36="NA",AC36="Cancelled")),"S5 Assembly",IF(NOT(OR(AG36="Completed",AG36="NA",AG36="Cancelled")),"S6 Bring-up",IF(NOT(OR(AK36="Completed",AK36="NA",AK36="Cancelled")),"S7 BOM Procurement","All Stages Closed"))))))))</f>
        <v/>
      </c>
      <c r="F36" s="32" t="str">
        <f aca="false">IF($C36="","",IF(COUNTIF(M36,"Cancelled")+COUNTIF(Q36,"Cancelled")+COUNTIF(U36,"Cancelled")+COUNTIF(Y36,"Cancelled")+COUNTIF(AC36,"Cancelled")+COUNTIF(AG36,"Cancelled")+COUNTIF(AK36,"Cancelled")&gt;0,"Cancelled",IF(E36="All Stages Closed","Completed",IF(E36="S1 Schematic",M36,IF(E36="S2 PCB Layout",Q36,IF(E36="S3 SI &amp; PI",U36,IF(E36="S4 Bare-PCB Fab",Y36,IF(E36="S5 Assembly",AC36,IF(E36="S6 Bring-up",AG36,AK36)))))))))</f>
        <v/>
      </c>
      <c r="G36" s="33" t="str">
        <f aca="false">IF($C36="","",IF(E36="All Stages Closed","",IF(E36="S1 Schematic",IF(N36="","Not added",N36),IF(E36="S2 PCB Layout",IF(R36="","Not added",R36),IF(E36="S3 SI &amp; PI",IF(V36="","Not added",V36),IF(E36="S4 Bare-PCB Fab",IF(Z36="","Not added",Z36),IF(E36="S5 Assembly",IF(AD36="","Not added",AD36),IF(E36="S6 Bring-up",IF(AH36="","Not added",AH36),IF(AL36="","Not added",AL36)))))))))</f>
        <v/>
      </c>
      <c r="H36" s="32" t="str">
        <f aca="true">IF($C36="","",IF(OR(F36="Completed",F36="Cancelled"),"",IF(NOT(ISNUMBER(G36)),"No date set",IF(TODAY()&gt;G36,TODAY()-G36&amp;" days late",G36-TODAY()&amp;" days left"))))</f>
        <v/>
      </c>
      <c r="I36" s="31" t="str">
        <f aca="false">IF($C36="","",COUNTIF(M36,"Completed")+COUNTIF(Q36,"Completed")+COUNTIF(U36,"Completed")+COUNTIF(Y36,"Completed")+COUNTIF(AC36,"Completed")+COUNTIF(AG36,"Completed")+COUNTIF(AK36,"Completed"))</f>
        <v/>
      </c>
      <c r="J36" s="31" t="str">
        <f aca="false">IF($C36="","",7-(COUNTIF(M36,"NA")+COUNTIF(Q36,"NA")+COUNTIF(U36,"NA")+COUNTIF(Y36,"NA")+COUNTIF(AC36,"NA")+COUNTIF(AG36,"NA")+COUNTIF(AK36,"NA")))</f>
        <v/>
      </c>
      <c r="K36" s="34" t="str">
        <f aca="false">IFERROR(I36/J36,"")</f>
        <v/>
      </c>
      <c r="L36" s="29"/>
      <c r="M36" s="35"/>
      <c r="N36" s="36"/>
      <c r="O36" s="36"/>
      <c r="P36" s="29"/>
      <c r="Q36" s="35"/>
      <c r="R36" s="36"/>
      <c r="S36" s="36"/>
      <c r="T36" s="29"/>
      <c r="U36" s="35"/>
      <c r="V36" s="36"/>
      <c r="W36" s="36"/>
      <c r="X36" s="29"/>
      <c r="Y36" s="35"/>
      <c r="Z36" s="36"/>
      <c r="AA36" s="36"/>
      <c r="AB36" s="29"/>
      <c r="AC36" s="35"/>
      <c r="AD36" s="36"/>
      <c r="AE36" s="36"/>
      <c r="AF36" s="29"/>
      <c r="AG36" s="35"/>
      <c r="AH36" s="36"/>
      <c r="AI36" s="36"/>
      <c r="AJ36" s="29"/>
      <c r="AK36" s="35"/>
      <c r="AL36" s="36"/>
      <c r="AM36" s="36"/>
      <c r="AN36" s="29"/>
      <c r="AO36" s="29"/>
      <c r="AP36" s="29"/>
      <c r="AQ36" s="37"/>
      <c r="AR36" s="29"/>
      <c r="AS36" s="38" t="str">
        <f aca="false">IF($C36="","",IF(OR(F36="Completed",F36="Cancelled"),"",IF(AND(OR(F36="On Hold",ISNUMBER(VALUE(LEFT(H36,2)))),AR36=""),"Reason not given","")))</f>
        <v/>
      </c>
      <c r="AT36" s="30"/>
      <c r="AU36" s="30"/>
    </row>
    <row r="37" customFormat="false" ht="19.5" hidden="false" customHeight="true" outlineLevel="0" collapsed="false">
      <c r="A37" s="28" t="str">
        <f aca="false">IF($C37="","",COUNTA($C$17:$C37))</f>
        <v/>
      </c>
      <c r="B37" s="29"/>
      <c r="C37" s="30"/>
      <c r="D37" s="29"/>
      <c r="E37" s="31" t="str">
        <f aca="false">IF($C37="","",IF(NOT(OR(M37="Completed",M37="NA",M37="Cancelled")),"S1 Schematic",IF(NOT(OR(Q37="Completed",Q37="NA",Q37="Cancelled")),"S2 PCB Layout",IF(NOT(OR(U37="Completed",U37="NA",U37="Cancelled")),"S3 SI &amp; PI",IF(NOT(OR(Y37="Completed",Y37="NA",Y37="Cancelled")),"S4 Bare-PCB Fab",IF(NOT(OR(AC37="Completed",AC37="NA",AC37="Cancelled")),"S5 Assembly",IF(NOT(OR(AG37="Completed",AG37="NA",AG37="Cancelled")),"S6 Bring-up",IF(NOT(OR(AK37="Completed",AK37="NA",AK37="Cancelled")),"S7 BOM Procurement","All Stages Closed"))))))))</f>
        <v/>
      </c>
      <c r="F37" s="32" t="str">
        <f aca="false">IF($C37="","",IF(COUNTIF(M37,"Cancelled")+COUNTIF(Q37,"Cancelled")+COUNTIF(U37,"Cancelled")+COUNTIF(Y37,"Cancelled")+COUNTIF(AC37,"Cancelled")+COUNTIF(AG37,"Cancelled")+COUNTIF(AK37,"Cancelled")&gt;0,"Cancelled",IF(E37="All Stages Closed","Completed",IF(E37="S1 Schematic",M37,IF(E37="S2 PCB Layout",Q37,IF(E37="S3 SI &amp; PI",U37,IF(E37="S4 Bare-PCB Fab",Y37,IF(E37="S5 Assembly",AC37,IF(E37="S6 Bring-up",AG37,AK37)))))))))</f>
        <v/>
      </c>
      <c r="G37" s="33" t="str">
        <f aca="false">IF($C37="","",IF(E37="All Stages Closed","",IF(E37="S1 Schematic",IF(N37="","Not added",N37),IF(E37="S2 PCB Layout",IF(R37="","Not added",R37),IF(E37="S3 SI &amp; PI",IF(V37="","Not added",V37),IF(E37="S4 Bare-PCB Fab",IF(Z37="","Not added",Z37),IF(E37="S5 Assembly",IF(AD37="","Not added",AD37),IF(E37="S6 Bring-up",IF(AH37="","Not added",AH37),IF(AL37="","Not added",AL37)))))))))</f>
        <v/>
      </c>
      <c r="H37" s="32" t="str">
        <f aca="true">IF($C37="","",IF(OR(F37="Completed",F37="Cancelled"),"",IF(NOT(ISNUMBER(G37)),"No date set",IF(TODAY()&gt;G37,TODAY()-G37&amp;" days late",G37-TODAY()&amp;" days left"))))</f>
        <v/>
      </c>
      <c r="I37" s="31" t="str">
        <f aca="false">IF($C37="","",COUNTIF(M37,"Completed")+COUNTIF(Q37,"Completed")+COUNTIF(U37,"Completed")+COUNTIF(Y37,"Completed")+COUNTIF(AC37,"Completed")+COUNTIF(AG37,"Completed")+COUNTIF(AK37,"Completed"))</f>
        <v/>
      </c>
      <c r="J37" s="31" t="str">
        <f aca="false">IF($C37="","",7-(COUNTIF(M37,"NA")+COUNTIF(Q37,"NA")+COUNTIF(U37,"NA")+COUNTIF(Y37,"NA")+COUNTIF(AC37,"NA")+COUNTIF(AG37,"NA")+COUNTIF(AK37,"NA")))</f>
        <v/>
      </c>
      <c r="K37" s="34" t="str">
        <f aca="false">IFERROR(I37/J37,"")</f>
        <v/>
      </c>
      <c r="L37" s="29"/>
      <c r="M37" s="35"/>
      <c r="N37" s="36"/>
      <c r="O37" s="36"/>
      <c r="P37" s="29"/>
      <c r="Q37" s="35"/>
      <c r="R37" s="36"/>
      <c r="S37" s="36"/>
      <c r="T37" s="29"/>
      <c r="U37" s="35"/>
      <c r="V37" s="36"/>
      <c r="W37" s="36"/>
      <c r="X37" s="29"/>
      <c r="Y37" s="35"/>
      <c r="Z37" s="36"/>
      <c r="AA37" s="36"/>
      <c r="AB37" s="29"/>
      <c r="AC37" s="35"/>
      <c r="AD37" s="36"/>
      <c r="AE37" s="36"/>
      <c r="AF37" s="29"/>
      <c r="AG37" s="35"/>
      <c r="AH37" s="36"/>
      <c r="AI37" s="36"/>
      <c r="AJ37" s="29"/>
      <c r="AK37" s="35"/>
      <c r="AL37" s="36"/>
      <c r="AM37" s="36"/>
      <c r="AN37" s="29"/>
      <c r="AO37" s="29"/>
      <c r="AP37" s="29"/>
      <c r="AQ37" s="37"/>
      <c r="AR37" s="29"/>
      <c r="AS37" s="38" t="str">
        <f aca="false">IF($C37="","",IF(OR(F37="Completed",F37="Cancelled"),"",IF(AND(OR(F37="On Hold",ISNUMBER(VALUE(LEFT(H37,2)))),AR37=""),"Reason not given","")))</f>
        <v/>
      </c>
      <c r="AT37" s="30"/>
      <c r="AU37" s="30"/>
    </row>
    <row r="38" customFormat="false" ht="19.5" hidden="false" customHeight="true" outlineLevel="0" collapsed="false">
      <c r="A38" s="28" t="str">
        <f aca="false">IF($C38="","",COUNTA($C$17:$C38))</f>
        <v/>
      </c>
      <c r="B38" s="29"/>
      <c r="C38" s="30"/>
      <c r="D38" s="29"/>
      <c r="E38" s="31" t="str">
        <f aca="false">IF($C38="","",IF(NOT(OR(M38="Completed",M38="NA",M38="Cancelled")),"S1 Schematic",IF(NOT(OR(Q38="Completed",Q38="NA",Q38="Cancelled")),"S2 PCB Layout",IF(NOT(OR(U38="Completed",U38="NA",U38="Cancelled")),"S3 SI &amp; PI",IF(NOT(OR(Y38="Completed",Y38="NA",Y38="Cancelled")),"S4 Bare-PCB Fab",IF(NOT(OR(AC38="Completed",AC38="NA",AC38="Cancelled")),"S5 Assembly",IF(NOT(OR(AG38="Completed",AG38="NA",AG38="Cancelled")),"S6 Bring-up",IF(NOT(OR(AK38="Completed",AK38="NA",AK38="Cancelled")),"S7 BOM Procurement","All Stages Closed"))))))))</f>
        <v/>
      </c>
      <c r="F38" s="32" t="str">
        <f aca="false">IF($C38="","",IF(COUNTIF(M38,"Cancelled")+COUNTIF(Q38,"Cancelled")+COUNTIF(U38,"Cancelled")+COUNTIF(Y38,"Cancelled")+COUNTIF(AC38,"Cancelled")+COUNTIF(AG38,"Cancelled")+COUNTIF(AK38,"Cancelled")&gt;0,"Cancelled",IF(E38="All Stages Closed","Completed",IF(E38="S1 Schematic",M38,IF(E38="S2 PCB Layout",Q38,IF(E38="S3 SI &amp; PI",U38,IF(E38="S4 Bare-PCB Fab",Y38,IF(E38="S5 Assembly",AC38,IF(E38="S6 Bring-up",AG38,AK38)))))))))</f>
        <v/>
      </c>
      <c r="G38" s="33" t="str">
        <f aca="false">IF($C38="","",IF(E38="All Stages Closed","",IF(E38="S1 Schematic",IF(N38="","Not added",N38),IF(E38="S2 PCB Layout",IF(R38="","Not added",R38),IF(E38="S3 SI &amp; PI",IF(V38="","Not added",V38),IF(E38="S4 Bare-PCB Fab",IF(Z38="","Not added",Z38),IF(E38="S5 Assembly",IF(AD38="","Not added",AD38),IF(E38="S6 Bring-up",IF(AH38="","Not added",AH38),IF(AL38="","Not added",AL38)))))))))</f>
        <v/>
      </c>
      <c r="H38" s="32" t="str">
        <f aca="true">IF($C38="","",IF(OR(F38="Completed",F38="Cancelled"),"",IF(NOT(ISNUMBER(G38)),"No date set",IF(TODAY()&gt;G38,TODAY()-G38&amp;" days late",G38-TODAY()&amp;" days left"))))</f>
        <v/>
      </c>
      <c r="I38" s="31" t="str">
        <f aca="false">IF($C38="","",COUNTIF(M38,"Completed")+COUNTIF(Q38,"Completed")+COUNTIF(U38,"Completed")+COUNTIF(Y38,"Completed")+COUNTIF(AC38,"Completed")+COUNTIF(AG38,"Completed")+COUNTIF(AK38,"Completed"))</f>
        <v/>
      </c>
      <c r="J38" s="31" t="str">
        <f aca="false">IF($C38="","",7-(COUNTIF(M38,"NA")+COUNTIF(Q38,"NA")+COUNTIF(U38,"NA")+COUNTIF(Y38,"NA")+COUNTIF(AC38,"NA")+COUNTIF(AG38,"NA")+COUNTIF(AK38,"NA")))</f>
        <v/>
      </c>
      <c r="K38" s="34" t="str">
        <f aca="false">IFERROR(I38/J38,"")</f>
        <v/>
      </c>
      <c r="L38" s="29"/>
      <c r="M38" s="35"/>
      <c r="N38" s="36"/>
      <c r="O38" s="36"/>
      <c r="P38" s="29"/>
      <c r="Q38" s="35"/>
      <c r="R38" s="36"/>
      <c r="S38" s="36"/>
      <c r="T38" s="29"/>
      <c r="U38" s="35"/>
      <c r="V38" s="36"/>
      <c r="W38" s="36"/>
      <c r="X38" s="29"/>
      <c r="Y38" s="35"/>
      <c r="Z38" s="36"/>
      <c r="AA38" s="36"/>
      <c r="AB38" s="29"/>
      <c r="AC38" s="35"/>
      <c r="AD38" s="36"/>
      <c r="AE38" s="36"/>
      <c r="AF38" s="29"/>
      <c r="AG38" s="35"/>
      <c r="AH38" s="36"/>
      <c r="AI38" s="36"/>
      <c r="AJ38" s="29"/>
      <c r="AK38" s="35"/>
      <c r="AL38" s="36"/>
      <c r="AM38" s="36"/>
      <c r="AN38" s="29"/>
      <c r="AO38" s="29"/>
      <c r="AP38" s="29"/>
      <c r="AQ38" s="37"/>
      <c r="AR38" s="29"/>
      <c r="AS38" s="38" t="str">
        <f aca="false">IF($C38="","",IF(OR(F38="Completed",F38="Cancelled"),"",IF(AND(OR(F38="On Hold",ISNUMBER(VALUE(LEFT(H38,2)))),AR38=""),"Reason not given","")))</f>
        <v/>
      </c>
      <c r="AT38" s="30"/>
      <c r="AU38" s="30"/>
    </row>
    <row r="39" customFormat="false" ht="19.5" hidden="false" customHeight="true" outlineLevel="0" collapsed="false">
      <c r="A39" s="28" t="str">
        <f aca="false">IF($C39="","",COUNTA($C$17:$C39))</f>
        <v/>
      </c>
      <c r="B39" s="29"/>
      <c r="C39" s="30"/>
      <c r="D39" s="29"/>
      <c r="E39" s="31" t="str">
        <f aca="false">IF($C39="","",IF(NOT(OR(M39="Completed",M39="NA",M39="Cancelled")),"S1 Schematic",IF(NOT(OR(Q39="Completed",Q39="NA",Q39="Cancelled")),"S2 PCB Layout",IF(NOT(OR(U39="Completed",U39="NA",U39="Cancelled")),"S3 SI &amp; PI",IF(NOT(OR(Y39="Completed",Y39="NA",Y39="Cancelled")),"S4 Bare-PCB Fab",IF(NOT(OR(AC39="Completed",AC39="NA",AC39="Cancelled")),"S5 Assembly",IF(NOT(OR(AG39="Completed",AG39="NA",AG39="Cancelled")),"S6 Bring-up",IF(NOT(OR(AK39="Completed",AK39="NA",AK39="Cancelled")),"S7 BOM Procurement","All Stages Closed"))))))))</f>
        <v/>
      </c>
      <c r="F39" s="32" t="str">
        <f aca="false">IF($C39="","",IF(COUNTIF(M39,"Cancelled")+COUNTIF(Q39,"Cancelled")+COUNTIF(U39,"Cancelled")+COUNTIF(Y39,"Cancelled")+COUNTIF(AC39,"Cancelled")+COUNTIF(AG39,"Cancelled")+COUNTIF(AK39,"Cancelled")&gt;0,"Cancelled",IF(E39="All Stages Closed","Completed",IF(E39="S1 Schematic",M39,IF(E39="S2 PCB Layout",Q39,IF(E39="S3 SI &amp; PI",U39,IF(E39="S4 Bare-PCB Fab",Y39,IF(E39="S5 Assembly",AC39,IF(E39="S6 Bring-up",AG39,AK39)))))))))</f>
        <v/>
      </c>
      <c r="G39" s="33" t="str">
        <f aca="false">IF($C39="","",IF(E39="All Stages Closed","",IF(E39="S1 Schematic",IF(N39="","Not added",N39),IF(E39="S2 PCB Layout",IF(R39="","Not added",R39),IF(E39="S3 SI &amp; PI",IF(V39="","Not added",V39),IF(E39="S4 Bare-PCB Fab",IF(Z39="","Not added",Z39),IF(E39="S5 Assembly",IF(AD39="","Not added",AD39),IF(E39="S6 Bring-up",IF(AH39="","Not added",AH39),IF(AL39="","Not added",AL39)))))))))</f>
        <v/>
      </c>
      <c r="H39" s="32" t="str">
        <f aca="true">IF($C39="","",IF(OR(F39="Completed",F39="Cancelled"),"",IF(NOT(ISNUMBER(G39)),"No date set",IF(TODAY()&gt;G39,TODAY()-G39&amp;" days late",G39-TODAY()&amp;" days left"))))</f>
        <v/>
      </c>
      <c r="I39" s="31" t="str">
        <f aca="false">IF($C39="","",COUNTIF(M39,"Completed")+COUNTIF(Q39,"Completed")+COUNTIF(U39,"Completed")+COUNTIF(Y39,"Completed")+COUNTIF(AC39,"Completed")+COUNTIF(AG39,"Completed")+COUNTIF(AK39,"Completed"))</f>
        <v/>
      </c>
      <c r="J39" s="31" t="str">
        <f aca="false">IF($C39="","",7-(COUNTIF(M39,"NA")+COUNTIF(Q39,"NA")+COUNTIF(U39,"NA")+COUNTIF(Y39,"NA")+COUNTIF(AC39,"NA")+COUNTIF(AG39,"NA")+COUNTIF(AK39,"NA")))</f>
        <v/>
      </c>
      <c r="K39" s="34" t="str">
        <f aca="false">IFERROR(I39/J39,"")</f>
        <v/>
      </c>
      <c r="L39" s="29"/>
      <c r="M39" s="35"/>
      <c r="N39" s="36"/>
      <c r="O39" s="36"/>
      <c r="P39" s="29"/>
      <c r="Q39" s="35"/>
      <c r="R39" s="36"/>
      <c r="S39" s="36"/>
      <c r="T39" s="29"/>
      <c r="U39" s="35"/>
      <c r="V39" s="36"/>
      <c r="W39" s="36"/>
      <c r="X39" s="29"/>
      <c r="Y39" s="35"/>
      <c r="Z39" s="36"/>
      <c r="AA39" s="36"/>
      <c r="AB39" s="29"/>
      <c r="AC39" s="35"/>
      <c r="AD39" s="36"/>
      <c r="AE39" s="36"/>
      <c r="AF39" s="29"/>
      <c r="AG39" s="35"/>
      <c r="AH39" s="36"/>
      <c r="AI39" s="36"/>
      <c r="AJ39" s="29"/>
      <c r="AK39" s="35"/>
      <c r="AL39" s="36"/>
      <c r="AM39" s="36"/>
      <c r="AN39" s="29"/>
      <c r="AO39" s="29"/>
      <c r="AP39" s="29"/>
      <c r="AQ39" s="37"/>
      <c r="AR39" s="29"/>
      <c r="AS39" s="38" t="str">
        <f aca="false">IF($C39="","",IF(OR(F39="Completed",F39="Cancelled"),"",IF(AND(OR(F39="On Hold",ISNUMBER(VALUE(LEFT(H39,2)))),AR39=""),"Reason not given","")))</f>
        <v/>
      </c>
      <c r="AT39" s="30"/>
      <c r="AU39" s="30"/>
    </row>
    <row r="40" customFormat="false" ht="19.5" hidden="false" customHeight="true" outlineLevel="0" collapsed="false">
      <c r="A40" s="28" t="str">
        <f aca="false">IF($C40="","",COUNTA($C$17:$C40))</f>
        <v/>
      </c>
      <c r="B40" s="29"/>
      <c r="C40" s="30"/>
      <c r="D40" s="29"/>
      <c r="E40" s="31" t="str">
        <f aca="false">IF($C40="","",IF(NOT(OR(M40="Completed",M40="NA",M40="Cancelled")),"S1 Schematic",IF(NOT(OR(Q40="Completed",Q40="NA",Q40="Cancelled")),"S2 PCB Layout",IF(NOT(OR(U40="Completed",U40="NA",U40="Cancelled")),"S3 SI &amp; PI",IF(NOT(OR(Y40="Completed",Y40="NA",Y40="Cancelled")),"S4 Bare-PCB Fab",IF(NOT(OR(AC40="Completed",AC40="NA",AC40="Cancelled")),"S5 Assembly",IF(NOT(OR(AG40="Completed",AG40="NA",AG40="Cancelled")),"S6 Bring-up",IF(NOT(OR(AK40="Completed",AK40="NA",AK40="Cancelled")),"S7 BOM Procurement","All Stages Closed"))))))))</f>
        <v/>
      </c>
      <c r="F40" s="32" t="str">
        <f aca="false">IF($C40="","",IF(COUNTIF(M40,"Cancelled")+COUNTIF(Q40,"Cancelled")+COUNTIF(U40,"Cancelled")+COUNTIF(Y40,"Cancelled")+COUNTIF(AC40,"Cancelled")+COUNTIF(AG40,"Cancelled")+COUNTIF(AK40,"Cancelled")&gt;0,"Cancelled",IF(E40="All Stages Closed","Completed",IF(E40="S1 Schematic",M40,IF(E40="S2 PCB Layout",Q40,IF(E40="S3 SI &amp; PI",U40,IF(E40="S4 Bare-PCB Fab",Y40,IF(E40="S5 Assembly",AC40,IF(E40="S6 Bring-up",AG40,AK40)))))))))</f>
        <v/>
      </c>
      <c r="G40" s="33" t="str">
        <f aca="false">IF($C40="","",IF(E40="All Stages Closed","",IF(E40="S1 Schematic",IF(N40="","Not added",N40),IF(E40="S2 PCB Layout",IF(R40="","Not added",R40),IF(E40="S3 SI &amp; PI",IF(V40="","Not added",V40),IF(E40="S4 Bare-PCB Fab",IF(Z40="","Not added",Z40),IF(E40="S5 Assembly",IF(AD40="","Not added",AD40),IF(E40="S6 Bring-up",IF(AH40="","Not added",AH40),IF(AL40="","Not added",AL40)))))))))</f>
        <v/>
      </c>
      <c r="H40" s="32" t="str">
        <f aca="true">IF($C40="","",IF(OR(F40="Completed",F40="Cancelled"),"",IF(NOT(ISNUMBER(G40)),"No date set",IF(TODAY()&gt;G40,TODAY()-G40&amp;" days late",G40-TODAY()&amp;" days left"))))</f>
        <v/>
      </c>
      <c r="I40" s="31" t="str">
        <f aca="false">IF($C40="","",COUNTIF(M40,"Completed")+COUNTIF(Q40,"Completed")+COUNTIF(U40,"Completed")+COUNTIF(Y40,"Completed")+COUNTIF(AC40,"Completed")+COUNTIF(AG40,"Completed")+COUNTIF(AK40,"Completed"))</f>
        <v/>
      </c>
      <c r="J40" s="31" t="str">
        <f aca="false">IF($C40="","",7-(COUNTIF(M40,"NA")+COUNTIF(Q40,"NA")+COUNTIF(U40,"NA")+COUNTIF(Y40,"NA")+COUNTIF(AC40,"NA")+COUNTIF(AG40,"NA")+COUNTIF(AK40,"NA")))</f>
        <v/>
      </c>
      <c r="K40" s="34" t="str">
        <f aca="false">IFERROR(I40/J40,"")</f>
        <v/>
      </c>
      <c r="L40" s="29"/>
      <c r="M40" s="35"/>
      <c r="N40" s="36"/>
      <c r="O40" s="36"/>
      <c r="P40" s="29"/>
      <c r="Q40" s="35"/>
      <c r="R40" s="36"/>
      <c r="S40" s="36"/>
      <c r="T40" s="29"/>
      <c r="U40" s="35"/>
      <c r="V40" s="36"/>
      <c r="W40" s="36"/>
      <c r="X40" s="29"/>
      <c r="Y40" s="35"/>
      <c r="Z40" s="36"/>
      <c r="AA40" s="36"/>
      <c r="AB40" s="29"/>
      <c r="AC40" s="35"/>
      <c r="AD40" s="36"/>
      <c r="AE40" s="36"/>
      <c r="AF40" s="29"/>
      <c r="AG40" s="35"/>
      <c r="AH40" s="36"/>
      <c r="AI40" s="36"/>
      <c r="AJ40" s="29"/>
      <c r="AK40" s="35"/>
      <c r="AL40" s="36"/>
      <c r="AM40" s="36"/>
      <c r="AN40" s="29"/>
      <c r="AO40" s="29"/>
      <c r="AP40" s="29"/>
      <c r="AQ40" s="37"/>
      <c r="AR40" s="29"/>
      <c r="AS40" s="38" t="str">
        <f aca="false">IF($C40="","",IF(OR(F40="Completed",F40="Cancelled"),"",IF(AND(OR(F40="On Hold",ISNUMBER(VALUE(LEFT(H40,2)))),AR40=""),"Reason not given","")))</f>
        <v/>
      </c>
      <c r="AT40" s="30"/>
      <c r="AU40" s="30"/>
    </row>
    <row r="41" customFormat="false" ht="19.5" hidden="false" customHeight="true" outlineLevel="0" collapsed="false">
      <c r="A41" s="28" t="str">
        <f aca="false">IF($C41="","",COUNTA($C$17:$C41))</f>
        <v/>
      </c>
      <c r="B41" s="29"/>
      <c r="C41" s="30"/>
      <c r="D41" s="29"/>
      <c r="E41" s="31" t="str">
        <f aca="false">IF($C41="","",IF(NOT(OR(M41="Completed",M41="NA",M41="Cancelled")),"S1 Schematic",IF(NOT(OR(Q41="Completed",Q41="NA",Q41="Cancelled")),"S2 PCB Layout",IF(NOT(OR(U41="Completed",U41="NA",U41="Cancelled")),"S3 SI &amp; PI",IF(NOT(OR(Y41="Completed",Y41="NA",Y41="Cancelled")),"S4 Bare-PCB Fab",IF(NOT(OR(AC41="Completed",AC41="NA",AC41="Cancelled")),"S5 Assembly",IF(NOT(OR(AG41="Completed",AG41="NA",AG41="Cancelled")),"S6 Bring-up",IF(NOT(OR(AK41="Completed",AK41="NA",AK41="Cancelled")),"S7 BOM Procurement","All Stages Closed"))))))))</f>
        <v/>
      </c>
      <c r="F41" s="32" t="str">
        <f aca="false">IF($C41="","",IF(COUNTIF(M41,"Cancelled")+COUNTIF(Q41,"Cancelled")+COUNTIF(U41,"Cancelled")+COUNTIF(Y41,"Cancelled")+COUNTIF(AC41,"Cancelled")+COUNTIF(AG41,"Cancelled")+COUNTIF(AK41,"Cancelled")&gt;0,"Cancelled",IF(E41="All Stages Closed","Completed",IF(E41="S1 Schematic",M41,IF(E41="S2 PCB Layout",Q41,IF(E41="S3 SI &amp; PI",U41,IF(E41="S4 Bare-PCB Fab",Y41,IF(E41="S5 Assembly",AC41,IF(E41="S6 Bring-up",AG41,AK41)))))))))</f>
        <v/>
      </c>
      <c r="G41" s="33" t="str">
        <f aca="false">IF($C41="","",IF(E41="All Stages Closed","",IF(E41="S1 Schematic",IF(N41="","Not added",N41),IF(E41="S2 PCB Layout",IF(R41="","Not added",R41),IF(E41="S3 SI &amp; PI",IF(V41="","Not added",V41),IF(E41="S4 Bare-PCB Fab",IF(Z41="","Not added",Z41),IF(E41="S5 Assembly",IF(AD41="","Not added",AD41),IF(E41="S6 Bring-up",IF(AH41="","Not added",AH41),IF(AL41="","Not added",AL41)))))))))</f>
        <v/>
      </c>
      <c r="H41" s="32" t="str">
        <f aca="true">IF($C41="","",IF(OR(F41="Completed",F41="Cancelled"),"",IF(NOT(ISNUMBER(G41)),"No date set",IF(TODAY()&gt;G41,TODAY()-G41&amp;" days late",G41-TODAY()&amp;" days left"))))</f>
        <v/>
      </c>
      <c r="I41" s="31" t="str">
        <f aca="false">IF($C41="","",COUNTIF(M41,"Completed")+COUNTIF(Q41,"Completed")+COUNTIF(U41,"Completed")+COUNTIF(Y41,"Completed")+COUNTIF(AC41,"Completed")+COUNTIF(AG41,"Completed")+COUNTIF(AK41,"Completed"))</f>
        <v/>
      </c>
      <c r="J41" s="31" t="str">
        <f aca="false">IF($C41="","",7-(COUNTIF(M41,"NA")+COUNTIF(Q41,"NA")+COUNTIF(U41,"NA")+COUNTIF(Y41,"NA")+COUNTIF(AC41,"NA")+COUNTIF(AG41,"NA")+COUNTIF(AK41,"NA")))</f>
        <v/>
      </c>
      <c r="K41" s="34" t="str">
        <f aca="false">IFERROR(I41/J41,"")</f>
        <v/>
      </c>
      <c r="L41" s="29"/>
      <c r="M41" s="35"/>
      <c r="N41" s="36"/>
      <c r="O41" s="36"/>
      <c r="P41" s="29"/>
      <c r="Q41" s="35"/>
      <c r="R41" s="36"/>
      <c r="S41" s="36"/>
      <c r="T41" s="29"/>
      <c r="U41" s="35"/>
      <c r="V41" s="36"/>
      <c r="W41" s="36"/>
      <c r="X41" s="29"/>
      <c r="Y41" s="35"/>
      <c r="Z41" s="36"/>
      <c r="AA41" s="36"/>
      <c r="AB41" s="29"/>
      <c r="AC41" s="35"/>
      <c r="AD41" s="36"/>
      <c r="AE41" s="36"/>
      <c r="AF41" s="29"/>
      <c r="AG41" s="35"/>
      <c r="AH41" s="36"/>
      <c r="AI41" s="36"/>
      <c r="AJ41" s="29"/>
      <c r="AK41" s="35"/>
      <c r="AL41" s="36"/>
      <c r="AM41" s="36"/>
      <c r="AN41" s="29"/>
      <c r="AO41" s="29"/>
      <c r="AP41" s="29"/>
      <c r="AQ41" s="37"/>
      <c r="AR41" s="29"/>
      <c r="AS41" s="38" t="str">
        <f aca="false">IF($C41="","",IF(OR(F41="Completed",F41="Cancelled"),"",IF(AND(OR(F41="On Hold",ISNUMBER(VALUE(LEFT(H41,2)))),AR41=""),"Reason not given","")))</f>
        <v/>
      </c>
      <c r="AT41" s="30"/>
      <c r="AU41" s="30"/>
    </row>
    <row r="42" customFormat="false" ht="19.5" hidden="false" customHeight="true" outlineLevel="0" collapsed="false">
      <c r="A42" s="28" t="str">
        <f aca="false">IF($C42="","",COUNTA($C$17:$C42))</f>
        <v/>
      </c>
      <c r="B42" s="29"/>
      <c r="C42" s="30"/>
      <c r="D42" s="29"/>
      <c r="E42" s="31" t="str">
        <f aca="false">IF($C42="","",IF(NOT(OR(M42="Completed",M42="NA",M42="Cancelled")),"S1 Schematic",IF(NOT(OR(Q42="Completed",Q42="NA",Q42="Cancelled")),"S2 PCB Layout",IF(NOT(OR(U42="Completed",U42="NA",U42="Cancelled")),"S3 SI &amp; PI",IF(NOT(OR(Y42="Completed",Y42="NA",Y42="Cancelled")),"S4 Bare-PCB Fab",IF(NOT(OR(AC42="Completed",AC42="NA",AC42="Cancelled")),"S5 Assembly",IF(NOT(OR(AG42="Completed",AG42="NA",AG42="Cancelled")),"S6 Bring-up",IF(NOT(OR(AK42="Completed",AK42="NA",AK42="Cancelled")),"S7 BOM Procurement","All Stages Closed"))))))))</f>
        <v/>
      </c>
      <c r="F42" s="32" t="str">
        <f aca="false">IF($C42="","",IF(COUNTIF(M42,"Cancelled")+COUNTIF(Q42,"Cancelled")+COUNTIF(U42,"Cancelled")+COUNTIF(Y42,"Cancelled")+COUNTIF(AC42,"Cancelled")+COUNTIF(AG42,"Cancelled")+COUNTIF(AK42,"Cancelled")&gt;0,"Cancelled",IF(E42="All Stages Closed","Completed",IF(E42="S1 Schematic",M42,IF(E42="S2 PCB Layout",Q42,IF(E42="S3 SI &amp; PI",U42,IF(E42="S4 Bare-PCB Fab",Y42,IF(E42="S5 Assembly",AC42,IF(E42="S6 Bring-up",AG42,AK42)))))))))</f>
        <v/>
      </c>
      <c r="G42" s="33" t="str">
        <f aca="false">IF($C42="","",IF(E42="All Stages Closed","",IF(E42="S1 Schematic",IF(N42="","Not added",N42),IF(E42="S2 PCB Layout",IF(R42="","Not added",R42),IF(E42="S3 SI &amp; PI",IF(V42="","Not added",V42),IF(E42="S4 Bare-PCB Fab",IF(Z42="","Not added",Z42),IF(E42="S5 Assembly",IF(AD42="","Not added",AD42),IF(E42="S6 Bring-up",IF(AH42="","Not added",AH42),IF(AL42="","Not added",AL42)))))))))</f>
        <v/>
      </c>
      <c r="H42" s="32" t="str">
        <f aca="true">IF($C42="","",IF(OR(F42="Completed",F42="Cancelled"),"",IF(NOT(ISNUMBER(G42)),"No date set",IF(TODAY()&gt;G42,TODAY()-G42&amp;" days late",G42-TODAY()&amp;" days left"))))</f>
        <v/>
      </c>
      <c r="I42" s="31" t="str">
        <f aca="false">IF($C42="","",COUNTIF(M42,"Completed")+COUNTIF(Q42,"Completed")+COUNTIF(U42,"Completed")+COUNTIF(Y42,"Completed")+COUNTIF(AC42,"Completed")+COUNTIF(AG42,"Completed")+COUNTIF(AK42,"Completed"))</f>
        <v/>
      </c>
      <c r="J42" s="31" t="str">
        <f aca="false">IF($C42="","",7-(COUNTIF(M42,"NA")+COUNTIF(Q42,"NA")+COUNTIF(U42,"NA")+COUNTIF(Y42,"NA")+COUNTIF(AC42,"NA")+COUNTIF(AG42,"NA")+COUNTIF(AK42,"NA")))</f>
        <v/>
      </c>
      <c r="K42" s="34" t="str">
        <f aca="false">IFERROR(I42/J42,"")</f>
        <v/>
      </c>
      <c r="L42" s="29"/>
      <c r="M42" s="35"/>
      <c r="N42" s="36"/>
      <c r="O42" s="36"/>
      <c r="P42" s="29"/>
      <c r="Q42" s="35"/>
      <c r="R42" s="36"/>
      <c r="S42" s="36"/>
      <c r="T42" s="29"/>
      <c r="U42" s="35"/>
      <c r="V42" s="36"/>
      <c r="W42" s="36"/>
      <c r="X42" s="29"/>
      <c r="Y42" s="35"/>
      <c r="Z42" s="36"/>
      <c r="AA42" s="36"/>
      <c r="AB42" s="29"/>
      <c r="AC42" s="35"/>
      <c r="AD42" s="36"/>
      <c r="AE42" s="36"/>
      <c r="AF42" s="29"/>
      <c r="AG42" s="35"/>
      <c r="AH42" s="36"/>
      <c r="AI42" s="36"/>
      <c r="AJ42" s="29"/>
      <c r="AK42" s="35"/>
      <c r="AL42" s="36"/>
      <c r="AM42" s="36"/>
      <c r="AN42" s="29"/>
      <c r="AO42" s="29"/>
      <c r="AP42" s="29"/>
      <c r="AQ42" s="37"/>
      <c r="AR42" s="29"/>
      <c r="AS42" s="38" t="str">
        <f aca="false">IF($C42="","",IF(OR(F42="Completed",F42="Cancelled"),"",IF(AND(OR(F42="On Hold",ISNUMBER(VALUE(LEFT(H42,2)))),AR42=""),"Reason not given","")))</f>
        <v/>
      </c>
      <c r="AT42" s="30"/>
      <c r="AU42" s="30"/>
    </row>
    <row r="43" customFormat="false" ht="19.5" hidden="false" customHeight="true" outlineLevel="0" collapsed="false">
      <c r="A43" s="28" t="str">
        <f aca="false">IF($C43="","",COUNTA($C$17:$C43))</f>
        <v/>
      </c>
      <c r="B43" s="29"/>
      <c r="C43" s="30"/>
      <c r="D43" s="29"/>
      <c r="E43" s="31" t="str">
        <f aca="false">IF($C43="","",IF(NOT(OR(M43="Completed",M43="NA",M43="Cancelled")),"S1 Schematic",IF(NOT(OR(Q43="Completed",Q43="NA",Q43="Cancelled")),"S2 PCB Layout",IF(NOT(OR(U43="Completed",U43="NA",U43="Cancelled")),"S3 SI &amp; PI",IF(NOT(OR(Y43="Completed",Y43="NA",Y43="Cancelled")),"S4 Bare-PCB Fab",IF(NOT(OR(AC43="Completed",AC43="NA",AC43="Cancelled")),"S5 Assembly",IF(NOT(OR(AG43="Completed",AG43="NA",AG43="Cancelled")),"S6 Bring-up",IF(NOT(OR(AK43="Completed",AK43="NA",AK43="Cancelled")),"S7 BOM Procurement","All Stages Closed"))))))))</f>
        <v/>
      </c>
      <c r="F43" s="32" t="str">
        <f aca="false">IF($C43="","",IF(COUNTIF(M43,"Cancelled")+COUNTIF(Q43,"Cancelled")+COUNTIF(U43,"Cancelled")+COUNTIF(Y43,"Cancelled")+COUNTIF(AC43,"Cancelled")+COUNTIF(AG43,"Cancelled")+COUNTIF(AK43,"Cancelled")&gt;0,"Cancelled",IF(E43="All Stages Closed","Completed",IF(E43="S1 Schematic",M43,IF(E43="S2 PCB Layout",Q43,IF(E43="S3 SI &amp; PI",U43,IF(E43="S4 Bare-PCB Fab",Y43,IF(E43="S5 Assembly",AC43,IF(E43="S6 Bring-up",AG43,AK43)))))))))</f>
        <v/>
      </c>
      <c r="G43" s="33" t="str">
        <f aca="false">IF($C43="","",IF(E43="All Stages Closed","",IF(E43="S1 Schematic",IF(N43="","Not added",N43),IF(E43="S2 PCB Layout",IF(R43="","Not added",R43),IF(E43="S3 SI &amp; PI",IF(V43="","Not added",V43),IF(E43="S4 Bare-PCB Fab",IF(Z43="","Not added",Z43),IF(E43="S5 Assembly",IF(AD43="","Not added",AD43),IF(E43="S6 Bring-up",IF(AH43="","Not added",AH43),IF(AL43="","Not added",AL43)))))))))</f>
        <v/>
      </c>
      <c r="H43" s="32" t="str">
        <f aca="true">IF($C43="","",IF(OR(F43="Completed",F43="Cancelled"),"",IF(NOT(ISNUMBER(G43)),"No date set",IF(TODAY()&gt;G43,TODAY()-G43&amp;" days late",G43-TODAY()&amp;" days left"))))</f>
        <v/>
      </c>
      <c r="I43" s="31" t="str">
        <f aca="false">IF($C43="","",COUNTIF(M43,"Completed")+COUNTIF(Q43,"Completed")+COUNTIF(U43,"Completed")+COUNTIF(Y43,"Completed")+COUNTIF(AC43,"Completed")+COUNTIF(AG43,"Completed")+COUNTIF(AK43,"Completed"))</f>
        <v/>
      </c>
      <c r="J43" s="31" t="str">
        <f aca="false">IF($C43="","",7-(COUNTIF(M43,"NA")+COUNTIF(Q43,"NA")+COUNTIF(U43,"NA")+COUNTIF(Y43,"NA")+COUNTIF(AC43,"NA")+COUNTIF(AG43,"NA")+COUNTIF(AK43,"NA")))</f>
        <v/>
      </c>
      <c r="K43" s="34" t="str">
        <f aca="false">IFERROR(I43/J43,"")</f>
        <v/>
      </c>
      <c r="L43" s="29"/>
      <c r="M43" s="35"/>
      <c r="N43" s="36"/>
      <c r="O43" s="36"/>
      <c r="P43" s="29"/>
      <c r="Q43" s="35"/>
      <c r="R43" s="36"/>
      <c r="S43" s="36"/>
      <c r="T43" s="29"/>
      <c r="U43" s="35"/>
      <c r="V43" s="36"/>
      <c r="W43" s="36"/>
      <c r="X43" s="29"/>
      <c r="Y43" s="35"/>
      <c r="Z43" s="36"/>
      <c r="AA43" s="36"/>
      <c r="AB43" s="29"/>
      <c r="AC43" s="35"/>
      <c r="AD43" s="36"/>
      <c r="AE43" s="36"/>
      <c r="AF43" s="29"/>
      <c r="AG43" s="35"/>
      <c r="AH43" s="36"/>
      <c r="AI43" s="36"/>
      <c r="AJ43" s="29"/>
      <c r="AK43" s="35"/>
      <c r="AL43" s="36"/>
      <c r="AM43" s="36"/>
      <c r="AN43" s="29"/>
      <c r="AO43" s="29"/>
      <c r="AP43" s="29"/>
      <c r="AQ43" s="37"/>
      <c r="AR43" s="29"/>
      <c r="AS43" s="38" t="str">
        <f aca="false">IF($C43="","",IF(OR(F43="Completed",F43="Cancelled"),"",IF(AND(OR(F43="On Hold",ISNUMBER(VALUE(LEFT(H43,2)))),AR43=""),"Reason not given","")))</f>
        <v/>
      </c>
      <c r="AT43" s="30"/>
      <c r="AU43" s="30"/>
    </row>
    <row r="44" customFormat="false" ht="19.5" hidden="false" customHeight="true" outlineLevel="0" collapsed="false">
      <c r="A44" s="28" t="str">
        <f aca="false">IF($C44="","",COUNTA($C$17:$C44))</f>
        <v/>
      </c>
      <c r="B44" s="29"/>
      <c r="C44" s="30"/>
      <c r="D44" s="29"/>
      <c r="E44" s="31" t="str">
        <f aca="false">IF($C44="","",IF(NOT(OR(M44="Completed",M44="NA",M44="Cancelled")),"S1 Schematic",IF(NOT(OR(Q44="Completed",Q44="NA",Q44="Cancelled")),"S2 PCB Layout",IF(NOT(OR(U44="Completed",U44="NA",U44="Cancelled")),"S3 SI &amp; PI",IF(NOT(OR(Y44="Completed",Y44="NA",Y44="Cancelled")),"S4 Bare-PCB Fab",IF(NOT(OR(AC44="Completed",AC44="NA",AC44="Cancelled")),"S5 Assembly",IF(NOT(OR(AG44="Completed",AG44="NA",AG44="Cancelled")),"S6 Bring-up",IF(NOT(OR(AK44="Completed",AK44="NA",AK44="Cancelled")),"S7 BOM Procurement","All Stages Closed"))))))))</f>
        <v/>
      </c>
      <c r="F44" s="32" t="str">
        <f aca="false">IF($C44="","",IF(COUNTIF(M44,"Cancelled")+COUNTIF(Q44,"Cancelled")+COUNTIF(U44,"Cancelled")+COUNTIF(Y44,"Cancelled")+COUNTIF(AC44,"Cancelled")+COUNTIF(AG44,"Cancelled")+COUNTIF(AK44,"Cancelled")&gt;0,"Cancelled",IF(E44="All Stages Closed","Completed",IF(E44="S1 Schematic",M44,IF(E44="S2 PCB Layout",Q44,IF(E44="S3 SI &amp; PI",U44,IF(E44="S4 Bare-PCB Fab",Y44,IF(E44="S5 Assembly",AC44,IF(E44="S6 Bring-up",AG44,AK44)))))))))</f>
        <v/>
      </c>
      <c r="G44" s="33" t="str">
        <f aca="false">IF($C44="","",IF(E44="All Stages Closed","",IF(E44="S1 Schematic",IF(N44="","Not added",N44),IF(E44="S2 PCB Layout",IF(R44="","Not added",R44),IF(E44="S3 SI &amp; PI",IF(V44="","Not added",V44),IF(E44="S4 Bare-PCB Fab",IF(Z44="","Not added",Z44),IF(E44="S5 Assembly",IF(AD44="","Not added",AD44),IF(E44="S6 Bring-up",IF(AH44="","Not added",AH44),IF(AL44="","Not added",AL44)))))))))</f>
        <v/>
      </c>
      <c r="H44" s="32" t="str">
        <f aca="true">IF($C44="","",IF(OR(F44="Completed",F44="Cancelled"),"",IF(NOT(ISNUMBER(G44)),"No date set",IF(TODAY()&gt;G44,TODAY()-G44&amp;" days late",G44-TODAY()&amp;" days left"))))</f>
        <v/>
      </c>
      <c r="I44" s="31" t="str">
        <f aca="false">IF($C44="","",COUNTIF(M44,"Completed")+COUNTIF(Q44,"Completed")+COUNTIF(U44,"Completed")+COUNTIF(Y44,"Completed")+COUNTIF(AC44,"Completed")+COUNTIF(AG44,"Completed")+COUNTIF(AK44,"Completed"))</f>
        <v/>
      </c>
      <c r="J44" s="31" t="str">
        <f aca="false">IF($C44="","",7-(COUNTIF(M44,"NA")+COUNTIF(Q44,"NA")+COUNTIF(U44,"NA")+COUNTIF(Y44,"NA")+COUNTIF(AC44,"NA")+COUNTIF(AG44,"NA")+COUNTIF(AK44,"NA")))</f>
        <v/>
      </c>
      <c r="K44" s="34" t="str">
        <f aca="false">IFERROR(I44/J44,"")</f>
        <v/>
      </c>
      <c r="L44" s="29"/>
      <c r="M44" s="35"/>
      <c r="N44" s="36"/>
      <c r="O44" s="36"/>
      <c r="P44" s="29"/>
      <c r="Q44" s="35"/>
      <c r="R44" s="36"/>
      <c r="S44" s="36"/>
      <c r="T44" s="29"/>
      <c r="U44" s="35"/>
      <c r="V44" s="36"/>
      <c r="W44" s="36"/>
      <c r="X44" s="29"/>
      <c r="Y44" s="35"/>
      <c r="Z44" s="36"/>
      <c r="AA44" s="36"/>
      <c r="AB44" s="29"/>
      <c r="AC44" s="35"/>
      <c r="AD44" s="36"/>
      <c r="AE44" s="36"/>
      <c r="AF44" s="29"/>
      <c r="AG44" s="35"/>
      <c r="AH44" s="36"/>
      <c r="AI44" s="36"/>
      <c r="AJ44" s="29"/>
      <c r="AK44" s="35"/>
      <c r="AL44" s="36"/>
      <c r="AM44" s="36"/>
      <c r="AN44" s="29"/>
      <c r="AO44" s="29"/>
      <c r="AP44" s="29"/>
      <c r="AQ44" s="37"/>
      <c r="AR44" s="29"/>
      <c r="AS44" s="38" t="str">
        <f aca="false">IF($C44="","",IF(OR(F44="Completed",F44="Cancelled"),"",IF(AND(OR(F44="On Hold",ISNUMBER(VALUE(LEFT(H44,2)))),AR44=""),"Reason not given","")))</f>
        <v/>
      </c>
      <c r="AT44" s="30"/>
      <c r="AU44" s="30"/>
    </row>
    <row r="45" customFormat="false" ht="19.5" hidden="false" customHeight="true" outlineLevel="0" collapsed="false">
      <c r="A45" s="28" t="str">
        <f aca="false">IF($C45="","",COUNTA($C$17:$C45))</f>
        <v/>
      </c>
      <c r="B45" s="29"/>
      <c r="C45" s="30"/>
      <c r="D45" s="29"/>
      <c r="E45" s="31" t="str">
        <f aca="false">IF($C45="","",IF(NOT(OR(M45="Completed",M45="NA",M45="Cancelled")),"S1 Schematic",IF(NOT(OR(Q45="Completed",Q45="NA",Q45="Cancelled")),"S2 PCB Layout",IF(NOT(OR(U45="Completed",U45="NA",U45="Cancelled")),"S3 SI &amp; PI",IF(NOT(OR(Y45="Completed",Y45="NA",Y45="Cancelled")),"S4 Bare-PCB Fab",IF(NOT(OR(AC45="Completed",AC45="NA",AC45="Cancelled")),"S5 Assembly",IF(NOT(OR(AG45="Completed",AG45="NA",AG45="Cancelled")),"S6 Bring-up",IF(NOT(OR(AK45="Completed",AK45="NA",AK45="Cancelled")),"S7 BOM Procurement","All Stages Closed"))))))))</f>
        <v/>
      </c>
      <c r="F45" s="32" t="str">
        <f aca="false">IF($C45="","",IF(COUNTIF(M45,"Cancelled")+COUNTIF(Q45,"Cancelled")+COUNTIF(U45,"Cancelled")+COUNTIF(Y45,"Cancelled")+COUNTIF(AC45,"Cancelled")+COUNTIF(AG45,"Cancelled")+COUNTIF(AK45,"Cancelled")&gt;0,"Cancelled",IF(E45="All Stages Closed","Completed",IF(E45="S1 Schematic",M45,IF(E45="S2 PCB Layout",Q45,IF(E45="S3 SI &amp; PI",U45,IF(E45="S4 Bare-PCB Fab",Y45,IF(E45="S5 Assembly",AC45,IF(E45="S6 Bring-up",AG45,AK45)))))))))</f>
        <v/>
      </c>
      <c r="G45" s="33" t="str">
        <f aca="false">IF($C45="","",IF(E45="All Stages Closed","",IF(E45="S1 Schematic",IF(N45="","Not added",N45),IF(E45="S2 PCB Layout",IF(R45="","Not added",R45),IF(E45="S3 SI &amp; PI",IF(V45="","Not added",V45),IF(E45="S4 Bare-PCB Fab",IF(Z45="","Not added",Z45),IF(E45="S5 Assembly",IF(AD45="","Not added",AD45),IF(E45="S6 Bring-up",IF(AH45="","Not added",AH45),IF(AL45="","Not added",AL45)))))))))</f>
        <v/>
      </c>
      <c r="H45" s="32" t="str">
        <f aca="true">IF($C45="","",IF(OR(F45="Completed",F45="Cancelled"),"",IF(NOT(ISNUMBER(G45)),"No date set",IF(TODAY()&gt;G45,TODAY()-G45&amp;" days late",G45-TODAY()&amp;" days left"))))</f>
        <v/>
      </c>
      <c r="I45" s="31" t="str">
        <f aca="false">IF($C45="","",COUNTIF(M45,"Completed")+COUNTIF(Q45,"Completed")+COUNTIF(U45,"Completed")+COUNTIF(Y45,"Completed")+COUNTIF(AC45,"Completed")+COUNTIF(AG45,"Completed")+COUNTIF(AK45,"Completed"))</f>
        <v/>
      </c>
      <c r="J45" s="31" t="str">
        <f aca="false">IF($C45="","",7-(COUNTIF(M45,"NA")+COUNTIF(Q45,"NA")+COUNTIF(U45,"NA")+COUNTIF(Y45,"NA")+COUNTIF(AC45,"NA")+COUNTIF(AG45,"NA")+COUNTIF(AK45,"NA")))</f>
        <v/>
      </c>
      <c r="K45" s="34" t="str">
        <f aca="false">IFERROR(I45/J45,"")</f>
        <v/>
      </c>
      <c r="L45" s="29"/>
      <c r="M45" s="35"/>
      <c r="N45" s="36"/>
      <c r="O45" s="36"/>
      <c r="P45" s="29"/>
      <c r="Q45" s="35"/>
      <c r="R45" s="36"/>
      <c r="S45" s="36"/>
      <c r="T45" s="29"/>
      <c r="U45" s="35"/>
      <c r="V45" s="36"/>
      <c r="W45" s="36"/>
      <c r="X45" s="29"/>
      <c r="Y45" s="35"/>
      <c r="Z45" s="36"/>
      <c r="AA45" s="36"/>
      <c r="AB45" s="29"/>
      <c r="AC45" s="35"/>
      <c r="AD45" s="36"/>
      <c r="AE45" s="36"/>
      <c r="AF45" s="29"/>
      <c r="AG45" s="35"/>
      <c r="AH45" s="36"/>
      <c r="AI45" s="36"/>
      <c r="AJ45" s="29"/>
      <c r="AK45" s="35"/>
      <c r="AL45" s="36"/>
      <c r="AM45" s="36"/>
      <c r="AN45" s="29"/>
      <c r="AO45" s="29"/>
      <c r="AP45" s="29"/>
      <c r="AQ45" s="37"/>
      <c r="AR45" s="29"/>
      <c r="AS45" s="38" t="str">
        <f aca="false">IF($C45="","",IF(OR(F45="Completed",F45="Cancelled"),"",IF(AND(OR(F45="On Hold",ISNUMBER(VALUE(LEFT(H45,2)))),AR45=""),"Reason not given","")))</f>
        <v/>
      </c>
      <c r="AT45" s="30"/>
      <c r="AU45" s="30"/>
    </row>
    <row r="46" customFormat="false" ht="19.5" hidden="false" customHeight="true" outlineLevel="0" collapsed="false">
      <c r="A46" s="28" t="str">
        <f aca="false">IF($C46="","",COUNTA($C$17:$C46))</f>
        <v/>
      </c>
      <c r="B46" s="29"/>
      <c r="C46" s="30"/>
      <c r="D46" s="29"/>
      <c r="E46" s="31" t="str">
        <f aca="false">IF($C46="","",IF(NOT(OR(M46="Completed",M46="NA",M46="Cancelled")),"S1 Schematic",IF(NOT(OR(Q46="Completed",Q46="NA",Q46="Cancelled")),"S2 PCB Layout",IF(NOT(OR(U46="Completed",U46="NA",U46="Cancelled")),"S3 SI &amp; PI",IF(NOT(OR(Y46="Completed",Y46="NA",Y46="Cancelled")),"S4 Bare-PCB Fab",IF(NOT(OR(AC46="Completed",AC46="NA",AC46="Cancelled")),"S5 Assembly",IF(NOT(OR(AG46="Completed",AG46="NA",AG46="Cancelled")),"S6 Bring-up",IF(NOT(OR(AK46="Completed",AK46="NA",AK46="Cancelled")),"S7 BOM Procurement","All Stages Closed"))))))))</f>
        <v/>
      </c>
      <c r="F46" s="32" t="str">
        <f aca="false">IF($C46="","",IF(COUNTIF(M46,"Cancelled")+COUNTIF(Q46,"Cancelled")+COUNTIF(U46,"Cancelled")+COUNTIF(Y46,"Cancelled")+COUNTIF(AC46,"Cancelled")+COUNTIF(AG46,"Cancelled")+COUNTIF(AK46,"Cancelled")&gt;0,"Cancelled",IF(E46="All Stages Closed","Completed",IF(E46="S1 Schematic",M46,IF(E46="S2 PCB Layout",Q46,IF(E46="S3 SI &amp; PI",U46,IF(E46="S4 Bare-PCB Fab",Y46,IF(E46="S5 Assembly",AC46,IF(E46="S6 Bring-up",AG46,AK46)))))))))</f>
        <v/>
      </c>
      <c r="G46" s="33" t="str">
        <f aca="false">IF($C46="","",IF(E46="All Stages Closed","",IF(E46="S1 Schematic",IF(N46="","Not added",N46),IF(E46="S2 PCB Layout",IF(R46="","Not added",R46),IF(E46="S3 SI &amp; PI",IF(V46="","Not added",V46),IF(E46="S4 Bare-PCB Fab",IF(Z46="","Not added",Z46),IF(E46="S5 Assembly",IF(AD46="","Not added",AD46),IF(E46="S6 Bring-up",IF(AH46="","Not added",AH46),IF(AL46="","Not added",AL46)))))))))</f>
        <v/>
      </c>
      <c r="H46" s="32" t="str">
        <f aca="true">IF($C46="","",IF(OR(F46="Completed",F46="Cancelled"),"",IF(NOT(ISNUMBER(G46)),"No date set",IF(TODAY()&gt;G46,TODAY()-G46&amp;" days late",G46-TODAY()&amp;" days left"))))</f>
        <v/>
      </c>
      <c r="I46" s="31" t="str">
        <f aca="false">IF($C46="","",COUNTIF(M46,"Completed")+COUNTIF(Q46,"Completed")+COUNTIF(U46,"Completed")+COUNTIF(Y46,"Completed")+COUNTIF(AC46,"Completed")+COUNTIF(AG46,"Completed")+COUNTIF(AK46,"Completed"))</f>
        <v/>
      </c>
      <c r="J46" s="31" t="str">
        <f aca="false">IF($C46="","",7-(COUNTIF(M46,"NA")+COUNTIF(Q46,"NA")+COUNTIF(U46,"NA")+COUNTIF(Y46,"NA")+COUNTIF(AC46,"NA")+COUNTIF(AG46,"NA")+COUNTIF(AK46,"NA")))</f>
        <v/>
      </c>
      <c r="K46" s="34" t="str">
        <f aca="false">IFERROR(I46/J46,"")</f>
        <v/>
      </c>
      <c r="L46" s="29"/>
      <c r="M46" s="35"/>
      <c r="N46" s="36"/>
      <c r="O46" s="36"/>
      <c r="P46" s="29"/>
      <c r="Q46" s="35"/>
      <c r="R46" s="36"/>
      <c r="S46" s="36"/>
      <c r="T46" s="29"/>
      <c r="U46" s="35"/>
      <c r="V46" s="36"/>
      <c r="W46" s="36"/>
      <c r="X46" s="29"/>
      <c r="Y46" s="35"/>
      <c r="Z46" s="36"/>
      <c r="AA46" s="36"/>
      <c r="AB46" s="29"/>
      <c r="AC46" s="35"/>
      <c r="AD46" s="36"/>
      <c r="AE46" s="36"/>
      <c r="AF46" s="29"/>
      <c r="AG46" s="35"/>
      <c r="AH46" s="36"/>
      <c r="AI46" s="36"/>
      <c r="AJ46" s="29"/>
      <c r="AK46" s="35"/>
      <c r="AL46" s="36"/>
      <c r="AM46" s="36"/>
      <c r="AN46" s="29"/>
      <c r="AO46" s="29"/>
      <c r="AP46" s="29"/>
      <c r="AQ46" s="37"/>
      <c r="AR46" s="29"/>
      <c r="AS46" s="38" t="str">
        <f aca="false">IF($C46="","",IF(OR(F46="Completed",F46="Cancelled"),"",IF(AND(OR(F46="On Hold",ISNUMBER(VALUE(LEFT(H46,2)))),AR46=""),"Reason not given","")))</f>
        <v/>
      </c>
      <c r="AT46" s="30"/>
      <c r="AU46" s="30"/>
    </row>
    <row r="47" customFormat="false" ht="19.5" hidden="false" customHeight="true" outlineLevel="0" collapsed="false">
      <c r="A47" s="28" t="str">
        <f aca="false">IF($C47="","",COUNTA($C$17:$C47))</f>
        <v/>
      </c>
      <c r="B47" s="29"/>
      <c r="C47" s="30"/>
      <c r="D47" s="29"/>
      <c r="E47" s="31" t="str">
        <f aca="false">IF($C47="","",IF(NOT(OR(M47="Completed",M47="NA",M47="Cancelled")),"S1 Schematic",IF(NOT(OR(Q47="Completed",Q47="NA",Q47="Cancelled")),"S2 PCB Layout",IF(NOT(OR(U47="Completed",U47="NA",U47="Cancelled")),"S3 SI &amp; PI",IF(NOT(OR(Y47="Completed",Y47="NA",Y47="Cancelled")),"S4 Bare-PCB Fab",IF(NOT(OR(AC47="Completed",AC47="NA",AC47="Cancelled")),"S5 Assembly",IF(NOT(OR(AG47="Completed",AG47="NA",AG47="Cancelled")),"S6 Bring-up",IF(NOT(OR(AK47="Completed",AK47="NA",AK47="Cancelled")),"S7 BOM Procurement","All Stages Closed"))))))))</f>
        <v/>
      </c>
      <c r="F47" s="32" t="str">
        <f aca="false">IF($C47="","",IF(COUNTIF(M47,"Cancelled")+COUNTIF(Q47,"Cancelled")+COUNTIF(U47,"Cancelled")+COUNTIF(Y47,"Cancelled")+COUNTIF(AC47,"Cancelled")+COUNTIF(AG47,"Cancelled")+COUNTIF(AK47,"Cancelled")&gt;0,"Cancelled",IF(E47="All Stages Closed","Completed",IF(E47="S1 Schematic",M47,IF(E47="S2 PCB Layout",Q47,IF(E47="S3 SI &amp; PI",U47,IF(E47="S4 Bare-PCB Fab",Y47,IF(E47="S5 Assembly",AC47,IF(E47="S6 Bring-up",AG47,AK47)))))))))</f>
        <v/>
      </c>
      <c r="G47" s="33" t="str">
        <f aca="false">IF($C47="","",IF(E47="All Stages Closed","",IF(E47="S1 Schematic",IF(N47="","Not added",N47),IF(E47="S2 PCB Layout",IF(R47="","Not added",R47),IF(E47="S3 SI &amp; PI",IF(V47="","Not added",V47),IF(E47="S4 Bare-PCB Fab",IF(Z47="","Not added",Z47),IF(E47="S5 Assembly",IF(AD47="","Not added",AD47),IF(E47="S6 Bring-up",IF(AH47="","Not added",AH47),IF(AL47="","Not added",AL47)))))))))</f>
        <v/>
      </c>
      <c r="H47" s="32" t="str">
        <f aca="true">IF($C47="","",IF(OR(F47="Completed",F47="Cancelled"),"",IF(NOT(ISNUMBER(G47)),"No date set",IF(TODAY()&gt;G47,TODAY()-G47&amp;" days late",G47-TODAY()&amp;" days left"))))</f>
        <v/>
      </c>
      <c r="I47" s="31" t="str">
        <f aca="false">IF($C47="","",COUNTIF(M47,"Completed")+COUNTIF(Q47,"Completed")+COUNTIF(U47,"Completed")+COUNTIF(Y47,"Completed")+COUNTIF(AC47,"Completed")+COUNTIF(AG47,"Completed")+COUNTIF(AK47,"Completed"))</f>
        <v/>
      </c>
      <c r="J47" s="31" t="str">
        <f aca="false">IF($C47="","",7-(COUNTIF(M47,"NA")+COUNTIF(Q47,"NA")+COUNTIF(U47,"NA")+COUNTIF(Y47,"NA")+COUNTIF(AC47,"NA")+COUNTIF(AG47,"NA")+COUNTIF(AK47,"NA")))</f>
        <v/>
      </c>
      <c r="K47" s="34" t="str">
        <f aca="false">IFERROR(I47/J47,"")</f>
        <v/>
      </c>
      <c r="L47" s="29"/>
      <c r="M47" s="35"/>
      <c r="N47" s="36"/>
      <c r="O47" s="36"/>
      <c r="P47" s="29"/>
      <c r="Q47" s="35"/>
      <c r="R47" s="36"/>
      <c r="S47" s="36"/>
      <c r="T47" s="29"/>
      <c r="U47" s="35"/>
      <c r="V47" s="36"/>
      <c r="W47" s="36"/>
      <c r="X47" s="29"/>
      <c r="Y47" s="35"/>
      <c r="Z47" s="36"/>
      <c r="AA47" s="36"/>
      <c r="AB47" s="29"/>
      <c r="AC47" s="35"/>
      <c r="AD47" s="36"/>
      <c r="AE47" s="36"/>
      <c r="AF47" s="29"/>
      <c r="AG47" s="35"/>
      <c r="AH47" s="36"/>
      <c r="AI47" s="36"/>
      <c r="AJ47" s="29"/>
      <c r="AK47" s="35"/>
      <c r="AL47" s="36"/>
      <c r="AM47" s="36"/>
      <c r="AN47" s="29"/>
      <c r="AO47" s="29"/>
      <c r="AP47" s="29"/>
      <c r="AQ47" s="37"/>
      <c r="AR47" s="29"/>
      <c r="AS47" s="38" t="str">
        <f aca="false">IF($C47="","",IF(OR(F47="Completed",F47="Cancelled"),"",IF(AND(OR(F47="On Hold",ISNUMBER(VALUE(LEFT(H47,2)))),AR47=""),"Reason not given","")))</f>
        <v/>
      </c>
      <c r="AT47" s="30"/>
      <c r="AU47" s="30"/>
    </row>
    <row r="48" customFormat="false" ht="19.5" hidden="false" customHeight="true" outlineLevel="0" collapsed="false">
      <c r="A48" s="28" t="str">
        <f aca="false">IF($C48="","",COUNTA($C$17:$C48))</f>
        <v/>
      </c>
      <c r="B48" s="29"/>
      <c r="C48" s="30"/>
      <c r="D48" s="29"/>
      <c r="E48" s="31" t="str">
        <f aca="false">IF($C48="","",IF(NOT(OR(M48="Completed",M48="NA",M48="Cancelled")),"S1 Schematic",IF(NOT(OR(Q48="Completed",Q48="NA",Q48="Cancelled")),"S2 PCB Layout",IF(NOT(OR(U48="Completed",U48="NA",U48="Cancelled")),"S3 SI &amp; PI",IF(NOT(OR(Y48="Completed",Y48="NA",Y48="Cancelled")),"S4 Bare-PCB Fab",IF(NOT(OR(AC48="Completed",AC48="NA",AC48="Cancelled")),"S5 Assembly",IF(NOT(OR(AG48="Completed",AG48="NA",AG48="Cancelled")),"S6 Bring-up",IF(NOT(OR(AK48="Completed",AK48="NA",AK48="Cancelled")),"S7 BOM Procurement","All Stages Closed"))))))))</f>
        <v/>
      </c>
      <c r="F48" s="32" t="str">
        <f aca="false">IF($C48="","",IF(COUNTIF(M48,"Cancelled")+COUNTIF(Q48,"Cancelled")+COUNTIF(U48,"Cancelled")+COUNTIF(Y48,"Cancelled")+COUNTIF(AC48,"Cancelled")+COUNTIF(AG48,"Cancelled")+COUNTIF(AK48,"Cancelled")&gt;0,"Cancelled",IF(E48="All Stages Closed","Completed",IF(E48="S1 Schematic",M48,IF(E48="S2 PCB Layout",Q48,IF(E48="S3 SI &amp; PI",U48,IF(E48="S4 Bare-PCB Fab",Y48,IF(E48="S5 Assembly",AC48,IF(E48="S6 Bring-up",AG48,AK48)))))))))</f>
        <v/>
      </c>
      <c r="G48" s="33" t="str">
        <f aca="false">IF($C48="","",IF(E48="All Stages Closed","",IF(E48="S1 Schematic",IF(N48="","Not added",N48),IF(E48="S2 PCB Layout",IF(R48="","Not added",R48),IF(E48="S3 SI &amp; PI",IF(V48="","Not added",V48),IF(E48="S4 Bare-PCB Fab",IF(Z48="","Not added",Z48),IF(E48="S5 Assembly",IF(AD48="","Not added",AD48),IF(E48="S6 Bring-up",IF(AH48="","Not added",AH48),IF(AL48="","Not added",AL48)))))))))</f>
        <v/>
      </c>
      <c r="H48" s="32" t="str">
        <f aca="true">IF($C48="","",IF(OR(F48="Completed",F48="Cancelled"),"",IF(NOT(ISNUMBER(G48)),"No date set",IF(TODAY()&gt;G48,TODAY()-G48&amp;" days late",G48-TODAY()&amp;" days left"))))</f>
        <v/>
      </c>
      <c r="I48" s="31" t="str">
        <f aca="false">IF($C48="","",COUNTIF(M48,"Completed")+COUNTIF(Q48,"Completed")+COUNTIF(U48,"Completed")+COUNTIF(Y48,"Completed")+COUNTIF(AC48,"Completed")+COUNTIF(AG48,"Completed")+COUNTIF(AK48,"Completed"))</f>
        <v/>
      </c>
      <c r="J48" s="31" t="str">
        <f aca="false">IF($C48="","",7-(COUNTIF(M48,"NA")+COUNTIF(Q48,"NA")+COUNTIF(U48,"NA")+COUNTIF(Y48,"NA")+COUNTIF(AC48,"NA")+COUNTIF(AG48,"NA")+COUNTIF(AK48,"NA")))</f>
        <v/>
      </c>
      <c r="K48" s="34" t="str">
        <f aca="false">IFERROR(I48/J48,"")</f>
        <v/>
      </c>
      <c r="L48" s="29"/>
      <c r="M48" s="35"/>
      <c r="N48" s="36"/>
      <c r="O48" s="36"/>
      <c r="P48" s="29"/>
      <c r="Q48" s="35"/>
      <c r="R48" s="36"/>
      <c r="S48" s="36"/>
      <c r="T48" s="29"/>
      <c r="U48" s="35"/>
      <c r="V48" s="36"/>
      <c r="W48" s="36"/>
      <c r="X48" s="29"/>
      <c r="Y48" s="35"/>
      <c r="Z48" s="36"/>
      <c r="AA48" s="36"/>
      <c r="AB48" s="29"/>
      <c r="AC48" s="35"/>
      <c r="AD48" s="36"/>
      <c r="AE48" s="36"/>
      <c r="AF48" s="29"/>
      <c r="AG48" s="35"/>
      <c r="AH48" s="36"/>
      <c r="AI48" s="36"/>
      <c r="AJ48" s="29"/>
      <c r="AK48" s="35"/>
      <c r="AL48" s="36"/>
      <c r="AM48" s="36"/>
      <c r="AN48" s="29"/>
      <c r="AO48" s="29"/>
      <c r="AP48" s="29"/>
      <c r="AQ48" s="37"/>
      <c r="AR48" s="29"/>
      <c r="AS48" s="38" t="str">
        <f aca="false">IF($C48="","",IF(OR(F48="Completed",F48="Cancelled"),"",IF(AND(OR(F48="On Hold",ISNUMBER(VALUE(LEFT(H48,2)))),AR48=""),"Reason not given","")))</f>
        <v/>
      </c>
      <c r="AT48" s="30"/>
      <c r="AU48" s="30"/>
    </row>
    <row r="49" customFormat="false" ht="19.5" hidden="false" customHeight="true" outlineLevel="0" collapsed="false">
      <c r="A49" s="28" t="str">
        <f aca="false">IF($C49="","",COUNTA($C$17:$C49))</f>
        <v/>
      </c>
      <c r="B49" s="29"/>
      <c r="C49" s="30"/>
      <c r="D49" s="29"/>
      <c r="E49" s="31" t="str">
        <f aca="false">IF($C49="","",IF(NOT(OR(M49="Completed",M49="NA",M49="Cancelled")),"S1 Schematic",IF(NOT(OR(Q49="Completed",Q49="NA",Q49="Cancelled")),"S2 PCB Layout",IF(NOT(OR(U49="Completed",U49="NA",U49="Cancelled")),"S3 SI &amp; PI",IF(NOT(OR(Y49="Completed",Y49="NA",Y49="Cancelled")),"S4 Bare-PCB Fab",IF(NOT(OR(AC49="Completed",AC49="NA",AC49="Cancelled")),"S5 Assembly",IF(NOT(OR(AG49="Completed",AG49="NA",AG49="Cancelled")),"S6 Bring-up",IF(NOT(OR(AK49="Completed",AK49="NA",AK49="Cancelled")),"S7 BOM Procurement","All Stages Closed"))))))))</f>
        <v/>
      </c>
      <c r="F49" s="32" t="str">
        <f aca="false">IF($C49="","",IF(COUNTIF(M49,"Cancelled")+COUNTIF(Q49,"Cancelled")+COUNTIF(U49,"Cancelled")+COUNTIF(Y49,"Cancelled")+COUNTIF(AC49,"Cancelled")+COUNTIF(AG49,"Cancelled")+COUNTIF(AK49,"Cancelled")&gt;0,"Cancelled",IF(E49="All Stages Closed","Completed",IF(E49="S1 Schematic",M49,IF(E49="S2 PCB Layout",Q49,IF(E49="S3 SI &amp; PI",U49,IF(E49="S4 Bare-PCB Fab",Y49,IF(E49="S5 Assembly",AC49,IF(E49="S6 Bring-up",AG49,AK49)))))))))</f>
        <v/>
      </c>
      <c r="G49" s="33" t="str">
        <f aca="false">IF($C49="","",IF(E49="All Stages Closed","",IF(E49="S1 Schematic",IF(N49="","Not added",N49),IF(E49="S2 PCB Layout",IF(R49="","Not added",R49),IF(E49="S3 SI &amp; PI",IF(V49="","Not added",V49),IF(E49="S4 Bare-PCB Fab",IF(Z49="","Not added",Z49),IF(E49="S5 Assembly",IF(AD49="","Not added",AD49),IF(E49="S6 Bring-up",IF(AH49="","Not added",AH49),IF(AL49="","Not added",AL49)))))))))</f>
        <v/>
      </c>
      <c r="H49" s="32" t="str">
        <f aca="true">IF($C49="","",IF(OR(F49="Completed",F49="Cancelled"),"",IF(NOT(ISNUMBER(G49)),"No date set",IF(TODAY()&gt;G49,TODAY()-G49&amp;" days late",G49-TODAY()&amp;" days left"))))</f>
        <v/>
      </c>
      <c r="I49" s="31" t="str">
        <f aca="false">IF($C49="","",COUNTIF(M49,"Completed")+COUNTIF(Q49,"Completed")+COUNTIF(U49,"Completed")+COUNTIF(Y49,"Completed")+COUNTIF(AC49,"Completed")+COUNTIF(AG49,"Completed")+COUNTIF(AK49,"Completed"))</f>
        <v/>
      </c>
      <c r="J49" s="31" t="str">
        <f aca="false">IF($C49="","",7-(COUNTIF(M49,"NA")+COUNTIF(Q49,"NA")+COUNTIF(U49,"NA")+COUNTIF(Y49,"NA")+COUNTIF(AC49,"NA")+COUNTIF(AG49,"NA")+COUNTIF(AK49,"NA")))</f>
        <v/>
      </c>
      <c r="K49" s="34" t="str">
        <f aca="false">IFERROR(I49/J49,"")</f>
        <v/>
      </c>
      <c r="L49" s="29"/>
      <c r="M49" s="35"/>
      <c r="N49" s="36"/>
      <c r="O49" s="36"/>
      <c r="P49" s="29"/>
      <c r="Q49" s="35"/>
      <c r="R49" s="36"/>
      <c r="S49" s="36"/>
      <c r="T49" s="29"/>
      <c r="U49" s="35"/>
      <c r="V49" s="36"/>
      <c r="W49" s="36"/>
      <c r="X49" s="29"/>
      <c r="Y49" s="35"/>
      <c r="Z49" s="36"/>
      <c r="AA49" s="36"/>
      <c r="AB49" s="29"/>
      <c r="AC49" s="35"/>
      <c r="AD49" s="36"/>
      <c r="AE49" s="36"/>
      <c r="AF49" s="29"/>
      <c r="AG49" s="35"/>
      <c r="AH49" s="36"/>
      <c r="AI49" s="36"/>
      <c r="AJ49" s="29"/>
      <c r="AK49" s="35"/>
      <c r="AL49" s="36"/>
      <c r="AM49" s="36"/>
      <c r="AN49" s="29"/>
      <c r="AO49" s="29"/>
      <c r="AP49" s="29"/>
      <c r="AQ49" s="37"/>
      <c r="AR49" s="29"/>
      <c r="AS49" s="38" t="str">
        <f aca="false">IF($C49="","",IF(OR(F49="Completed",F49="Cancelled"),"",IF(AND(OR(F49="On Hold",ISNUMBER(VALUE(LEFT(H49,2)))),AR49=""),"Reason not given","")))</f>
        <v/>
      </c>
      <c r="AT49" s="30"/>
      <c r="AU49" s="30"/>
    </row>
    <row r="50" customFormat="false" ht="19.5" hidden="false" customHeight="true" outlineLevel="0" collapsed="false">
      <c r="A50" s="28" t="str">
        <f aca="false">IF($C50="","",COUNTA($C$17:$C50))</f>
        <v/>
      </c>
      <c r="B50" s="29"/>
      <c r="C50" s="30"/>
      <c r="D50" s="29"/>
      <c r="E50" s="31" t="str">
        <f aca="false">IF($C50="","",IF(NOT(OR(M50="Completed",M50="NA",M50="Cancelled")),"S1 Schematic",IF(NOT(OR(Q50="Completed",Q50="NA",Q50="Cancelled")),"S2 PCB Layout",IF(NOT(OR(U50="Completed",U50="NA",U50="Cancelled")),"S3 SI &amp; PI",IF(NOT(OR(Y50="Completed",Y50="NA",Y50="Cancelled")),"S4 Bare-PCB Fab",IF(NOT(OR(AC50="Completed",AC50="NA",AC50="Cancelled")),"S5 Assembly",IF(NOT(OR(AG50="Completed",AG50="NA",AG50="Cancelled")),"S6 Bring-up",IF(NOT(OR(AK50="Completed",AK50="NA",AK50="Cancelled")),"S7 BOM Procurement","All Stages Closed"))))))))</f>
        <v/>
      </c>
      <c r="F50" s="32" t="str">
        <f aca="false">IF($C50="","",IF(COUNTIF(M50,"Cancelled")+COUNTIF(Q50,"Cancelled")+COUNTIF(U50,"Cancelled")+COUNTIF(Y50,"Cancelled")+COUNTIF(AC50,"Cancelled")+COUNTIF(AG50,"Cancelled")+COUNTIF(AK50,"Cancelled")&gt;0,"Cancelled",IF(E50="All Stages Closed","Completed",IF(E50="S1 Schematic",M50,IF(E50="S2 PCB Layout",Q50,IF(E50="S3 SI &amp; PI",U50,IF(E50="S4 Bare-PCB Fab",Y50,IF(E50="S5 Assembly",AC50,IF(E50="S6 Bring-up",AG50,AK50)))))))))</f>
        <v/>
      </c>
      <c r="G50" s="33" t="str">
        <f aca="false">IF($C50="","",IF(E50="All Stages Closed","",IF(E50="S1 Schematic",IF(N50="","Not added",N50),IF(E50="S2 PCB Layout",IF(R50="","Not added",R50),IF(E50="S3 SI &amp; PI",IF(V50="","Not added",V50),IF(E50="S4 Bare-PCB Fab",IF(Z50="","Not added",Z50),IF(E50="S5 Assembly",IF(AD50="","Not added",AD50),IF(E50="S6 Bring-up",IF(AH50="","Not added",AH50),IF(AL50="","Not added",AL50)))))))))</f>
        <v/>
      </c>
      <c r="H50" s="32" t="str">
        <f aca="true">IF($C50="","",IF(OR(F50="Completed",F50="Cancelled"),"",IF(NOT(ISNUMBER(G50)),"No date set",IF(TODAY()&gt;G50,TODAY()-G50&amp;" days late",G50-TODAY()&amp;" days left"))))</f>
        <v/>
      </c>
      <c r="I50" s="31" t="str">
        <f aca="false">IF($C50="","",COUNTIF(M50,"Completed")+COUNTIF(Q50,"Completed")+COUNTIF(U50,"Completed")+COUNTIF(Y50,"Completed")+COUNTIF(AC50,"Completed")+COUNTIF(AG50,"Completed")+COUNTIF(AK50,"Completed"))</f>
        <v/>
      </c>
      <c r="J50" s="31" t="str">
        <f aca="false">IF($C50="","",7-(COUNTIF(M50,"NA")+COUNTIF(Q50,"NA")+COUNTIF(U50,"NA")+COUNTIF(Y50,"NA")+COUNTIF(AC50,"NA")+COUNTIF(AG50,"NA")+COUNTIF(AK50,"NA")))</f>
        <v/>
      </c>
      <c r="K50" s="34" t="str">
        <f aca="false">IFERROR(I50/J50,"")</f>
        <v/>
      </c>
      <c r="L50" s="29"/>
      <c r="M50" s="35"/>
      <c r="N50" s="36"/>
      <c r="O50" s="36"/>
      <c r="P50" s="29"/>
      <c r="Q50" s="35"/>
      <c r="R50" s="36"/>
      <c r="S50" s="36"/>
      <c r="T50" s="29"/>
      <c r="U50" s="35"/>
      <c r="V50" s="36"/>
      <c r="W50" s="36"/>
      <c r="X50" s="29"/>
      <c r="Y50" s="35"/>
      <c r="Z50" s="36"/>
      <c r="AA50" s="36"/>
      <c r="AB50" s="29"/>
      <c r="AC50" s="35"/>
      <c r="AD50" s="36"/>
      <c r="AE50" s="36"/>
      <c r="AF50" s="29"/>
      <c r="AG50" s="35"/>
      <c r="AH50" s="36"/>
      <c r="AI50" s="36"/>
      <c r="AJ50" s="29"/>
      <c r="AK50" s="35"/>
      <c r="AL50" s="36"/>
      <c r="AM50" s="36"/>
      <c r="AN50" s="29"/>
      <c r="AO50" s="29"/>
      <c r="AP50" s="29"/>
      <c r="AQ50" s="37"/>
      <c r="AR50" s="29"/>
      <c r="AS50" s="38" t="str">
        <f aca="false">IF($C50="","",IF(OR(F50="Completed",F50="Cancelled"),"",IF(AND(OR(F50="On Hold",ISNUMBER(VALUE(LEFT(H50,2)))),AR50=""),"Reason not given","")))</f>
        <v/>
      </c>
      <c r="AT50" s="30"/>
      <c r="AU50" s="30"/>
    </row>
    <row r="51" customFormat="false" ht="19.5" hidden="false" customHeight="true" outlineLevel="0" collapsed="false">
      <c r="A51" s="28" t="str">
        <f aca="false">IF($C51="","",COUNTA($C$17:$C51))</f>
        <v/>
      </c>
      <c r="B51" s="29"/>
      <c r="C51" s="30"/>
      <c r="D51" s="29"/>
      <c r="E51" s="31" t="str">
        <f aca="false">IF($C51="","",IF(NOT(OR(M51="Completed",M51="NA",M51="Cancelled")),"S1 Schematic",IF(NOT(OR(Q51="Completed",Q51="NA",Q51="Cancelled")),"S2 PCB Layout",IF(NOT(OR(U51="Completed",U51="NA",U51="Cancelled")),"S3 SI &amp; PI",IF(NOT(OR(Y51="Completed",Y51="NA",Y51="Cancelled")),"S4 Bare-PCB Fab",IF(NOT(OR(AC51="Completed",AC51="NA",AC51="Cancelled")),"S5 Assembly",IF(NOT(OR(AG51="Completed",AG51="NA",AG51="Cancelled")),"S6 Bring-up",IF(NOT(OR(AK51="Completed",AK51="NA",AK51="Cancelled")),"S7 BOM Procurement","All Stages Closed"))))))))</f>
        <v/>
      </c>
      <c r="F51" s="32" t="str">
        <f aca="false">IF($C51="","",IF(COUNTIF(M51,"Cancelled")+COUNTIF(Q51,"Cancelled")+COUNTIF(U51,"Cancelled")+COUNTIF(Y51,"Cancelled")+COUNTIF(AC51,"Cancelled")+COUNTIF(AG51,"Cancelled")+COUNTIF(AK51,"Cancelled")&gt;0,"Cancelled",IF(E51="All Stages Closed","Completed",IF(E51="S1 Schematic",M51,IF(E51="S2 PCB Layout",Q51,IF(E51="S3 SI &amp; PI",U51,IF(E51="S4 Bare-PCB Fab",Y51,IF(E51="S5 Assembly",AC51,IF(E51="S6 Bring-up",AG51,AK51)))))))))</f>
        <v/>
      </c>
      <c r="G51" s="33" t="str">
        <f aca="false">IF($C51="","",IF(E51="All Stages Closed","",IF(E51="S1 Schematic",IF(N51="","Not added",N51),IF(E51="S2 PCB Layout",IF(R51="","Not added",R51),IF(E51="S3 SI &amp; PI",IF(V51="","Not added",V51),IF(E51="S4 Bare-PCB Fab",IF(Z51="","Not added",Z51),IF(E51="S5 Assembly",IF(AD51="","Not added",AD51),IF(E51="S6 Bring-up",IF(AH51="","Not added",AH51),IF(AL51="","Not added",AL51)))))))))</f>
        <v/>
      </c>
      <c r="H51" s="32" t="str">
        <f aca="true">IF($C51="","",IF(OR(F51="Completed",F51="Cancelled"),"",IF(NOT(ISNUMBER(G51)),"No date set",IF(TODAY()&gt;G51,TODAY()-G51&amp;" days late",G51-TODAY()&amp;" days left"))))</f>
        <v/>
      </c>
      <c r="I51" s="31" t="str">
        <f aca="false">IF($C51="","",COUNTIF(M51,"Completed")+COUNTIF(Q51,"Completed")+COUNTIF(U51,"Completed")+COUNTIF(Y51,"Completed")+COUNTIF(AC51,"Completed")+COUNTIF(AG51,"Completed")+COUNTIF(AK51,"Completed"))</f>
        <v/>
      </c>
      <c r="J51" s="31" t="str">
        <f aca="false">IF($C51="","",7-(COUNTIF(M51,"NA")+COUNTIF(Q51,"NA")+COUNTIF(U51,"NA")+COUNTIF(Y51,"NA")+COUNTIF(AC51,"NA")+COUNTIF(AG51,"NA")+COUNTIF(AK51,"NA")))</f>
        <v/>
      </c>
      <c r="K51" s="34" t="str">
        <f aca="false">IFERROR(I51/J51,"")</f>
        <v/>
      </c>
      <c r="L51" s="29"/>
      <c r="M51" s="35"/>
      <c r="N51" s="36"/>
      <c r="O51" s="36"/>
      <c r="P51" s="29"/>
      <c r="Q51" s="35"/>
      <c r="R51" s="36"/>
      <c r="S51" s="36"/>
      <c r="T51" s="29"/>
      <c r="U51" s="35"/>
      <c r="V51" s="36"/>
      <c r="W51" s="36"/>
      <c r="X51" s="29"/>
      <c r="Y51" s="35"/>
      <c r="Z51" s="36"/>
      <c r="AA51" s="36"/>
      <c r="AB51" s="29"/>
      <c r="AC51" s="35"/>
      <c r="AD51" s="36"/>
      <c r="AE51" s="36"/>
      <c r="AF51" s="29"/>
      <c r="AG51" s="35"/>
      <c r="AH51" s="36"/>
      <c r="AI51" s="36"/>
      <c r="AJ51" s="29"/>
      <c r="AK51" s="35"/>
      <c r="AL51" s="36"/>
      <c r="AM51" s="36"/>
      <c r="AN51" s="29"/>
      <c r="AO51" s="29"/>
      <c r="AP51" s="29"/>
      <c r="AQ51" s="37"/>
      <c r="AR51" s="29"/>
      <c r="AS51" s="38" t="str">
        <f aca="false">IF($C51="","",IF(OR(F51="Completed",F51="Cancelled"),"",IF(AND(OR(F51="On Hold",ISNUMBER(VALUE(LEFT(H51,2)))),AR51=""),"Reason not given","")))</f>
        <v/>
      </c>
      <c r="AT51" s="30"/>
      <c r="AU51" s="30"/>
    </row>
    <row r="52" customFormat="false" ht="19.5" hidden="false" customHeight="true" outlineLevel="0" collapsed="false">
      <c r="A52" s="28" t="str">
        <f aca="false">IF($C52="","",COUNTA($C$17:$C52))</f>
        <v/>
      </c>
      <c r="B52" s="29"/>
      <c r="C52" s="30"/>
      <c r="D52" s="29"/>
      <c r="E52" s="31" t="str">
        <f aca="false">IF($C52="","",IF(NOT(OR(M52="Completed",M52="NA",M52="Cancelled")),"S1 Schematic",IF(NOT(OR(Q52="Completed",Q52="NA",Q52="Cancelled")),"S2 PCB Layout",IF(NOT(OR(U52="Completed",U52="NA",U52="Cancelled")),"S3 SI &amp; PI",IF(NOT(OR(Y52="Completed",Y52="NA",Y52="Cancelled")),"S4 Bare-PCB Fab",IF(NOT(OR(AC52="Completed",AC52="NA",AC52="Cancelled")),"S5 Assembly",IF(NOT(OR(AG52="Completed",AG52="NA",AG52="Cancelled")),"S6 Bring-up",IF(NOT(OR(AK52="Completed",AK52="NA",AK52="Cancelled")),"S7 BOM Procurement","All Stages Closed"))))))))</f>
        <v/>
      </c>
      <c r="F52" s="32" t="str">
        <f aca="false">IF($C52="","",IF(COUNTIF(M52,"Cancelled")+COUNTIF(Q52,"Cancelled")+COUNTIF(U52,"Cancelled")+COUNTIF(Y52,"Cancelled")+COUNTIF(AC52,"Cancelled")+COUNTIF(AG52,"Cancelled")+COUNTIF(AK52,"Cancelled")&gt;0,"Cancelled",IF(E52="All Stages Closed","Completed",IF(E52="S1 Schematic",M52,IF(E52="S2 PCB Layout",Q52,IF(E52="S3 SI &amp; PI",U52,IF(E52="S4 Bare-PCB Fab",Y52,IF(E52="S5 Assembly",AC52,IF(E52="S6 Bring-up",AG52,AK52)))))))))</f>
        <v/>
      </c>
      <c r="G52" s="33" t="str">
        <f aca="false">IF($C52="","",IF(E52="All Stages Closed","",IF(E52="S1 Schematic",IF(N52="","Not added",N52),IF(E52="S2 PCB Layout",IF(R52="","Not added",R52),IF(E52="S3 SI &amp; PI",IF(V52="","Not added",V52),IF(E52="S4 Bare-PCB Fab",IF(Z52="","Not added",Z52),IF(E52="S5 Assembly",IF(AD52="","Not added",AD52),IF(E52="S6 Bring-up",IF(AH52="","Not added",AH52),IF(AL52="","Not added",AL52)))))))))</f>
        <v/>
      </c>
      <c r="H52" s="32" t="str">
        <f aca="true">IF($C52="","",IF(OR(F52="Completed",F52="Cancelled"),"",IF(NOT(ISNUMBER(G52)),"No date set",IF(TODAY()&gt;G52,TODAY()-G52&amp;" days late",G52-TODAY()&amp;" days left"))))</f>
        <v/>
      </c>
      <c r="I52" s="31" t="str">
        <f aca="false">IF($C52="","",COUNTIF(M52,"Completed")+COUNTIF(Q52,"Completed")+COUNTIF(U52,"Completed")+COUNTIF(Y52,"Completed")+COUNTIF(AC52,"Completed")+COUNTIF(AG52,"Completed")+COUNTIF(AK52,"Completed"))</f>
        <v/>
      </c>
      <c r="J52" s="31" t="str">
        <f aca="false">IF($C52="","",7-(COUNTIF(M52,"NA")+COUNTIF(Q52,"NA")+COUNTIF(U52,"NA")+COUNTIF(Y52,"NA")+COUNTIF(AC52,"NA")+COUNTIF(AG52,"NA")+COUNTIF(AK52,"NA")))</f>
        <v/>
      </c>
      <c r="K52" s="34" t="str">
        <f aca="false">IFERROR(I52/J52,"")</f>
        <v/>
      </c>
      <c r="L52" s="29"/>
      <c r="M52" s="35"/>
      <c r="N52" s="36"/>
      <c r="O52" s="36"/>
      <c r="P52" s="29"/>
      <c r="Q52" s="35"/>
      <c r="R52" s="36"/>
      <c r="S52" s="36"/>
      <c r="T52" s="29"/>
      <c r="U52" s="35"/>
      <c r="V52" s="36"/>
      <c r="W52" s="36"/>
      <c r="X52" s="29"/>
      <c r="Y52" s="35"/>
      <c r="Z52" s="36"/>
      <c r="AA52" s="36"/>
      <c r="AB52" s="29"/>
      <c r="AC52" s="35"/>
      <c r="AD52" s="36"/>
      <c r="AE52" s="36"/>
      <c r="AF52" s="29"/>
      <c r="AG52" s="35"/>
      <c r="AH52" s="36"/>
      <c r="AI52" s="36"/>
      <c r="AJ52" s="29"/>
      <c r="AK52" s="35"/>
      <c r="AL52" s="36"/>
      <c r="AM52" s="36"/>
      <c r="AN52" s="29"/>
      <c r="AO52" s="29"/>
      <c r="AP52" s="29"/>
      <c r="AQ52" s="37"/>
      <c r="AR52" s="29"/>
      <c r="AS52" s="38" t="str">
        <f aca="false">IF($C52="","",IF(OR(F52="Completed",F52="Cancelled"),"",IF(AND(OR(F52="On Hold",ISNUMBER(VALUE(LEFT(H52,2)))),AR52=""),"Reason not given","")))</f>
        <v/>
      </c>
      <c r="AT52" s="30"/>
      <c r="AU52" s="30"/>
    </row>
    <row r="53" customFormat="false" ht="19.5" hidden="false" customHeight="true" outlineLevel="0" collapsed="false">
      <c r="A53" s="28" t="str">
        <f aca="false">IF($C53="","",COUNTA($C$17:$C53))</f>
        <v/>
      </c>
      <c r="B53" s="29"/>
      <c r="C53" s="30"/>
      <c r="D53" s="29"/>
      <c r="E53" s="31" t="str">
        <f aca="false">IF($C53="","",IF(NOT(OR(M53="Completed",M53="NA",M53="Cancelled")),"S1 Schematic",IF(NOT(OR(Q53="Completed",Q53="NA",Q53="Cancelled")),"S2 PCB Layout",IF(NOT(OR(U53="Completed",U53="NA",U53="Cancelled")),"S3 SI &amp; PI",IF(NOT(OR(Y53="Completed",Y53="NA",Y53="Cancelled")),"S4 Bare-PCB Fab",IF(NOT(OR(AC53="Completed",AC53="NA",AC53="Cancelled")),"S5 Assembly",IF(NOT(OR(AG53="Completed",AG53="NA",AG53="Cancelled")),"S6 Bring-up",IF(NOT(OR(AK53="Completed",AK53="NA",AK53="Cancelled")),"S7 BOM Procurement","All Stages Closed"))))))))</f>
        <v/>
      </c>
      <c r="F53" s="32" t="str">
        <f aca="false">IF($C53="","",IF(COUNTIF(M53,"Cancelled")+COUNTIF(Q53,"Cancelled")+COUNTIF(U53,"Cancelled")+COUNTIF(Y53,"Cancelled")+COUNTIF(AC53,"Cancelled")+COUNTIF(AG53,"Cancelled")+COUNTIF(AK53,"Cancelled")&gt;0,"Cancelled",IF(E53="All Stages Closed","Completed",IF(E53="S1 Schematic",M53,IF(E53="S2 PCB Layout",Q53,IF(E53="S3 SI &amp; PI",U53,IF(E53="S4 Bare-PCB Fab",Y53,IF(E53="S5 Assembly",AC53,IF(E53="S6 Bring-up",AG53,AK53)))))))))</f>
        <v/>
      </c>
      <c r="G53" s="33" t="str">
        <f aca="false">IF($C53="","",IF(E53="All Stages Closed","",IF(E53="S1 Schematic",IF(N53="","Not added",N53),IF(E53="S2 PCB Layout",IF(R53="","Not added",R53),IF(E53="S3 SI &amp; PI",IF(V53="","Not added",V53),IF(E53="S4 Bare-PCB Fab",IF(Z53="","Not added",Z53),IF(E53="S5 Assembly",IF(AD53="","Not added",AD53),IF(E53="S6 Bring-up",IF(AH53="","Not added",AH53),IF(AL53="","Not added",AL53)))))))))</f>
        <v/>
      </c>
      <c r="H53" s="32" t="str">
        <f aca="true">IF($C53="","",IF(OR(F53="Completed",F53="Cancelled"),"",IF(NOT(ISNUMBER(G53)),"No date set",IF(TODAY()&gt;G53,TODAY()-G53&amp;" days late",G53-TODAY()&amp;" days left"))))</f>
        <v/>
      </c>
      <c r="I53" s="31" t="str">
        <f aca="false">IF($C53="","",COUNTIF(M53,"Completed")+COUNTIF(Q53,"Completed")+COUNTIF(U53,"Completed")+COUNTIF(Y53,"Completed")+COUNTIF(AC53,"Completed")+COUNTIF(AG53,"Completed")+COUNTIF(AK53,"Completed"))</f>
        <v/>
      </c>
      <c r="J53" s="31" t="str">
        <f aca="false">IF($C53="","",7-(COUNTIF(M53,"NA")+COUNTIF(Q53,"NA")+COUNTIF(U53,"NA")+COUNTIF(Y53,"NA")+COUNTIF(AC53,"NA")+COUNTIF(AG53,"NA")+COUNTIF(AK53,"NA")))</f>
        <v/>
      </c>
      <c r="K53" s="34" t="str">
        <f aca="false">IFERROR(I53/J53,"")</f>
        <v/>
      </c>
      <c r="L53" s="29"/>
      <c r="M53" s="35"/>
      <c r="N53" s="36"/>
      <c r="O53" s="36"/>
      <c r="P53" s="29"/>
      <c r="Q53" s="35"/>
      <c r="R53" s="36"/>
      <c r="S53" s="36"/>
      <c r="T53" s="29"/>
      <c r="U53" s="35"/>
      <c r="V53" s="36"/>
      <c r="W53" s="36"/>
      <c r="X53" s="29"/>
      <c r="Y53" s="35"/>
      <c r="Z53" s="36"/>
      <c r="AA53" s="36"/>
      <c r="AB53" s="29"/>
      <c r="AC53" s="35"/>
      <c r="AD53" s="36"/>
      <c r="AE53" s="36"/>
      <c r="AF53" s="29"/>
      <c r="AG53" s="35"/>
      <c r="AH53" s="36"/>
      <c r="AI53" s="36"/>
      <c r="AJ53" s="29"/>
      <c r="AK53" s="35"/>
      <c r="AL53" s="36"/>
      <c r="AM53" s="36"/>
      <c r="AN53" s="29"/>
      <c r="AO53" s="29"/>
      <c r="AP53" s="29"/>
      <c r="AQ53" s="37"/>
      <c r="AR53" s="29"/>
      <c r="AS53" s="38" t="str">
        <f aca="false">IF($C53="","",IF(OR(F53="Completed",F53="Cancelled"),"",IF(AND(OR(F53="On Hold",ISNUMBER(VALUE(LEFT(H53,2)))),AR53=""),"Reason not given","")))</f>
        <v/>
      </c>
      <c r="AT53" s="30"/>
      <c r="AU53" s="30"/>
    </row>
    <row r="54" customFormat="false" ht="19.5" hidden="false" customHeight="true" outlineLevel="0" collapsed="false">
      <c r="A54" s="28" t="str">
        <f aca="false">IF($C54="","",COUNTA($C$17:$C54))</f>
        <v/>
      </c>
      <c r="B54" s="29"/>
      <c r="C54" s="30"/>
      <c r="D54" s="29"/>
      <c r="E54" s="31" t="str">
        <f aca="false">IF($C54="","",IF(NOT(OR(M54="Completed",M54="NA",M54="Cancelled")),"S1 Schematic",IF(NOT(OR(Q54="Completed",Q54="NA",Q54="Cancelled")),"S2 PCB Layout",IF(NOT(OR(U54="Completed",U54="NA",U54="Cancelled")),"S3 SI &amp; PI",IF(NOT(OR(Y54="Completed",Y54="NA",Y54="Cancelled")),"S4 Bare-PCB Fab",IF(NOT(OR(AC54="Completed",AC54="NA",AC54="Cancelled")),"S5 Assembly",IF(NOT(OR(AG54="Completed",AG54="NA",AG54="Cancelled")),"S6 Bring-up",IF(NOT(OR(AK54="Completed",AK54="NA",AK54="Cancelled")),"S7 BOM Procurement","All Stages Closed"))))))))</f>
        <v/>
      </c>
      <c r="F54" s="32" t="str">
        <f aca="false">IF($C54="","",IF(COUNTIF(M54,"Cancelled")+COUNTIF(Q54,"Cancelled")+COUNTIF(U54,"Cancelled")+COUNTIF(Y54,"Cancelled")+COUNTIF(AC54,"Cancelled")+COUNTIF(AG54,"Cancelled")+COUNTIF(AK54,"Cancelled")&gt;0,"Cancelled",IF(E54="All Stages Closed","Completed",IF(E54="S1 Schematic",M54,IF(E54="S2 PCB Layout",Q54,IF(E54="S3 SI &amp; PI",U54,IF(E54="S4 Bare-PCB Fab",Y54,IF(E54="S5 Assembly",AC54,IF(E54="S6 Bring-up",AG54,AK54)))))))))</f>
        <v/>
      </c>
      <c r="G54" s="33" t="str">
        <f aca="false">IF($C54="","",IF(E54="All Stages Closed","",IF(E54="S1 Schematic",IF(N54="","Not added",N54),IF(E54="S2 PCB Layout",IF(R54="","Not added",R54),IF(E54="S3 SI &amp; PI",IF(V54="","Not added",V54),IF(E54="S4 Bare-PCB Fab",IF(Z54="","Not added",Z54),IF(E54="S5 Assembly",IF(AD54="","Not added",AD54),IF(E54="S6 Bring-up",IF(AH54="","Not added",AH54),IF(AL54="","Not added",AL54)))))))))</f>
        <v/>
      </c>
      <c r="H54" s="32" t="str">
        <f aca="true">IF($C54="","",IF(OR(F54="Completed",F54="Cancelled"),"",IF(NOT(ISNUMBER(G54)),"No date set",IF(TODAY()&gt;G54,TODAY()-G54&amp;" days late",G54-TODAY()&amp;" days left"))))</f>
        <v/>
      </c>
      <c r="I54" s="31" t="str">
        <f aca="false">IF($C54="","",COUNTIF(M54,"Completed")+COUNTIF(Q54,"Completed")+COUNTIF(U54,"Completed")+COUNTIF(Y54,"Completed")+COUNTIF(AC54,"Completed")+COUNTIF(AG54,"Completed")+COUNTIF(AK54,"Completed"))</f>
        <v/>
      </c>
      <c r="J54" s="31" t="str">
        <f aca="false">IF($C54="","",7-(COUNTIF(M54,"NA")+COUNTIF(Q54,"NA")+COUNTIF(U54,"NA")+COUNTIF(Y54,"NA")+COUNTIF(AC54,"NA")+COUNTIF(AG54,"NA")+COUNTIF(AK54,"NA")))</f>
        <v/>
      </c>
      <c r="K54" s="34" t="str">
        <f aca="false">IFERROR(I54/J54,"")</f>
        <v/>
      </c>
      <c r="L54" s="29"/>
      <c r="M54" s="35"/>
      <c r="N54" s="36"/>
      <c r="O54" s="36"/>
      <c r="P54" s="29"/>
      <c r="Q54" s="35"/>
      <c r="R54" s="36"/>
      <c r="S54" s="36"/>
      <c r="T54" s="29"/>
      <c r="U54" s="35"/>
      <c r="V54" s="36"/>
      <c r="W54" s="36"/>
      <c r="X54" s="29"/>
      <c r="Y54" s="35"/>
      <c r="Z54" s="36"/>
      <c r="AA54" s="36"/>
      <c r="AB54" s="29"/>
      <c r="AC54" s="35"/>
      <c r="AD54" s="36"/>
      <c r="AE54" s="36"/>
      <c r="AF54" s="29"/>
      <c r="AG54" s="35"/>
      <c r="AH54" s="36"/>
      <c r="AI54" s="36"/>
      <c r="AJ54" s="29"/>
      <c r="AK54" s="35"/>
      <c r="AL54" s="36"/>
      <c r="AM54" s="36"/>
      <c r="AN54" s="29"/>
      <c r="AO54" s="29"/>
      <c r="AP54" s="29"/>
      <c r="AQ54" s="37"/>
      <c r="AR54" s="29"/>
      <c r="AS54" s="38" t="str">
        <f aca="false">IF($C54="","",IF(OR(F54="Completed",F54="Cancelled"),"",IF(AND(OR(F54="On Hold",ISNUMBER(VALUE(LEFT(H54,2)))),AR54=""),"Reason not given","")))</f>
        <v/>
      </c>
      <c r="AT54" s="30"/>
      <c r="AU54" s="30"/>
    </row>
    <row r="55" customFormat="false" ht="19.5" hidden="false" customHeight="true" outlineLevel="0" collapsed="false">
      <c r="A55" s="28" t="str">
        <f aca="false">IF($C55="","",COUNTA($C$17:$C55))</f>
        <v/>
      </c>
      <c r="B55" s="29"/>
      <c r="C55" s="30"/>
      <c r="D55" s="29"/>
      <c r="E55" s="31" t="str">
        <f aca="false">IF($C55="","",IF(NOT(OR(M55="Completed",M55="NA",M55="Cancelled")),"S1 Schematic",IF(NOT(OR(Q55="Completed",Q55="NA",Q55="Cancelled")),"S2 PCB Layout",IF(NOT(OR(U55="Completed",U55="NA",U55="Cancelled")),"S3 SI &amp; PI",IF(NOT(OR(Y55="Completed",Y55="NA",Y55="Cancelled")),"S4 Bare-PCB Fab",IF(NOT(OR(AC55="Completed",AC55="NA",AC55="Cancelled")),"S5 Assembly",IF(NOT(OR(AG55="Completed",AG55="NA",AG55="Cancelled")),"S6 Bring-up",IF(NOT(OR(AK55="Completed",AK55="NA",AK55="Cancelled")),"S7 BOM Procurement","All Stages Closed"))))))))</f>
        <v/>
      </c>
      <c r="F55" s="32" t="str">
        <f aca="false">IF($C55="","",IF(COUNTIF(M55,"Cancelled")+COUNTIF(Q55,"Cancelled")+COUNTIF(U55,"Cancelled")+COUNTIF(Y55,"Cancelled")+COUNTIF(AC55,"Cancelled")+COUNTIF(AG55,"Cancelled")+COUNTIF(AK55,"Cancelled")&gt;0,"Cancelled",IF(E55="All Stages Closed","Completed",IF(E55="S1 Schematic",M55,IF(E55="S2 PCB Layout",Q55,IF(E55="S3 SI &amp; PI",U55,IF(E55="S4 Bare-PCB Fab",Y55,IF(E55="S5 Assembly",AC55,IF(E55="S6 Bring-up",AG55,AK55)))))))))</f>
        <v/>
      </c>
      <c r="G55" s="33" t="str">
        <f aca="false">IF($C55="","",IF(E55="All Stages Closed","",IF(E55="S1 Schematic",IF(N55="","Not added",N55),IF(E55="S2 PCB Layout",IF(R55="","Not added",R55),IF(E55="S3 SI &amp; PI",IF(V55="","Not added",V55),IF(E55="S4 Bare-PCB Fab",IF(Z55="","Not added",Z55),IF(E55="S5 Assembly",IF(AD55="","Not added",AD55),IF(E55="S6 Bring-up",IF(AH55="","Not added",AH55),IF(AL55="","Not added",AL55)))))))))</f>
        <v/>
      </c>
      <c r="H55" s="32" t="str">
        <f aca="true">IF($C55="","",IF(OR(F55="Completed",F55="Cancelled"),"",IF(NOT(ISNUMBER(G55)),"No date set",IF(TODAY()&gt;G55,TODAY()-G55&amp;" days late",G55-TODAY()&amp;" days left"))))</f>
        <v/>
      </c>
      <c r="I55" s="31" t="str">
        <f aca="false">IF($C55="","",COUNTIF(M55,"Completed")+COUNTIF(Q55,"Completed")+COUNTIF(U55,"Completed")+COUNTIF(Y55,"Completed")+COUNTIF(AC55,"Completed")+COUNTIF(AG55,"Completed")+COUNTIF(AK55,"Completed"))</f>
        <v/>
      </c>
      <c r="J55" s="31" t="str">
        <f aca="false">IF($C55="","",7-(COUNTIF(M55,"NA")+COUNTIF(Q55,"NA")+COUNTIF(U55,"NA")+COUNTIF(Y55,"NA")+COUNTIF(AC55,"NA")+COUNTIF(AG55,"NA")+COUNTIF(AK55,"NA")))</f>
        <v/>
      </c>
      <c r="K55" s="34" t="str">
        <f aca="false">IFERROR(I55/J55,"")</f>
        <v/>
      </c>
      <c r="L55" s="29"/>
      <c r="M55" s="35"/>
      <c r="N55" s="36"/>
      <c r="O55" s="36"/>
      <c r="P55" s="29"/>
      <c r="Q55" s="35"/>
      <c r="R55" s="36"/>
      <c r="S55" s="36"/>
      <c r="T55" s="29"/>
      <c r="U55" s="35"/>
      <c r="V55" s="36"/>
      <c r="W55" s="36"/>
      <c r="X55" s="29"/>
      <c r="Y55" s="35"/>
      <c r="Z55" s="36"/>
      <c r="AA55" s="36"/>
      <c r="AB55" s="29"/>
      <c r="AC55" s="35"/>
      <c r="AD55" s="36"/>
      <c r="AE55" s="36"/>
      <c r="AF55" s="29"/>
      <c r="AG55" s="35"/>
      <c r="AH55" s="36"/>
      <c r="AI55" s="36"/>
      <c r="AJ55" s="29"/>
      <c r="AK55" s="35"/>
      <c r="AL55" s="36"/>
      <c r="AM55" s="36"/>
      <c r="AN55" s="29"/>
      <c r="AO55" s="29"/>
      <c r="AP55" s="29"/>
      <c r="AQ55" s="37"/>
      <c r="AR55" s="29"/>
      <c r="AS55" s="38" t="str">
        <f aca="false">IF($C55="","",IF(OR(F55="Completed",F55="Cancelled"),"",IF(AND(OR(F55="On Hold",ISNUMBER(VALUE(LEFT(H55,2)))),AR55=""),"Reason not given","")))</f>
        <v/>
      </c>
      <c r="AT55" s="30"/>
      <c r="AU55" s="30"/>
    </row>
    <row r="56" customFormat="false" ht="19.5" hidden="false" customHeight="true" outlineLevel="0" collapsed="false">
      <c r="A56" s="28" t="str">
        <f aca="false">IF($C56="","",COUNTA($C$17:$C56))</f>
        <v/>
      </c>
      <c r="B56" s="29"/>
      <c r="C56" s="30"/>
      <c r="D56" s="29"/>
      <c r="E56" s="31" t="str">
        <f aca="false">IF($C56="","",IF(NOT(OR(M56="Completed",M56="NA",M56="Cancelled")),"S1 Schematic",IF(NOT(OR(Q56="Completed",Q56="NA",Q56="Cancelled")),"S2 PCB Layout",IF(NOT(OR(U56="Completed",U56="NA",U56="Cancelled")),"S3 SI &amp; PI",IF(NOT(OR(Y56="Completed",Y56="NA",Y56="Cancelled")),"S4 Bare-PCB Fab",IF(NOT(OR(AC56="Completed",AC56="NA",AC56="Cancelled")),"S5 Assembly",IF(NOT(OR(AG56="Completed",AG56="NA",AG56="Cancelled")),"S6 Bring-up",IF(NOT(OR(AK56="Completed",AK56="NA",AK56="Cancelled")),"S7 BOM Procurement","All Stages Closed"))))))))</f>
        <v/>
      </c>
      <c r="F56" s="32" t="str">
        <f aca="false">IF($C56="","",IF(COUNTIF(M56,"Cancelled")+COUNTIF(Q56,"Cancelled")+COUNTIF(U56,"Cancelled")+COUNTIF(Y56,"Cancelled")+COUNTIF(AC56,"Cancelled")+COUNTIF(AG56,"Cancelled")+COUNTIF(AK56,"Cancelled")&gt;0,"Cancelled",IF(E56="All Stages Closed","Completed",IF(E56="S1 Schematic",M56,IF(E56="S2 PCB Layout",Q56,IF(E56="S3 SI &amp; PI",U56,IF(E56="S4 Bare-PCB Fab",Y56,IF(E56="S5 Assembly",AC56,IF(E56="S6 Bring-up",AG56,AK56)))))))))</f>
        <v/>
      </c>
      <c r="G56" s="33" t="str">
        <f aca="false">IF($C56="","",IF(E56="All Stages Closed","",IF(E56="S1 Schematic",IF(N56="","Not added",N56),IF(E56="S2 PCB Layout",IF(R56="","Not added",R56),IF(E56="S3 SI &amp; PI",IF(V56="","Not added",V56),IF(E56="S4 Bare-PCB Fab",IF(Z56="","Not added",Z56),IF(E56="S5 Assembly",IF(AD56="","Not added",AD56),IF(E56="S6 Bring-up",IF(AH56="","Not added",AH56),IF(AL56="","Not added",AL56)))))))))</f>
        <v/>
      </c>
      <c r="H56" s="32" t="str">
        <f aca="true">IF($C56="","",IF(OR(F56="Completed",F56="Cancelled"),"",IF(NOT(ISNUMBER(G56)),"No date set",IF(TODAY()&gt;G56,TODAY()-G56&amp;" days late",G56-TODAY()&amp;" days left"))))</f>
        <v/>
      </c>
      <c r="I56" s="31" t="str">
        <f aca="false">IF($C56="","",COUNTIF(M56,"Completed")+COUNTIF(Q56,"Completed")+COUNTIF(U56,"Completed")+COUNTIF(Y56,"Completed")+COUNTIF(AC56,"Completed")+COUNTIF(AG56,"Completed")+COUNTIF(AK56,"Completed"))</f>
        <v/>
      </c>
      <c r="J56" s="31" t="str">
        <f aca="false">IF($C56="","",7-(COUNTIF(M56,"NA")+COUNTIF(Q56,"NA")+COUNTIF(U56,"NA")+COUNTIF(Y56,"NA")+COUNTIF(AC56,"NA")+COUNTIF(AG56,"NA")+COUNTIF(AK56,"NA")))</f>
        <v/>
      </c>
      <c r="K56" s="34" t="str">
        <f aca="false">IFERROR(I56/J56,"")</f>
        <v/>
      </c>
      <c r="L56" s="29"/>
      <c r="M56" s="35"/>
      <c r="N56" s="36"/>
      <c r="O56" s="36"/>
      <c r="P56" s="29"/>
      <c r="Q56" s="35"/>
      <c r="R56" s="36"/>
      <c r="S56" s="36"/>
      <c r="T56" s="29"/>
      <c r="U56" s="35"/>
      <c r="V56" s="36"/>
      <c r="W56" s="36"/>
      <c r="X56" s="29"/>
      <c r="Y56" s="35"/>
      <c r="Z56" s="36"/>
      <c r="AA56" s="36"/>
      <c r="AB56" s="29"/>
      <c r="AC56" s="35"/>
      <c r="AD56" s="36"/>
      <c r="AE56" s="36"/>
      <c r="AF56" s="29"/>
      <c r="AG56" s="35"/>
      <c r="AH56" s="36"/>
      <c r="AI56" s="36"/>
      <c r="AJ56" s="29"/>
      <c r="AK56" s="35"/>
      <c r="AL56" s="36"/>
      <c r="AM56" s="36"/>
      <c r="AN56" s="29"/>
      <c r="AO56" s="29"/>
      <c r="AP56" s="29"/>
      <c r="AQ56" s="37"/>
      <c r="AR56" s="29"/>
      <c r="AS56" s="38" t="str">
        <f aca="false">IF($C56="","",IF(OR(F56="Completed",F56="Cancelled"),"",IF(AND(OR(F56="On Hold",ISNUMBER(VALUE(LEFT(H56,2)))),AR56=""),"Reason not given","")))</f>
        <v/>
      </c>
      <c r="AT56" s="30"/>
      <c r="AU56" s="30"/>
    </row>
    <row r="57" customFormat="false" ht="19.5" hidden="false" customHeight="true" outlineLevel="0" collapsed="false">
      <c r="A57" s="28" t="str">
        <f aca="false">IF($C57="","",COUNTA($C$17:$C57))</f>
        <v/>
      </c>
      <c r="B57" s="29"/>
      <c r="C57" s="30"/>
      <c r="D57" s="29"/>
      <c r="E57" s="31" t="str">
        <f aca="false">IF($C57="","",IF(NOT(OR(M57="Completed",M57="NA",M57="Cancelled")),"S1 Schematic",IF(NOT(OR(Q57="Completed",Q57="NA",Q57="Cancelled")),"S2 PCB Layout",IF(NOT(OR(U57="Completed",U57="NA",U57="Cancelled")),"S3 SI &amp; PI",IF(NOT(OR(Y57="Completed",Y57="NA",Y57="Cancelled")),"S4 Bare-PCB Fab",IF(NOT(OR(AC57="Completed",AC57="NA",AC57="Cancelled")),"S5 Assembly",IF(NOT(OR(AG57="Completed",AG57="NA",AG57="Cancelled")),"S6 Bring-up",IF(NOT(OR(AK57="Completed",AK57="NA",AK57="Cancelled")),"S7 BOM Procurement","All Stages Closed"))))))))</f>
        <v/>
      </c>
      <c r="F57" s="32" t="str">
        <f aca="false">IF($C57="","",IF(COUNTIF(M57,"Cancelled")+COUNTIF(Q57,"Cancelled")+COUNTIF(U57,"Cancelled")+COUNTIF(Y57,"Cancelled")+COUNTIF(AC57,"Cancelled")+COUNTIF(AG57,"Cancelled")+COUNTIF(AK57,"Cancelled")&gt;0,"Cancelled",IF(E57="All Stages Closed","Completed",IF(E57="S1 Schematic",M57,IF(E57="S2 PCB Layout",Q57,IF(E57="S3 SI &amp; PI",U57,IF(E57="S4 Bare-PCB Fab",Y57,IF(E57="S5 Assembly",AC57,IF(E57="S6 Bring-up",AG57,AK57)))))))))</f>
        <v/>
      </c>
      <c r="G57" s="33" t="str">
        <f aca="false">IF($C57="","",IF(E57="All Stages Closed","",IF(E57="S1 Schematic",IF(N57="","Not added",N57),IF(E57="S2 PCB Layout",IF(R57="","Not added",R57),IF(E57="S3 SI &amp; PI",IF(V57="","Not added",V57),IF(E57="S4 Bare-PCB Fab",IF(Z57="","Not added",Z57),IF(E57="S5 Assembly",IF(AD57="","Not added",AD57),IF(E57="S6 Bring-up",IF(AH57="","Not added",AH57),IF(AL57="","Not added",AL57)))))))))</f>
        <v/>
      </c>
      <c r="H57" s="32" t="str">
        <f aca="true">IF($C57="","",IF(OR(F57="Completed",F57="Cancelled"),"",IF(NOT(ISNUMBER(G57)),"No date set",IF(TODAY()&gt;G57,TODAY()-G57&amp;" days late",G57-TODAY()&amp;" days left"))))</f>
        <v/>
      </c>
      <c r="I57" s="31" t="str">
        <f aca="false">IF($C57="","",COUNTIF(M57,"Completed")+COUNTIF(Q57,"Completed")+COUNTIF(U57,"Completed")+COUNTIF(Y57,"Completed")+COUNTIF(AC57,"Completed")+COUNTIF(AG57,"Completed")+COUNTIF(AK57,"Completed"))</f>
        <v/>
      </c>
      <c r="J57" s="31" t="str">
        <f aca="false">IF($C57="","",7-(COUNTIF(M57,"NA")+COUNTIF(Q57,"NA")+COUNTIF(U57,"NA")+COUNTIF(Y57,"NA")+COUNTIF(AC57,"NA")+COUNTIF(AG57,"NA")+COUNTIF(AK57,"NA")))</f>
        <v/>
      </c>
      <c r="K57" s="34" t="str">
        <f aca="false">IFERROR(I57/J57,"")</f>
        <v/>
      </c>
      <c r="L57" s="29"/>
      <c r="M57" s="35"/>
      <c r="N57" s="36"/>
      <c r="O57" s="36"/>
      <c r="P57" s="29"/>
      <c r="Q57" s="35"/>
      <c r="R57" s="36"/>
      <c r="S57" s="36"/>
      <c r="T57" s="29"/>
      <c r="U57" s="35"/>
      <c r="V57" s="36"/>
      <c r="W57" s="36"/>
      <c r="X57" s="29"/>
      <c r="Y57" s="35"/>
      <c r="Z57" s="36"/>
      <c r="AA57" s="36"/>
      <c r="AB57" s="29"/>
      <c r="AC57" s="35"/>
      <c r="AD57" s="36"/>
      <c r="AE57" s="36"/>
      <c r="AF57" s="29"/>
      <c r="AG57" s="35"/>
      <c r="AH57" s="36"/>
      <c r="AI57" s="36"/>
      <c r="AJ57" s="29"/>
      <c r="AK57" s="35"/>
      <c r="AL57" s="36"/>
      <c r="AM57" s="36"/>
      <c r="AN57" s="29"/>
      <c r="AO57" s="29"/>
      <c r="AP57" s="29"/>
      <c r="AQ57" s="37"/>
      <c r="AR57" s="29"/>
      <c r="AS57" s="38" t="str">
        <f aca="false">IF($C57="","",IF(OR(F57="Completed",F57="Cancelled"),"",IF(AND(OR(F57="On Hold",ISNUMBER(VALUE(LEFT(H57,2)))),AR57=""),"Reason not given","")))</f>
        <v/>
      </c>
      <c r="AT57" s="30"/>
      <c r="AU57" s="30"/>
    </row>
    <row r="58" customFormat="false" ht="19.5" hidden="false" customHeight="true" outlineLevel="0" collapsed="false">
      <c r="A58" s="28" t="str">
        <f aca="false">IF($C58="","",COUNTA($C$17:$C58))</f>
        <v/>
      </c>
      <c r="B58" s="29"/>
      <c r="C58" s="30"/>
      <c r="D58" s="29"/>
      <c r="E58" s="31" t="str">
        <f aca="false">IF($C58="","",IF(NOT(OR(M58="Completed",M58="NA",M58="Cancelled")),"S1 Schematic",IF(NOT(OR(Q58="Completed",Q58="NA",Q58="Cancelled")),"S2 PCB Layout",IF(NOT(OR(U58="Completed",U58="NA",U58="Cancelled")),"S3 SI &amp; PI",IF(NOT(OR(Y58="Completed",Y58="NA",Y58="Cancelled")),"S4 Bare-PCB Fab",IF(NOT(OR(AC58="Completed",AC58="NA",AC58="Cancelled")),"S5 Assembly",IF(NOT(OR(AG58="Completed",AG58="NA",AG58="Cancelled")),"S6 Bring-up",IF(NOT(OR(AK58="Completed",AK58="NA",AK58="Cancelled")),"S7 BOM Procurement","All Stages Closed"))))))))</f>
        <v/>
      </c>
      <c r="F58" s="32" t="str">
        <f aca="false">IF($C58="","",IF(COUNTIF(M58,"Cancelled")+COUNTIF(Q58,"Cancelled")+COUNTIF(U58,"Cancelled")+COUNTIF(Y58,"Cancelled")+COUNTIF(AC58,"Cancelled")+COUNTIF(AG58,"Cancelled")+COUNTIF(AK58,"Cancelled")&gt;0,"Cancelled",IF(E58="All Stages Closed","Completed",IF(E58="S1 Schematic",M58,IF(E58="S2 PCB Layout",Q58,IF(E58="S3 SI &amp; PI",U58,IF(E58="S4 Bare-PCB Fab",Y58,IF(E58="S5 Assembly",AC58,IF(E58="S6 Bring-up",AG58,AK58)))))))))</f>
        <v/>
      </c>
      <c r="G58" s="33" t="str">
        <f aca="false">IF($C58="","",IF(E58="All Stages Closed","",IF(E58="S1 Schematic",IF(N58="","Not added",N58),IF(E58="S2 PCB Layout",IF(R58="","Not added",R58),IF(E58="S3 SI &amp; PI",IF(V58="","Not added",V58),IF(E58="S4 Bare-PCB Fab",IF(Z58="","Not added",Z58),IF(E58="S5 Assembly",IF(AD58="","Not added",AD58),IF(E58="S6 Bring-up",IF(AH58="","Not added",AH58),IF(AL58="","Not added",AL58)))))))))</f>
        <v/>
      </c>
      <c r="H58" s="32" t="str">
        <f aca="true">IF($C58="","",IF(OR(F58="Completed",F58="Cancelled"),"",IF(NOT(ISNUMBER(G58)),"No date set",IF(TODAY()&gt;G58,TODAY()-G58&amp;" days late",G58-TODAY()&amp;" days left"))))</f>
        <v/>
      </c>
      <c r="I58" s="31" t="str">
        <f aca="false">IF($C58="","",COUNTIF(M58,"Completed")+COUNTIF(Q58,"Completed")+COUNTIF(U58,"Completed")+COUNTIF(Y58,"Completed")+COUNTIF(AC58,"Completed")+COUNTIF(AG58,"Completed")+COUNTIF(AK58,"Completed"))</f>
        <v/>
      </c>
      <c r="J58" s="31" t="str">
        <f aca="false">IF($C58="","",7-(COUNTIF(M58,"NA")+COUNTIF(Q58,"NA")+COUNTIF(U58,"NA")+COUNTIF(Y58,"NA")+COUNTIF(AC58,"NA")+COUNTIF(AG58,"NA")+COUNTIF(AK58,"NA")))</f>
        <v/>
      </c>
      <c r="K58" s="34" t="str">
        <f aca="false">IFERROR(I58/J58,"")</f>
        <v/>
      </c>
      <c r="L58" s="29"/>
      <c r="M58" s="35"/>
      <c r="N58" s="36"/>
      <c r="O58" s="36"/>
      <c r="P58" s="29"/>
      <c r="Q58" s="35"/>
      <c r="R58" s="36"/>
      <c r="S58" s="36"/>
      <c r="T58" s="29"/>
      <c r="U58" s="35"/>
      <c r="V58" s="36"/>
      <c r="W58" s="36"/>
      <c r="X58" s="29"/>
      <c r="Y58" s="35"/>
      <c r="Z58" s="36"/>
      <c r="AA58" s="36"/>
      <c r="AB58" s="29"/>
      <c r="AC58" s="35"/>
      <c r="AD58" s="36"/>
      <c r="AE58" s="36"/>
      <c r="AF58" s="29"/>
      <c r="AG58" s="35"/>
      <c r="AH58" s="36"/>
      <c r="AI58" s="36"/>
      <c r="AJ58" s="29"/>
      <c r="AK58" s="35"/>
      <c r="AL58" s="36"/>
      <c r="AM58" s="36"/>
      <c r="AN58" s="29"/>
      <c r="AO58" s="29"/>
      <c r="AP58" s="29"/>
      <c r="AQ58" s="37"/>
      <c r="AR58" s="29"/>
      <c r="AS58" s="38" t="str">
        <f aca="false">IF($C58="","",IF(OR(F58="Completed",F58="Cancelled"),"",IF(AND(OR(F58="On Hold",ISNUMBER(VALUE(LEFT(H58,2)))),AR58=""),"Reason not given","")))</f>
        <v/>
      </c>
      <c r="AT58" s="30"/>
      <c r="AU58" s="30"/>
    </row>
    <row r="59" customFormat="false" ht="19.5" hidden="false" customHeight="true" outlineLevel="0" collapsed="false">
      <c r="A59" s="28" t="str">
        <f aca="false">IF($C59="","",COUNTA($C$17:$C59))</f>
        <v/>
      </c>
      <c r="B59" s="29"/>
      <c r="C59" s="30"/>
      <c r="D59" s="29"/>
      <c r="E59" s="31" t="str">
        <f aca="false">IF($C59="","",IF(NOT(OR(M59="Completed",M59="NA",M59="Cancelled")),"S1 Schematic",IF(NOT(OR(Q59="Completed",Q59="NA",Q59="Cancelled")),"S2 PCB Layout",IF(NOT(OR(U59="Completed",U59="NA",U59="Cancelled")),"S3 SI &amp; PI",IF(NOT(OR(Y59="Completed",Y59="NA",Y59="Cancelled")),"S4 Bare-PCB Fab",IF(NOT(OR(AC59="Completed",AC59="NA",AC59="Cancelled")),"S5 Assembly",IF(NOT(OR(AG59="Completed",AG59="NA",AG59="Cancelled")),"S6 Bring-up",IF(NOT(OR(AK59="Completed",AK59="NA",AK59="Cancelled")),"S7 BOM Procurement","All Stages Closed"))))))))</f>
        <v/>
      </c>
      <c r="F59" s="32" t="str">
        <f aca="false">IF($C59="","",IF(COUNTIF(M59,"Cancelled")+COUNTIF(Q59,"Cancelled")+COUNTIF(U59,"Cancelled")+COUNTIF(Y59,"Cancelled")+COUNTIF(AC59,"Cancelled")+COUNTIF(AG59,"Cancelled")+COUNTIF(AK59,"Cancelled")&gt;0,"Cancelled",IF(E59="All Stages Closed","Completed",IF(E59="S1 Schematic",M59,IF(E59="S2 PCB Layout",Q59,IF(E59="S3 SI &amp; PI",U59,IF(E59="S4 Bare-PCB Fab",Y59,IF(E59="S5 Assembly",AC59,IF(E59="S6 Bring-up",AG59,AK59)))))))))</f>
        <v/>
      </c>
      <c r="G59" s="33" t="str">
        <f aca="false">IF($C59="","",IF(E59="All Stages Closed","",IF(E59="S1 Schematic",IF(N59="","Not added",N59),IF(E59="S2 PCB Layout",IF(R59="","Not added",R59),IF(E59="S3 SI &amp; PI",IF(V59="","Not added",V59),IF(E59="S4 Bare-PCB Fab",IF(Z59="","Not added",Z59),IF(E59="S5 Assembly",IF(AD59="","Not added",AD59),IF(E59="S6 Bring-up",IF(AH59="","Not added",AH59),IF(AL59="","Not added",AL59)))))))))</f>
        <v/>
      </c>
      <c r="H59" s="32" t="str">
        <f aca="true">IF($C59="","",IF(OR(F59="Completed",F59="Cancelled"),"",IF(NOT(ISNUMBER(G59)),"No date set",IF(TODAY()&gt;G59,TODAY()-G59&amp;" days late",G59-TODAY()&amp;" days left"))))</f>
        <v/>
      </c>
      <c r="I59" s="31" t="str">
        <f aca="false">IF($C59="","",COUNTIF(M59,"Completed")+COUNTIF(Q59,"Completed")+COUNTIF(U59,"Completed")+COUNTIF(Y59,"Completed")+COUNTIF(AC59,"Completed")+COUNTIF(AG59,"Completed")+COUNTIF(AK59,"Completed"))</f>
        <v/>
      </c>
      <c r="J59" s="31" t="str">
        <f aca="false">IF($C59="","",7-(COUNTIF(M59,"NA")+COUNTIF(Q59,"NA")+COUNTIF(U59,"NA")+COUNTIF(Y59,"NA")+COUNTIF(AC59,"NA")+COUNTIF(AG59,"NA")+COUNTIF(AK59,"NA")))</f>
        <v/>
      </c>
      <c r="K59" s="34" t="str">
        <f aca="false">IFERROR(I59/J59,"")</f>
        <v/>
      </c>
      <c r="L59" s="29"/>
      <c r="M59" s="35"/>
      <c r="N59" s="36"/>
      <c r="O59" s="36"/>
      <c r="P59" s="29"/>
      <c r="Q59" s="35"/>
      <c r="R59" s="36"/>
      <c r="S59" s="36"/>
      <c r="T59" s="29"/>
      <c r="U59" s="35"/>
      <c r="V59" s="36"/>
      <c r="W59" s="36"/>
      <c r="X59" s="29"/>
      <c r="Y59" s="35"/>
      <c r="Z59" s="36"/>
      <c r="AA59" s="36"/>
      <c r="AB59" s="29"/>
      <c r="AC59" s="35"/>
      <c r="AD59" s="36"/>
      <c r="AE59" s="36"/>
      <c r="AF59" s="29"/>
      <c r="AG59" s="35"/>
      <c r="AH59" s="36"/>
      <c r="AI59" s="36"/>
      <c r="AJ59" s="29"/>
      <c r="AK59" s="35"/>
      <c r="AL59" s="36"/>
      <c r="AM59" s="36"/>
      <c r="AN59" s="29"/>
      <c r="AO59" s="29"/>
      <c r="AP59" s="29"/>
      <c r="AQ59" s="37"/>
      <c r="AR59" s="29"/>
      <c r="AS59" s="38" t="str">
        <f aca="false">IF($C59="","",IF(OR(F59="Completed",F59="Cancelled"),"",IF(AND(OR(F59="On Hold",ISNUMBER(VALUE(LEFT(H59,2)))),AR59=""),"Reason not given","")))</f>
        <v/>
      </c>
      <c r="AT59" s="30"/>
      <c r="AU59" s="30"/>
    </row>
    <row r="60" customFormat="false" ht="19.5" hidden="false" customHeight="true" outlineLevel="0" collapsed="false">
      <c r="A60" s="28" t="str">
        <f aca="false">IF($C60="","",COUNTA($C$17:$C60))</f>
        <v/>
      </c>
      <c r="B60" s="29"/>
      <c r="C60" s="30"/>
      <c r="D60" s="29"/>
      <c r="E60" s="31" t="str">
        <f aca="false">IF($C60="","",IF(NOT(OR(M60="Completed",M60="NA",M60="Cancelled")),"S1 Schematic",IF(NOT(OR(Q60="Completed",Q60="NA",Q60="Cancelled")),"S2 PCB Layout",IF(NOT(OR(U60="Completed",U60="NA",U60="Cancelled")),"S3 SI &amp; PI",IF(NOT(OR(Y60="Completed",Y60="NA",Y60="Cancelled")),"S4 Bare-PCB Fab",IF(NOT(OR(AC60="Completed",AC60="NA",AC60="Cancelled")),"S5 Assembly",IF(NOT(OR(AG60="Completed",AG60="NA",AG60="Cancelled")),"S6 Bring-up",IF(NOT(OR(AK60="Completed",AK60="NA",AK60="Cancelled")),"S7 BOM Procurement","All Stages Closed"))))))))</f>
        <v/>
      </c>
      <c r="F60" s="32" t="str">
        <f aca="false">IF($C60="","",IF(COUNTIF(M60,"Cancelled")+COUNTIF(Q60,"Cancelled")+COUNTIF(U60,"Cancelled")+COUNTIF(Y60,"Cancelled")+COUNTIF(AC60,"Cancelled")+COUNTIF(AG60,"Cancelled")+COUNTIF(AK60,"Cancelled")&gt;0,"Cancelled",IF(E60="All Stages Closed","Completed",IF(E60="S1 Schematic",M60,IF(E60="S2 PCB Layout",Q60,IF(E60="S3 SI &amp; PI",U60,IF(E60="S4 Bare-PCB Fab",Y60,IF(E60="S5 Assembly",AC60,IF(E60="S6 Bring-up",AG60,AK60)))))))))</f>
        <v/>
      </c>
      <c r="G60" s="33" t="str">
        <f aca="false">IF($C60="","",IF(E60="All Stages Closed","",IF(E60="S1 Schematic",IF(N60="","Not added",N60),IF(E60="S2 PCB Layout",IF(R60="","Not added",R60),IF(E60="S3 SI &amp; PI",IF(V60="","Not added",V60),IF(E60="S4 Bare-PCB Fab",IF(Z60="","Not added",Z60),IF(E60="S5 Assembly",IF(AD60="","Not added",AD60),IF(E60="S6 Bring-up",IF(AH60="","Not added",AH60),IF(AL60="","Not added",AL60)))))))))</f>
        <v/>
      </c>
      <c r="H60" s="32" t="str">
        <f aca="true">IF($C60="","",IF(OR(F60="Completed",F60="Cancelled"),"",IF(NOT(ISNUMBER(G60)),"No date set",IF(TODAY()&gt;G60,TODAY()-G60&amp;" days late",G60-TODAY()&amp;" days left"))))</f>
        <v/>
      </c>
      <c r="I60" s="31" t="str">
        <f aca="false">IF($C60="","",COUNTIF(M60,"Completed")+COUNTIF(Q60,"Completed")+COUNTIF(U60,"Completed")+COUNTIF(Y60,"Completed")+COUNTIF(AC60,"Completed")+COUNTIF(AG60,"Completed")+COUNTIF(AK60,"Completed"))</f>
        <v/>
      </c>
      <c r="J60" s="31" t="str">
        <f aca="false">IF($C60="","",7-(COUNTIF(M60,"NA")+COUNTIF(Q60,"NA")+COUNTIF(U60,"NA")+COUNTIF(Y60,"NA")+COUNTIF(AC60,"NA")+COUNTIF(AG60,"NA")+COUNTIF(AK60,"NA")))</f>
        <v/>
      </c>
      <c r="K60" s="34" t="str">
        <f aca="false">IFERROR(I60/J60,"")</f>
        <v/>
      </c>
      <c r="L60" s="29"/>
      <c r="M60" s="35"/>
      <c r="N60" s="36"/>
      <c r="O60" s="36"/>
      <c r="P60" s="29"/>
      <c r="Q60" s="35"/>
      <c r="R60" s="36"/>
      <c r="S60" s="36"/>
      <c r="T60" s="29"/>
      <c r="U60" s="35"/>
      <c r="V60" s="36"/>
      <c r="W60" s="36"/>
      <c r="X60" s="29"/>
      <c r="Y60" s="35"/>
      <c r="Z60" s="36"/>
      <c r="AA60" s="36"/>
      <c r="AB60" s="29"/>
      <c r="AC60" s="35"/>
      <c r="AD60" s="36"/>
      <c r="AE60" s="36"/>
      <c r="AF60" s="29"/>
      <c r="AG60" s="35"/>
      <c r="AH60" s="36"/>
      <c r="AI60" s="36"/>
      <c r="AJ60" s="29"/>
      <c r="AK60" s="35"/>
      <c r="AL60" s="36"/>
      <c r="AM60" s="36"/>
      <c r="AN60" s="29"/>
      <c r="AO60" s="29"/>
      <c r="AP60" s="29"/>
      <c r="AQ60" s="37"/>
      <c r="AR60" s="29"/>
      <c r="AS60" s="38" t="str">
        <f aca="false">IF($C60="","",IF(OR(F60="Completed",F60="Cancelled"),"",IF(AND(OR(F60="On Hold",ISNUMBER(VALUE(LEFT(H60,2)))),AR60=""),"Reason not given","")))</f>
        <v/>
      </c>
      <c r="AT60" s="30"/>
      <c r="AU60" s="30"/>
    </row>
    <row r="61" customFormat="false" ht="19.5" hidden="false" customHeight="true" outlineLevel="0" collapsed="false">
      <c r="A61" s="28" t="str">
        <f aca="false">IF($C61="","",COUNTA($C$17:$C61))</f>
        <v/>
      </c>
      <c r="B61" s="29"/>
      <c r="C61" s="30"/>
      <c r="D61" s="29"/>
      <c r="E61" s="31" t="str">
        <f aca="false">IF($C61="","",IF(NOT(OR(M61="Completed",M61="NA",M61="Cancelled")),"S1 Schematic",IF(NOT(OR(Q61="Completed",Q61="NA",Q61="Cancelled")),"S2 PCB Layout",IF(NOT(OR(U61="Completed",U61="NA",U61="Cancelled")),"S3 SI &amp; PI",IF(NOT(OR(Y61="Completed",Y61="NA",Y61="Cancelled")),"S4 Bare-PCB Fab",IF(NOT(OR(AC61="Completed",AC61="NA",AC61="Cancelled")),"S5 Assembly",IF(NOT(OR(AG61="Completed",AG61="NA",AG61="Cancelled")),"S6 Bring-up",IF(NOT(OR(AK61="Completed",AK61="NA",AK61="Cancelled")),"S7 BOM Procurement","All Stages Closed"))))))))</f>
        <v/>
      </c>
      <c r="F61" s="32" t="str">
        <f aca="false">IF($C61="","",IF(COUNTIF(M61,"Cancelled")+COUNTIF(Q61,"Cancelled")+COUNTIF(U61,"Cancelled")+COUNTIF(Y61,"Cancelled")+COUNTIF(AC61,"Cancelled")+COUNTIF(AG61,"Cancelled")+COUNTIF(AK61,"Cancelled")&gt;0,"Cancelled",IF(E61="All Stages Closed","Completed",IF(E61="S1 Schematic",M61,IF(E61="S2 PCB Layout",Q61,IF(E61="S3 SI &amp; PI",U61,IF(E61="S4 Bare-PCB Fab",Y61,IF(E61="S5 Assembly",AC61,IF(E61="S6 Bring-up",AG61,AK61)))))))))</f>
        <v/>
      </c>
      <c r="G61" s="33" t="str">
        <f aca="false">IF($C61="","",IF(E61="All Stages Closed","",IF(E61="S1 Schematic",IF(N61="","Not added",N61),IF(E61="S2 PCB Layout",IF(R61="","Not added",R61),IF(E61="S3 SI &amp; PI",IF(V61="","Not added",V61),IF(E61="S4 Bare-PCB Fab",IF(Z61="","Not added",Z61),IF(E61="S5 Assembly",IF(AD61="","Not added",AD61),IF(E61="S6 Bring-up",IF(AH61="","Not added",AH61),IF(AL61="","Not added",AL61)))))))))</f>
        <v/>
      </c>
      <c r="H61" s="32" t="str">
        <f aca="true">IF($C61="","",IF(OR(F61="Completed",F61="Cancelled"),"",IF(NOT(ISNUMBER(G61)),"No date set",IF(TODAY()&gt;G61,TODAY()-G61&amp;" days late",G61-TODAY()&amp;" days left"))))</f>
        <v/>
      </c>
      <c r="I61" s="31" t="str">
        <f aca="false">IF($C61="","",COUNTIF(M61,"Completed")+COUNTIF(Q61,"Completed")+COUNTIF(U61,"Completed")+COUNTIF(Y61,"Completed")+COUNTIF(AC61,"Completed")+COUNTIF(AG61,"Completed")+COUNTIF(AK61,"Completed"))</f>
        <v/>
      </c>
      <c r="J61" s="31" t="str">
        <f aca="false">IF($C61="","",7-(COUNTIF(M61,"NA")+COUNTIF(Q61,"NA")+COUNTIF(U61,"NA")+COUNTIF(Y61,"NA")+COUNTIF(AC61,"NA")+COUNTIF(AG61,"NA")+COUNTIF(AK61,"NA")))</f>
        <v/>
      </c>
      <c r="K61" s="34" t="str">
        <f aca="false">IFERROR(I61/J61,"")</f>
        <v/>
      </c>
      <c r="L61" s="29"/>
      <c r="M61" s="35"/>
      <c r="N61" s="36"/>
      <c r="O61" s="36"/>
      <c r="P61" s="29"/>
      <c r="Q61" s="35"/>
      <c r="R61" s="36"/>
      <c r="S61" s="36"/>
      <c r="T61" s="29"/>
      <c r="U61" s="35"/>
      <c r="V61" s="36"/>
      <c r="W61" s="36"/>
      <c r="X61" s="29"/>
      <c r="Y61" s="35"/>
      <c r="Z61" s="36"/>
      <c r="AA61" s="36"/>
      <c r="AB61" s="29"/>
      <c r="AC61" s="35"/>
      <c r="AD61" s="36"/>
      <c r="AE61" s="36"/>
      <c r="AF61" s="29"/>
      <c r="AG61" s="35"/>
      <c r="AH61" s="36"/>
      <c r="AI61" s="36"/>
      <c r="AJ61" s="29"/>
      <c r="AK61" s="35"/>
      <c r="AL61" s="36"/>
      <c r="AM61" s="36"/>
      <c r="AN61" s="29"/>
      <c r="AO61" s="29"/>
      <c r="AP61" s="29"/>
      <c r="AQ61" s="37"/>
      <c r="AR61" s="29"/>
      <c r="AS61" s="38" t="str">
        <f aca="false">IF($C61="","",IF(OR(F61="Completed",F61="Cancelled"),"",IF(AND(OR(F61="On Hold",ISNUMBER(VALUE(LEFT(H61,2)))),AR61=""),"Reason not given","")))</f>
        <v/>
      </c>
      <c r="AT61" s="30"/>
      <c r="AU61" s="30"/>
    </row>
    <row r="62" customFormat="false" ht="19.5" hidden="false" customHeight="true" outlineLevel="0" collapsed="false">
      <c r="A62" s="28" t="str">
        <f aca="false">IF($C62="","",COUNTA($C$17:$C62))</f>
        <v/>
      </c>
      <c r="B62" s="29"/>
      <c r="C62" s="30"/>
      <c r="D62" s="29"/>
      <c r="E62" s="31" t="str">
        <f aca="false">IF($C62="","",IF(NOT(OR(M62="Completed",M62="NA",M62="Cancelled")),"S1 Schematic",IF(NOT(OR(Q62="Completed",Q62="NA",Q62="Cancelled")),"S2 PCB Layout",IF(NOT(OR(U62="Completed",U62="NA",U62="Cancelled")),"S3 SI &amp; PI",IF(NOT(OR(Y62="Completed",Y62="NA",Y62="Cancelled")),"S4 Bare-PCB Fab",IF(NOT(OR(AC62="Completed",AC62="NA",AC62="Cancelled")),"S5 Assembly",IF(NOT(OR(AG62="Completed",AG62="NA",AG62="Cancelled")),"S6 Bring-up",IF(NOT(OR(AK62="Completed",AK62="NA",AK62="Cancelled")),"S7 BOM Procurement","All Stages Closed"))))))))</f>
        <v/>
      </c>
      <c r="F62" s="32" t="str">
        <f aca="false">IF($C62="","",IF(COUNTIF(M62,"Cancelled")+COUNTIF(Q62,"Cancelled")+COUNTIF(U62,"Cancelled")+COUNTIF(Y62,"Cancelled")+COUNTIF(AC62,"Cancelled")+COUNTIF(AG62,"Cancelled")+COUNTIF(AK62,"Cancelled")&gt;0,"Cancelled",IF(E62="All Stages Closed","Completed",IF(E62="S1 Schematic",M62,IF(E62="S2 PCB Layout",Q62,IF(E62="S3 SI &amp; PI",U62,IF(E62="S4 Bare-PCB Fab",Y62,IF(E62="S5 Assembly",AC62,IF(E62="S6 Bring-up",AG62,AK62)))))))))</f>
        <v/>
      </c>
      <c r="G62" s="33" t="str">
        <f aca="false">IF($C62="","",IF(E62="All Stages Closed","",IF(E62="S1 Schematic",IF(N62="","Not added",N62),IF(E62="S2 PCB Layout",IF(R62="","Not added",R62),IF(E62="S3 SI &amp; PI",IF(V62="","Not added",V62),IF(E62="S4 Bare-PCB Fab",IF(Z62="","Not added",Z62),IF(E62="S5 Assembly",IF(AD62="","Not added",AD62),IF(E62="S6 Bring-up",IF(AH62="","Not added",AH62),IF(AL62="","Not added",AL62)))))))))</f>
        <v/>
      </c>
      <c r="H62" s="32" t="str">
        <f aca="true">IF($C62="","",IF(OR(F62="Completed",F62="Cancelled"),"",IF(NOT(ISNUMBER(G62)),"No date set",IF(TODAY()&gt;G62,TODAY()-G62&amp;" days late",G62-TODAY()&amp;" days left"))))</f>
        <v/>
      </c>
      <c r="I62" s="31" t="str">
        <f aca="false">IF($C62="","",COUNTIF(M62,"Completed")+COUNTIF(Q62,"Completed")+COUNTIF(U62,"Completed")+COUNTIF(Y62,"Completed")+COUNTIF(AC62,"Completed")+COUNTIF(AG62,"Completed")+COUNTIF(AK62,"Completed"))</f>
        <v/>
      </c>
      <c r="J62" s="31" t="str">
        <f aca="false">IF($C62="","",7-(COUNTIF(M62,"NA")+COUNTIF(Q62,"NA")+COUNTIF(U62,"NA")+COUNTIF(Y62,"NA")+COUNTIF(AC62,"NA")+COUNTIF(AG62,"NA")+COUNTIF(AK62,"NA")))</f>
        <v/>
      </c>
      <c r="K62" s="34" t="str">
        <f aca="false">IFERROR(I62/J62,"")</f>
        <v/>
      </c>
      <c r="L62" s="29"/>
      <c r="M62" s="35"/>
      <c r="N62" s="36"/>
      <c r="O62" s="36"/>
      <c r="P62" s="29"/>
      <c r="Q62" s="35"/>
      <c r="R62" s="36"/>
      <c r="S62" s="36"/>
      <c r="T62" s="29"/>
      <c r="U62" s="35"/>
      <c r="V62" s="36"/>
      <c r="W62" s="36"/>
      <c r="X62" s="29"/>
      <c r="Y62" s="35"/>
      <c r="Z62" s="36"/>
      <c r="AA62" s="36"/>
      <c r="AB62" s="29"/>
      <c r="AC62" s="35"/>
      <c r="AD62" s="36"/>
      <c r="AE62" s="36"/>
      <c r="AF62" s="29"/>
      <c r="AG62" s="35"/>
      <c r="AH62" s="36"/>
      <c r="AI62" s="36"/>
      <c r="AJ62" s="29"/>
      <c r="AK62" s="35"/>
      <c r="AL62" s="36"/>
      <c r="AM62" s="36"/>
      <c r="AN62" s="29"/>
      <c r="AO62" s="29"/>
      <c r="AP62" s="29"/>
      <c r="AQ62" s="37"/>
      <c r="AR62" s="29"/>
      <c r="AS62" s="38" t="str">
        <f aca="false">IF($C62="","",IF(OR(F62="Completed",F62="Cancelled"),"",IF(AND(OR(F62="On Hold",ISNUMBER(VALUE(LEFT(H62,2)))),AR62=""),"Reason not given","")))</f>
        <v/>
      </c>
      <c r="AT62" s="30"/>
      <c r="AU62" s="30"/>
    </row>
    <row r="63" customFormat="false" ht="19.5" hidden="false" customHeight="true" outlineLevel="0" collapsed="false">
      <c r="A63" s="28" t="str">
        <f aca="false">IF($C63="","",COUNTA($C$17:$C63))</f>
        <v/>
      </c>
      <c r="B63" s="29"/>
      <c r="C63" s="30"/>
      <c r="D63" s="29"/>
      <c r="E63" s="31" t="str">
        <f aca="false">IF($C63="","",IF(NOT(OR(M63="Completed",M63="NA",M63="Cancelled")),"S1 Schematic",IF(NOT(OR(Q63="Completed",Q63="NA",Q63="Cancelled")),"S2 PCB Layout",IF(NOT(OR(U63="Completed",U63="NA",U63="Cancelled")),"S3 SI &amp; PI",IF(NOT(OR(Y63="Completed",Y63="NA",Y63="Cancelled")),"S4 Bare-PCB Fab",IF(NOT(OR(AC63="Completed",AC63="NA",AC63="Cancelled")),"S5 Assembly",IF(NOT(OR(AG63="Completed",AG63="NA",AG63="Cancelled")),"S6 Bring-up",IF(NOT(OR(AK63="Completed",AK63="NA",AK63="Cancelled")),"S7 BOM Procurement","All Stages Closed"))))))))</f>
        <v/>
      </c>
      <c r="F63" s="32" t="str">
        <f aca="false">IF($C63="","",IF(COUNTIF(M63,"Cancelled")+COUNTIF(Q63,"Cancelled")+COUNTIF(U63,"Cancelled")+COUNTIF(Y63,"Cancelled")+COUNTIF(AC63,"Cancelled")+COUNTIF(AG63,"Cancelled")+COUNTIF(AK63,"Cancelled")&gt;0,"Cancelled",IF(E63="All Stages Closed","Completed",IF(E63="S1 Schematic",M63,IF(E63="S2 PCB Layout",Q63,IF(E63="S3 SI &amp; PI",U63,IF(E63="S4 Bare-PCB Fab",Y63,IF(E63="S5 Assembly",AC63,IF(E63="S6 Bring-up",AG63,AK63)))))))))</f>
        <v/>
      </c>
      <c r="G63" s="33" t="str">
        <f aca="false">IF($C63="","",IF(E63="All Stages Closed","",IF(E63="S1 Schematic",IF(N63="","Not added",N63),IF(E63="S2 PCB Layout",IF(R63="","Not added",R63),IF(E63="S3 SI &amp; PI",IF(V63="","Not added",V63),IF(E63="S4 Bare-PCB Fab",IF(Z63="","Not added",Z63),IF(E63="S5 Assembly",IF(AD63="","Not added",AD63),IF(E63="S6 Bring-up",IF(AH63="","Not added",AH63),IF(AL63="","Not added",AL63)))))))))</f>
        <v/>
      </c>
      <c r="H63" s="32" t="str">
        <f aca="true">IF($C63="","",IF(OR(F63="Completed",F63="Cancelled"),"",IF(NOT(ISNUMBER(G63)),"No date set",IF(TODAY()&gt;G63,TODAY()-G63&amp;" days late",G63-TODAY()&amp;" days left"))))</f>
        <v/>
      </c>
      <c r="I63" s="31" t="str">
        <f aca="false">IF($C63="","",COUNTIF(M63,"Completed")+COUNTIF(Q63,"Completed")+COUNTIF(U63,"Completed")+COUNTIF(Y63,"Completed")+COUNTIF(AC63,"Completed")+COUNTIF(AG63,"Completed")+COUNTIF(AK63,"Completed"))</f>
        <v/>
      </c>
      <c r="J63" s="31" t="str">
        <f aca="false">IF($C63="","",7-(COUNTIF(M63,"NA")+COUNTIF(Q63,"NA")+COUNTIF(U63,"NA")+COUNTIF(Y63,"NA")+COUNTIF(AC63,"NA")+COUNTIF(AG63,"NA")+COUNTIF(AK63,"NA")))</f>
        <v/>
      </c>
      <c r="K63" s="34" t="str">
        <f aca="false">IFERROR(I63/J63,"")</f>
        <v/>
      </c>
      <c r="L63" s="29"/>
      <c r="M63" s="35"/>
      <c r="N63" s="36"/>
      <c r="O63" s="36"/>
      <c r="P63" s="29"/>
      <c r="Q63" s="35"/>
      <c r="R63" s="36"/>
      <c r="S63" s="36"/>
      <c r="T63" s="29"/>
      <c r="U63" s="35"/>
      <c r="V63" s="36"/>
      <c r="W63" s="36"/>
      <c r="X63" s="29"/>
      <c r="Y63" s="35"/>
      <c r="Z63" s="36"/>
      <c r="AA63" s="36"/>
      <c r="AB63" s="29"/>
      <c r="AC63" s="35"/>
      <c r="AD63" s="36"/>
      <c r="AE63" s="36"/>
      <c r="AF63" s="29"/>
      <c r="AG63" s="35"/>
      <c r="AH63" s="36"/>
      <c r="AI63" s="36"/>
      <c r="AJ63" s="29"/>
      <c r="AK63" s="35"/>
      <c r="AL63" s="36"/>
      <c r="AM63" s="36"/>
      <c r="AN63" s="29"/>
      <c r="AO63" s="29"/>
      <c r="AP63" s="29"/>
      <c r="AQ63" s="37"/>
      <c r="AR63" s="29"/>
      <c r="AS63" s="38" t="str">
        <f aca="false">IF($C63="","",IF(OR(F63="Completed",F63="Cancelled"),"",IF(AND(OR(F63="On Hold",ISNUMBER(VALUE(LEFT(H63,2)))),AR63=""),"Reason not given","")))</f>
        <v/>
      </c>
      <c r="AT63" s="30"/>
      <c r="AU63" s="30"/>
    </row>
    <row r="64" customFormat="false" ht="19.5" hidden="false" customHeight="true" outlineLevel="0" collapsed="false">
      <c r="A64" s="28" t="str">
        <f aca="false">IF($C64="","",COUNTA($C$17:$C64))</f>
        <v/>
      </c>
      <c r="B64" s="29"/>
      <c r="C64" s="30"/>
      <c r="D64" s="29"/>
      <c r="E64" s="31" t="str">
        <f aca="false">IF($C64="","",IF(NOT(OR(M64="Completed",M64="NA",M64="Cancelled")),"S1 Schematic",IF(NOT(OR(Q64="Completed",Q64="NA",Q64="Cancelled")),"S2 PCB Layout",IF(NOT(OR(U64="Completed",U64="NA",U64="Cancelled")),"S3 SI &amp; PI",IF(NOT(OR(Y64="Completed",Y64="NA",Y64="Cancelled")),"S4 Bare-PCB Fab",IF(NOT(OR(AC64="Completed",AC64="NA",AC64="Cancelled")),"S5 Assembly",IF(NOT(OR(AG64="Completed",AG64="NA",AG64="Cancelled")),"S6 Bring-up",IF(NOT(OR(AK64="Completed",AK64="NA",AK64="Cancelled")),"S7 BOM Procurement","All Stages Closed"))))))))</f>
        <v/>
      </c>
      <c r="F64" s="32" t="str">
        <f aca="false">IF($C64="","",IF(COUNTIF(M64,"Cancelled")+COUNTIF(Q64,"Cancelled")+COUNTIF(U64,"Cancelled")+COUNTIF(Y64,"Cancelled")+COUNTIF(AC64,"Cancelled")+COUNTIF(AG64,"Cancelled")+COUNTIF(AK64,"Cancelled")&gt;0,"Cancelled",IF(E64="All Stages Closed","Completed",IF(E64="S1 Schematic",M64,IF(E64="S2 PCB Layout",Q64,IF(E64="S3 SI &amp; PI",U64,IF(E64="S4 Bare-PCB Fab",Y64,IF(E64="S5 Assembly",AC64,IF(E64="S6 Bring-up",AG64,AK64)))))))))</f>
        <v/>
      </c>
      <c r="G64" s="33" t="str">
        <f aca="false">IF($C64="","",IF(E64="All Stages Closed","",IF(E64="S1 Schematic",IF(N64="","Not added",N64),IF(E64="S2 PCB Layout",IF(R64="","Not added",R64),IF(E64="S3 SI &amp; PI",IF(V64="","Not added",V64),IF(E64="S4 Bare-PCB Fab",IF(Z64="","Not added",Z64),IF(E64="S5 Assembly",IF(AD64="","Not added",AD64),IF(E64="S6 Bring-up",IF(AH64="","Not added",AH64),IF(AL64="","Not added",AL64)))))))))</f>
        <v/>
      </c>
      <c r="H64" s="32" t="str">
        <f aca="true">IF($C64="","",IF(OR(F64="Completed",F64="Cancelled"),"",IF(NOT(ISNUMBER(G64)),"No date set",IF(TODAY()&gt;G64,TODAY()-G64&amp;" days late",G64-TODAY()&amp;" days left"))))</f>
        <v/>
      </c>
      <c r="I64" s="31" t="str">
        <f aca="false">IF($C64="","",COUNTIF(M64,"Completed")+COUNTIF(Q64,"Completed")+COUNTIF(U64,"Completed")+COUNTIF(Y64,"Completed")+COUNTIF(AC64,"Completed")+COUNTIF(AG64,"Completed")+COUNTIF(AK64,"Completed"))</f>
        <v/>
      </c>
      <c r="J64" s="31" t="str">
        <f aca="false">IF($C64="","",7-(COUNTIF(M64,"NA")+COUNTIF(Q64,"NA")+COUNTIF(U64,"NA")+COUNTIF(Y64,"NA")+COUNTIF(AC64,"NA")+COUNTIF(AG64,"NA")+COUNTIF(AK64,"NA")))</f>
        <v/>
      </c>
      <c r="K64" s="34" t="str">
        <f aca="false">IFERROR(I64/J64,"")</f>
        <v/>
      </c>
      <c r="L64" s="29"/>
      <c r="M64" s="35"/>
      <c r="N64" s="36"/>
      <c r="O64" s="36"/>
      <c r="P64" s="29"/>
      <c r="Q64" s="35"/>
      <c r="R64" s="36"/>
      <c r="S64" s="36"/>
      <c r="T64" s="29"/>
      <c r="U64" s="35"/>
      <c r="V64" s="36"/>
      <c r="W64" s="36"/>
      <c r="X64" s="29"/>
      <c r="Y64" s="35"/>
      <c r="Z64" s="36"/>
      <c r="AA64" s="36"/>
      <c r="AB64" s="29"/>
      <c r="AC64" s="35"/>
      <c r="AD64" s="36"/>
      <c r="AE64" s="36"/>
      <c r="AF64" s="29"/>
      <c r="AG64" s="35"/>
      <c r="AH64" s="36"/>
      <c r="AI64" s="36"/>
      <c r="AJ64" s="29"/>
      <c r="AK64" s="35"/>
      <c r="AL64" s="36"/>
      <c r="AM64" s="36"/>
      <c r="AN64" s="29"/>
      <c r="AO64" s="29"/>
      <c r="AP64" s="29"/>
      <c r="AQ64" s="37"/>
      <c r="AR64" s="29"/>
      <c r="AS64" s="38" t="str">
        <f aca="false">IF($C64="","",IF(OR(F64="Completed",F64="Cancelled"),"",IF(AND(OR(F64="On Hold",ISNUMBER(VALUE(LEFT(H64,2)))),AR64=""),"Reason not given","")))</f>
        <v/>
      </c>
      <c r="AT64" s="30"/>
      <c r="AU64" s="30"/>
    </row>
    <row r="65" customFormat="false" ht="19.5" hidden="false" customHeight="true" outlineLevel="0" collapsed="false">
      <c r="A65" s="28" t="str">
        <f aca="false">IF($C65="","",COUNTA($C$17:$C65))</f>
        <v/>
      </c>
      <c r="B65" s="29"/>
      <c r="C65" s="30"/>
      <c r="D65" s="29"/>
      <c r="E65" s="31" t="str">
        <f aca="false">IF($C65="","",IF(NOT(OR(M65="Completed",M65="NA",M65="Cancelled")),"S1 Schematic",IF(NOT(OR(Q65="Completed",Q65="NA",Q65="Cancelled")),"S2 PCB Layout",IF(NOT(OR(U65="Completed",U65="NA",U65="Cancelled")),"S3 SI &amp; PI",IF(NOT(OR(Y65="Completed",Y65="NA",Y65="Cancelled")),"S4 Bare-PCB Fab",IF(NOT(OR(AC65="Completed",AC65="NA",AC65="Cancelled")),"S5 Assembly",IF(NOT(OR(AG65="Completed",AG65="NA",AG65="Cancelled")),"S6 Bring-up",IF(NOT(OR(AK65="Completed",AK65="NA",AK65="Cancelled")),"S7 BOM Procurement","All Stages Closed"))))))))</f>
        <v/>
      </c>
      <c r="F65" s="32" t="str">
        <f aca="false">IF($C65="","",IF(COUNTIF(M65,"Cancelled")+COUNTIF(Q65,"Cancelled")+COUNTIF(U65,"Cancelled")+COUNTIF(Y65,"Cancelled")+COUNTIF(AC65,"Cancelled")+COUNTIF(AG65,"Cancelled")+COUNTIF(AK65,"Cancelled")&gt;0,"Cancelled",IF(E65="All Stages Closed","Completed",IF(E65="S1 Schematic",M65,IF(E65="S2 PCB Layout",Q65,IF(E65="S3 SI &amp; PI",U65,IF(E65="S4 Bare-PCB Fab",Y65,IF(E65="S5 Assembly",AC65,IF(E65="S6 Bring-up",AG65,AK65)))))))))</f>
        <v/>
      </c>
      <c r="G65" s="33" t="str">
        <f aca="false">IF($C65="","",IF(E65="All Stages Closed","",IF(E65="S1 Schematic",IF(N65="","Not added",N65),IF(E65="S2 PCB Layout",IF(R65="","Not added",R65),IF(E65="S3 SI &amp; PI",IF(V65="","Not added",V65),IF(E65="S4 Bare-PCB Fab",IF(Z65="","Not added",Z65),IF(E65="S5 Assembly",IF(AD65="","Not added",AD65),IF(E65="S6 Bring-up",IF(AH65="","Not added",AH65),IF(AL65="","Not added",AL65)))))))))</f>
        <v/>
      </c>
      <c r="H65" s="32" t="str">
        <f aca="true">IF($C65="","",IF(OR(F65="Completed",F65="Cancelled"),"",IF(NOT(ISNUMBER(G65)),"No date set",IF(TODAY()&gt;G65,TODAY()-G65&amp;" days late",G65-TODAY()&amp;" days left"))))</f>
        <v/>
      </c>
      <c r="I65" s="31" t="str">
        <f aca="false">IF($C65="","",COUNTIF(M65,"Completed")+COUNTIF(Q65,"Completed")+COUNTIF(U65,"Completed")+COUNTIF(Y65,"Completed")+COUNTIF(AC65,"Completed")+COUNTIF(AG65,"Completed")+COUNTIF(AK65,"Completed"))</f>
        <v/>
      </c>
      <c r="J65" s="31" t="str">
        <f aca="false">IF($C65="","",7-(COUNTIF(M65,"NA")+COUNTIF(Q65,"NA")+COUNTIF(U65,"NA")+COUNTIF(Y65,"NA")+COUNTIF(AC65,"NA")+COUNTIF(AG65,"NA")+COUNTIF(AK65,"NA")))</f>
        <v/>
      </c>
      <c r="K65" s="34" t="str">
        <f aca="false">IFERROR(I65/J65,"")</f>
        <v/>
      </c>
      <c r="L65" s="29"/>
      <c r="M65" s="35"/>
      <c r="N65" s="36"/>
      <c r="O65" s="36"/>
      <c r="P65" s="29"/>
      <c r="Q65" s="35"/>
      <c r="R65" s="36"/>
      <c r="S65" s="36"/>
      <c r="T65" s="29"/>
      <c r="U65" s="35"/>
      <c r="V65" s="36"/>
      <c r="W65" s="36"/>
      <c r="X65" s="29"/>
      <c r="Y65" s="35"/>
      <c r="Z65" s="36"/>
      <c r="AA65" s="36"/>
      <c r="AB65" s="29"/>
      <c r="AC65" s="35"/>
      <c r="AD65" s="36"/>
      <c r="AE65" s="36"/>
      <c r="AF65" s="29"/>
      <c r="AG65" s="35"/>
      <c r="AH65" s="36"/>
      <c r="AI65" s="36"/>
      <c r="AJ65" s="29"/>
      <c r="AK65" s="35"/>
      <c r="AL65" s="36"/>
      <c r="AM65" s="36"/>
      <c r="AN65" s="29"/>
      <c r="AO65" s="29"/>
      <c r="AP65" s="29"/>
      <c r="AQ65" s="37"/>
      <c r="AR65" s="29"/>
      <c r="AS65" s="38" t="str">
        <f aca="false">IF($C65="","",IF(OR(F65="Completed",F65="Cancelled"),"",IF(AND(OR(F65="On Hold",ISNUMBER(VALUE(LEFT(H65,2)))),AR65=""),"Reason not given","")))</f>
        <v/>
      </c>
      <c r="AT65" s="30"/>
      <c r="AU65" s="30"/>
    </row>
    <row r="66" customFormat="false" ht="19.5" hidden="false" customHeight="true" outlineLevel="0" collapsed="false">
      <c r="A66" s="28" t="str">
        <f aca="false">IF($C66="","",COUNTA($C$17:$C66))</f>
        <v/>
      </c>
      <c r="B66" s="29"/>
      <c r="C66" s="30"/>
      <c r="D66" s="29"/>
      <c r="E66" s="31" t="str">
        <f aca="false">IF($C66="","",IF(NOT(OR(M66="Completed",M66="NA",M66="Cancelled")),"S1 Schematic",IF(NOT(OR(Q66="Completed",Q66="NA",Q66="Cancelled")),"S2 PCB Layout",IF(NOT(OR(U66="Completed",U66="NA",U66="Cancelled")),"S3 SI &amp; PI",IF(NOT(OR(Y66="Completed",Y66="NA",Y66="Cancelled")),"S4 Bare-PCB Fab",IF(NOT(OR(AC66="Completed",AC66="NA",AC66="Cancelled")),"S5 Assembly",IF(NOT(OR(AG66="Completed",AG66="NA",AG66="Cancelled")),"S6 Bring-up",IF(NOT(OR(AK66="Completed",AK66="NA",AK66="Cancelled")),"S7 BOM Procurement","All Stages Closed"))))))))</f>
        <v/>
      </c>
      <c r="F66" s="32" t="str">
        <f aca="false">IF($C66="","",IF(COUNTIF(M66,"Cancelled")+COUNTIF(Q66,"Cancelled")+COUNTIF(U66,"Cancelled")+COUNTIF(Y66,"Cancelled")+COUNTIF(AC66,"Cancelled")+COUNTIF(AG66,"Cancelled")+COUNTIF(AK66,"Cancelled")&gt;0,"Cancelled",IF(E66="All Stages Closed","Completed",IF(E66="S1 Schematic",M66,IF(E66="S2 PCB Layout",Q66,IF(E66="S3 SI &amp; PI",U66,IF(E66="S4 Bare-PCB Fab",Y66,IF(E66="S5 Assembly",AC66,IF(E66="S6 Bring-up",AG66,AK66)))))))))</f>
        <v/>
      </c>
      <c r="G66" s="33" t="str">
        <f aca="false">IF($C66="","",IF(E66="All Stages Closed","",IF(E66="S1 Schematic",IF(N66="","Not added",N66),IF(E66="S2 PCB Layout",IF(R66="","Not added",R66),IF(E66="S3 SI &amp; PI",IF(V66="","Not added",V66),IF(E66="S4 Bare-PCB Fab",IF(Z66="","Not added",Z66),IF(E66="S5 Assembly",IF(AD66="","Not added",AD66),IF(E66="S6 Bring-up",IF(AH66="","Not added",AH66),IF(AL66="","Not added",AL66)))))))))</f>
        <v/>
      </c>
      <c r="H66" s="32" t="str">
        <f aca="true">IF($C66="","",IF(OR(F66="Completed",F66="Cancelled"),"",IF(NOT(ISNUMBER(G66)),"No date set",IF(TODAY()&gt;G66,TODAY()-G66&amp;" days late",G66-TODAY()&amp;" days left"))))</f>
        <v/>
      </c>
      <c r="I66" s="31" t="str">
        <f aca="false">IF($C66="","",COUNTIF(M66,"Completed")+COUNTIF(Q66,"Completed")+COUNTIF(U66,"Completed")+COUNTIF(Y66,"Completed")+COUNTIF(AC66,"Completed")+COUNTIF(AG66,"Completed")+COUNTIF(AK66,"Completed"))</f>
        <v/>
      </c>
      <c r="J66" s="31" t="str">
        <f aca="false">IF($C66="","",7-(COUNTIF(M66,"NA")+COUNTIF(Q66,"NA")+COUNTIF(U66,"NA")+COUNTIF(Y66,"NA")+COUNTIF(AC66,"NA")+COUNTIF(AG66,"NA")+COUNTIF(AK66,"NA")))</f>
        <v/>
      </c>
      <c r="K66" s="34" t="str">
        <f aca="false">IFERROR(I66/J66,"")</f>
        <v/>
      </c>
      <c r="L66" s="29"/>
      <c r="M66" s="35"/>
      <c r="N66" s="36"/>
      <c r="O66" s="36"/>
      <c r="P66" s="29"/>
      <c r="Q66" s="35"/>
      <c r="R66" s="36"/>
      <c r="S66" s="36"/>
      <c r="T66" s="29"/>
      <c r="U66" s="35"/>
      <c r="V66" s="36"/>
      <c r="W66" s="36"/>
      <c r="X66" s="29"/>
      <c r="Y66" s="35"/>
      <c r="Z66" s="36"/>
      <c r="AA66" s="36"/>
      <c r="AB66" s="29"/>
      <c r="AC66" s="35"/>
      <c r="AD66" s="36"/>
      <c r="AE66" s="36"/>
      <c r="AF66" s="29"/>
      <c r="AG66" s="35"/>
      <c r="AH66" s="36"/>
      <c r="AI66" s="36"/>
      <c r="AJ66" s="29"/>
      <c r="AK66" s="35"/>
      <c r="AL66" s="36"/>
      <c r="AM66" s="36"/>
      <c r="AN66" s="29"/>
      <c r="AO66" s="29"/>
      <c r="AP66" s="29"/>
      <c r="AQ66" s="37"/>
      <c r="AR66" s="29"/>
      <c r="AS66" s="38" t="str">
        <f aca="false">IF($C66="","",IF(OR(F66="Completed",F66="Cancelled"),"",IF(AND(OR(F66="On Hold",ISNUMBER(VALUE(LEFT(H66,2)))),AR66=""),"Reason not given","")))</f>
        <v/>
      </c>
      <c r="AT66" s="30"/>
      <c r="AU66" s="30"/>
    </row>
    <row r="67" customFormat="false" ht="19.5" hidden="false" customHeight="true" outlineLevel="0" collapsed="false">
      <c r="A67" s="28" t="str">
        <f aca="false">IF($C67="","",COUNTA($C$17:$C67))</f>
        <v/>
      </c>
      <c r="B67" s="29"/>
      <c r="C67" s="30"/>
      <c r="D67" s="29"/>
      <c r="E67" s="31" t="str">
        <f aca="false">IF($C67="","",IF(NOT(OR(M67="Completed",M67="NA",M67="Cancelled")),"S1 Schematic",IF(NOT(OR(Q67="Completed",Q67="NA",Q67="Cancelled")),"S2 PCB Layout",IF(NOT(OR(U67="Completed",U67="NA",U67="Cancelled")),"S3 SI &amp; PI",IF(NOT(OR(Y67="Completed",Y67="NA",Y67="Cancelled")),"S4 Bare-PCB Fab",IF(NOT(OR(AC67="Completed",AC67="NA",AC67="Cancelled")),"S5 Assembly",IF(NOT(OR(AG67="Completed",AG67="NA",AG67="Cancelled")),"S6 Bring-up",IF(NOT(OR(AK67="Completed",AK67="NA",AK67="Cancelled")),"S7 BOM Procurement","All Stages Closed"))))))))</f>
        <v/>
      </c>
      <c r="F67" s="32" t="str">
        <f aca="false">IF($C67="","",IF(COUNTIF(M67,"Cancelled")+COUNTIF(Q67,"Cancelled")+COUNTIF(U67,"Cancelled")+COUNTIF(Y67,"Cancelled")+COUNTIF(AC67,"Cancelled")+COUNTIF(AG67,"Cancelled")+COUNTIF(AK67,"Cancelled")&gt;0,"Cancelled",IF(E67="All Stages Closed","Completed",IF(E67="S1 Schematic",M67,IF(E67="S2 PCB Layout",Q67,IF(E67="S3 SI &amp; PI",U67,IF(E67="S4 Bare-PCB Fab",Y67,IF(E67="S5 Assembly",AC67,IF(E67="S6 Bring-up",AG67,AK67)))))))))</f>
        <v/>
      </c>
      <c r="G67" s="33" t="str">
        <f aca="false">IF($C67="","",IF(E67="All Stages Closed","",IF(E67="S1 Schematic",IF(N67="","Not added",N67),IF(E67="S2 PCB Layout",IF(R67="","Not added",R67),IF(E67="S3 SI &amp; PI",IF(V67="","Not added",V67),IF(E67="S4 Bare-PCB Fab",IF(Z67="","Not added",Z67),IF(E67="S5 Assembly",IF(AD67="","Not added",AD67),IF(E67="S6 Bring-up",IF(AH67="","Not added",AH67),IF(AL67="","Not added",AL67)))))))))</f>
        <v/>
      </c>
      <c r="H67" s="32" t="str">
        <f aca="true">IF($C67="","",IF(OR(F67="Completed",F67="Cancelled"),"",IF(NOT(ISNUMBER(G67)),"No date set",IF(TODAY()&gt;G67,TODAY()-G67&amp;" days late",G67-TODAY()&amp;" days left"))))</f>
        <v/>
      </c>
      <c r="I67" s="31" t="str">
        <f aca="false">IF($C67="","",COUNTIF(M67,"Completed")+COUNTIF(Q67,"Completed")+COUNTIF(U67,"Completed")+COUNTIF(Y67,"Completed")+COUNTIF(AC67,"Completed")+COUNTIF(AG67,"Completed")+COUNTIF(AK67,"Completed"))</f>
        <v/>
      </c>
      <c r="J67" s="31" t="str">
        <f aca="false">IF($C67="","",7-(COUNTIF(M67,"NA")+COUNTIF(Q67,"NA")+COUNTIF(U67,"NA")+COUNTIF(Y67,"NA")+COUNTIF(AC67,"NA")+COUNTIF(AG67,"NA")+COUNTIF(AK67,"NA")))</f>
        <v/>
      </c>
      <c r="K67" s="34" t="str">
        <f aca="false">IFERROR(I67/J67,"")</f>
        <v/>
      </c>
      <c r="L67" s="29"/>
      <c r="M67" s="35"/>
      <c r="N67" s="36"/>
      <c r="O67" s="36"/>
      <c r="P67" s="29"/>
      <c r="Q67" s="35"/>
      <c r="R67" s="36"/>
      <c r="S67" s="36"/>
      <c r="T67" s="29"/>
      <c r="U67" s="35"/>
      <c r="V67" s="36"/>
      <c r="W67" s="36"/>
      <c r="X67" s="29"/>
      <c r="Y67" s="35"/>
      <c r="Z67" s="36"/>
      <c r="AA67" s="36"/>
      <c r="AB67" s="29"/>
      <c r="AC67" s="35"/>
      <c r="AD67" s="36"/>
      <c r="AE67" s="36"/>
      <c r="AF67" s="29"/>
      <c r="AG67" s="35"/>
      <c r="AH67" s="36"/>
      <c r="AI67" s="36"/>
      <c r="AJ67" s="29"/>
      <c r="AK67" s="35"/>
      <c r="AL67" s="36"/>
      <c r="AM67" s="36"/>
      <c r="AN67" s="29"/>
      <c r="AO67" s="29"/>
      <c r="AP67" s="29"/>
      <c r="AQ67" s="37"/>
      <c r="AR67" s="29"/>
      <c r="AS67" s="38" t="str">
        <f aca="false">IF($C67="","",IF(OR(F67="Completed",F67="Cancelled"),"",IF(AND(OR(F67="On Hold",ISNUMBER(VALUE(LEFT(H67,2)))),AR67=""),"Reason not given","")))</f>
        <v/>
      </c>
      <c r="AT67" s="30"/>
      <c r="AU67" s="30"/>
    </row>
    <row r="68" customFormat="false" ht="19.5" hidden="false" customHeight="true" outlineLevel="0" collapsed="false">
      <c r="A68" s="28" t="str">
        <f aca="false">IF($C68="","",COUNTA($C$17:$C68))</f>
        <v/>
      </c>
      <c r="B68" s="29"/>
      <c r="C68" s="30"/>
      <c r="D68" s="29"/>
      <c r="E68" s="31" t="str">
        <f aca="false">IF($C68="","",IF(NOT(OR(M68="Completed",M68="NA",M68="Cancelled")),"S1 Schematic",IF(NOT(OR(Q68="Completed",Q68="NA",Q68="Cancelled")),"S2 PCB Layout",IF(NOT(OR(U68="Completed",U68="NA",U68="Cancelled")),"S3 SI &amp; PI",IF(NOT(OR(Y68="Completed",Y68="NA",Y68="Cancelled")),"S4 Bare-PCB Fab",IF(NOT(OR(AC68="Completed",AC68="NA",AC68="Cancelled")),"S5 Assembly",IF(NOT(OR(AG68="Completed",AG68="NA",AG68="Cancelled")),"S6 Bring-up",IF(NOT(OR(AK68="Completed",AK68="NA",AK68="Cancelled")),"S7 BOM Procurement","All Stages Closed"))))))))</f>
        <v/>
      </c>
      <c r="F68" s="32" t="str">
        <f aca="false">IF($C68="","",IF(COUNTIF(M68,"Cancelled")+COUNTIF(Q68,"Cancelled")+COUNTIF(U68,"Cancelled")+COUNTIF(Y68,"Cancelled")+COUNTIF(AC68,"Cancelled")+COUNTIF(AG68,"Cancelled")+COUNTIF(AK68,"Cancelled")&gt;0,"Cancelled",IF(E68="All Stages Closed","Completed",IF(E68="S1 Schematic",M68,IF(E68="S2 PCB Layout",Q68,IF(E68="S3 SI &amp; PI",U68,IF(E68="S4 Bare-PCB Fab",Y68,IF(E68="S5 Assembly",AC68,IF(E68="S6 Bring-up",AG68,AK68)))))))))</f>
        <v/>
      </c>
      <c r="G68" s="33" t="str">
        <f aca="false">IF($C68="","",IF(E68="All Stages Closed","",IF(E68="S1 Schematic",IF(N68="","Not added",N68),IF(E68="S2 PCB Layout",IF(R68="","Not added",R68),IF(E68="S3 SI &amp; PI",IF(V68="","Not added",V68),IF(E68="S4 Bare-PCB Fab",IF(Z68="","Not added",Z68),IF(E68="S5 Assembly",IF(AD68="","Not added",AD68),IF(E68="S6 Bring-up",IF(AH68="","Not added",AH68),IF(AL68="","Not added",AL68)))))))))</f>
        <v/>
      </c>
      <c r="H68" s="32" t="str">
        <f aca="true">IF($C68="","",IF(OR(F68="Completed",F68="Cancelled"),"",IF(NOT(ISNUMBER(G68)),"No date set",IF(TODAY()&gt;G68,TODAY()-G68&amp;" days late",G68-TODAY()&amp;" days left"))))</f>
        <v/>
      </c>
      <c r="I68" s="31" t="str">
        <f aca="false">IF($C68="","",COUNTIF(M68,"Completed")+COUNTIF(Q68,"Completed")+COUNTIF(U68,"Completed")+COUNTIF(Y68,"Completed")+COUNTIF(AC68,"Completed")+COUNTIF(AG68,"Completed")+COUNTIF(AK68,"Completed"))</f>
        <v/>
      </c>
      <c r="J68" s="31" t="str">
        <f aca="false">IF($C68="","",7-(COUNTIF(M68,"NA")+COUNTIF(Q68,"NA")+COUNTIF(U68,"NA")+COUNTIF(Y68,"NA")+COUNTIF(AC68,"NA")+COUNTIF(AG68,"NA")+COUNTIF(AK68,"NA")))</f>
        <v/>
      </c>
      <c r="K68" s="34" t="str">
        <f aca="false">IFERROR(I68/J68,"")</f>
        <v/>
      </c>
      <c r="L68" s="29"/>
      <c r="M68" s="35"/>
      <c r="N68" s="36"/>
      <c r="O68" s="36"/>
      <c r="P68" s="29"/>
      <c r="Q68" s="35"/>
      <c r="R68" s="36"/>
      <c r="S68" s="36"/>
      <c r="T68" s="29"/>
      <c r="U68" s="35"/>
      <c r="V68" s="36"/>
      <c r="W68" s="36"/>
      <c r="X68" s="29"/>
      <c r="Y68" s="35"/>
      <c r="Z68" s="36"/>
      <c r="AA68" s="36"/>
      <c r="AB68" s="29"/>
      <c r="AC68" s="35"/>
      <c r="AD68" s="36"/>
      <c r="AE68" s="36"/>
      <c r="AF68" s="29"/>
      <c r="AG68" s="35"/>
      <c r="AH68" s="36"/>
      <c r="AI68" s="36"/>
      <c r="AJ68" s="29"/>
      <c r="AK68" s="35"/>
      <c r="AL68" s="36"/>
      <c r="AM68" s="36"/>
      <c r="AN68" s="29"/>
      <c r="AO68" s="29"/>
      <c r="AP68" s="29"/>
      <c r="AQ68" s="37"/>
      <c r="AR68" s="29"/>
      <c r="AS68" s="38" t="str">
        <f aca="false">IF($C68="","",IF(OR(F68="Completed",F68="Cancelled"),"",IF(AND(OR(F68="On Hold",ISNUMBER(VALUE(LEFT(H68,2)))),AR68=""),"Reason not given","")))</f>
        <v/>
      </c>
      <c r="AT68" s="30"/>
      <c r="AU68" s="30"/>
    </row>
    <row r="69" customFormat="false" ht="19.5" hidden="false" customHeight="true" outlineLevel="0" collapsed="false">
      <c r="A69" s="28" t="str">
        <f aca="false">IF($C69="","",COUNTA($C$17:$C69))</f>
        <v/>
      </c>
      <c r="B69" s="29"/>
      <c r="C69" s="30"/>
      <c r="D69" s="29"/>
      <c r="E69" s="31" t="str">
        <f aca="false">IF($C69="","",IF(NOT(OR(M69="Completed",M69="NA",M69="Cancelled")),"S1 Schematic",IF(NOT(OR(Q69="Completed",Q69="NA",Q69="Cancelled")),"S2 PCB Layout",IF(NOT(OR(U69="Completed",U69="NA",U69="Cancelled")),"S3 SI &amp; PI",IF(NOT(OR(Y69="Completed",Y69="NA",Y69="Cancelled")),"S4 Bare-PCB Fab",IF(NOT(OR(AC69="Completed",AC69="NA",AC69="Cancelled")),"S5 Assembly",IF(NOT(OR(AG69="Completed",AG69="NA",AG69="Cancelled")),"S6 Bring-up",IF(NOT(OR(AK69="Completed",AK69="NA",AK69="Cancelled")),"S7 BOM Procurement","All Stages Closed"))))))))</f>
        <v/>
      </c>
      <c r="F69" s="32" t="str">
        <f aca="false">IF($C69="","",IF(COUNTIF(M69,"Cancelled")+COUNTIF(Q69,"Cancelled")+COUNTIF(U69,"Cancelled")+COUNTIF(Y69,"Cancelled")+COUNTIF(AC69,"Cancelled")+COUNTIF(AG69,"Cancelled")+COUNTIF(AK69,"Cancelled")&gt;0,"Cancelled",IF(E69="All Stages Closed","Completed",IF(E69="S1 Schematic",M69,IF(E69="S2 PCB Layout",Q69,IF(E69="S3 SI &amp; PI",U69,IF(E69="S4 Bare-PCB Fab",Y69,IF(E69="S5 Assembly",AC69,IF(E69="S6 Bring-up",AG69,AK69)))))))))</f>
        <v/>
      </c>
      <c r="G69" s="33" t="str">
        <f aca="false">IF($C69="","",IF(E69="All Stages Closed","",IF(E69="S1 Schematic",IF(N69="","Not added",N69),IF(E69="S2 PCB Layout",IF(R69="","Not added",R69),IF(E69="S3 SI &amp; PI",IF(V69="","Not added",V69),IF(E69="S4 Bare-PCB Fab",IF(Z69="","Not added",Z69),IF(E69="S5 Assembly",IF(AD69="","Not added",AD69),IF(E69="S6 Bring-up",IF(AH69="","Not added",AH69),IF(AL69="","Not added",AL69)))))))))</f>
        <v/>
      </c>
      <c r="H69" s="32" t="str">
        <f aca="true">IF($C69="","",IF(OR(F69="Completed",F69="Cancelled"),"",IF(NOT(ISNUMBER(G69)),"No date set",IF(TODAY()&gt;G69,TODAY()-G69&amp;" days late",G69-TODAY()&amp;" days left"))))</f>
        <v/>
      </c>
      <c r="I69" s="31" t="str">
        <f aca="false">IF($C69="","",COUNTIF(M69,"Completed")+COUNTIF(Q69,"Completed")+COUNTIF(U69,"Completed")+COUNTIF(Y69,"Completed")+COUNTIF(AC69,"Completed")+COUNTIF(AG69,"Completed")+COUNTIF(AK69,"Completed"))</f>
        <v/>
      </c>
      <c r="J69" s="31" t="str">
        <f aca="false">IF($C69="","",7-(COUNTIF(M69,"NA")+COUNTIF(Q69,"NA")+COUNTIF(U69,"NA")+COUNTIF(Y69,"NA")+COUNTIF(AC69,"NA")+COUNTIF(AG69,"NA")+COUNTIF(AK69,"NA")))</f>
        <v/>
      </c>
      <c r="K69" s="34" t="str">
        <f aca="false">IFERROR(I69/J69,"")</f>
        <v/>
      </c>
      <c r="L69" s="29"/>
      <c r="M69" s="35"/>
      <c r="N69" s="36"/>
      <c r="O69" s="36"/>
      <c r="P69" s="29"/>
      <c r="Q69" s="35"/>
      <c r="R69" s="36"/>
      <c r="S69" s="36"/>
      <c r="T69" s="29"/>
      <c r="U69" s="35"/>
      <c r="V69" s="36"/>
      <c r="W69" s="36"/>
      <c r="X69" s="29"/>
      <c r="Y69" s="35"/>
      <c r="Z69" s="36"/>
      <c r="AA69" s="36"/>
      <c r="AB69" s="29"/>
      <c r="AC69" s="35"/>
      <c r="AD69" s="36"/>
      <c r="AE69" s="36"/>
      <c r="AF69" s="29"/>
      <c r="AG69" s="35"/>
      <c r="AH69" s="36"/>
      <c r="AI69" s="36"/>
      <c r="AJ69" s="29"/>
      <c r="AK69" s="35"/>
      <c r="AL69" s="36"/>
      <c r="AM69" s="36"/>
      <c r="AN69" s="29"/>
      <c r="AO69" s="29"/>
      <c r="AP69" s="29"/>
      <c r="AQ69" s="37"/>
      <c r="AR69" s="29"/>
      <c r="AS69" s="38" t="str">
        <f aca="false">IF($C69="","",IF(OR(F69="Completed",F69="Cancelled"),"",IF(AND(OR(F69="On Hold",ISNUMBER(VALUE(LEFT(H69,2)))),AR69=""),"Reason not given","")))</f>
        <v/>
      </c>
      <c r="AT69" s="30"/>
      <c r="AU69" s="30"/>
    </row>
    <row r="70" customFormat="false" ht="19.5" hidden="false" customHeight="true" outlineLevel="0" collapsed="false">
      <c r="A70" s="28" t="str">
        <f aca="false">IF($C70="","",COUNTA($C$17:$C70))</f>
        <v/>
      </c>
      <c r="B70" s="29"/>
      <c r="C70" s="30"/>
      <c r="D70" s="29"/>
      <c r="E70" s="31" t="str">
        <f aca="false">IF($C70="","",IF(NOT(OR(M70="Completed",M70="NA",M70="Cancelled")),"S1 Schematic",IF(NOT(OR(Q70="Completed",Q70="NA",Q70="Cancelled")),"S2 PCB Layout",IF(NOT(OR(U70="Completed",U70="NA",U70="Cancelled")),"S3 SI &amp; PI",IF(NOT(OR(Y70="Completed",Y70="NA",Y70="Cancelled")),"S4 Bare-PCB Fab",IF(NOT(OR(AC70="Completed",AC70="NA",AC70="Cancelled")),"S5 Assembly",IF(NOT(OR(AG70="Completed",AG70="NA",AG70="Cancelled")),"S6 Bring-up",IF(NOT(OR(AK70="Completed",AK70="NA",AK70="Cancelled")),"S7 BOM Procurement","All Stages Closed"))))))))</f>
        <v/>
      </c>
      <c r="F70" s="32" t="str">
        <f aca="false">IF($C70="","",IF(COUNTIF(M70,"Cancelled")+COUNTIF(Q70,"Cancelled")+COUNTIF(U70,"Cancelled")+COUNTIF(Y70,"Cancelled")+COUNTIF(AC70,"Cancelled")+COUNTIF(AG70,"Cancelled")+COUNTIF(AK70,"Cancelled")&gt;0,"Cancelled",IF(E70="All Stages Closed","Completed",IF(E70="S1 Schematic",M70,IF(E70="S2 PCB Layout",Q70,IF(E70="S3 SI &amp; PI",U70,IF(E70="S4 Bare-PCB Fab",Y70,IF(E70="S5 Assembly",AC70,IF(E70="S6 Bring-up",AG70,AK70)))))))))</f>
        <v/>
      </c>
      <c r="G70" s="33" t="str">
        <f aca="false">IF($C70="","",IF(E70="All Stages Closed","",IF(E70="S1 Schematic",IF(N70="","Not added",N70),IF(E70="S2 PCB Layout",IF(R70="","Not added",R70),IF(E70="S3 SI &amp; PI",IF(V70="","Not added",V70),IF(E70="S4 Bare-PCB Fab",IF(Z70="","Not added",Z70),IF(E70="S5 Assembly",IF(AD70="","Not added",AD70),IF(E70="S6 Bring-up",IF(AH70="","Not added",AH70),IF(AL70="","Not added",AL70)))))))))</f>
        <v/>
      </c>
      <c r="H70" s="32" t="str">
        <f aca="true">IF($C70="","",IF(OR(F70="Completed",F70="Cancelled"),"",IF(NOT(ISNUMBER(G70)),"No date set",IF(TODAY()&gt;G70,TODAY()-G70&amp;" days late",G70-TODAY()&amp;" days left"))))</f>
        <v/>
      </c>
      <c r="I70" s="31" t="str">
        <f aca="false">IF($C70="","",COUNTIF(M70,"Completed")+COUNTIF(Q70,"Completed")+COUNTIF(U70,"Completed")+COUNTIF(Y70,"Completed")+COUNTIF(AC70,"Completed")+COUNTIF(AG70,"Completed")+COUNTIF(AK70,"Completed"))</f>
        <v/>
      </c>
      <c r="J70" s="31" t="str">
        <f aca="false">IF($C70="","",7-(COUNTIF(M70,"NA")+COUNTIF(Q70,"NA")+COUNTIF(U70,"NA")+COUNTIF(Y70,"NA")+COUNTIF(AC70,"NA")+COUNTIF(AG70,"NA")+COUNTIF(AK70,"NA")))</f>
        <v/>
      </c>
      <c r="K70" s="34" t="str">
        <f aca="false">IFERROR(I70/J70,"")</f>
        <v/>
      </c>
      <c r="L70" s="29"/>
      <c r="M70" s="35"/>
      <c r="N70" s="36"/>
      <c r="O70" s="36"/>
      <c r="P70" s="29"/>
      <c r="Q70" s="35"/>
      <c r="R70" s="36"/>
      <c r="S70" s="36"/>
      <c r="T70" s="29"/>
      <c r="U70" s="35"/>
      <c r="V70" s="36"/>
      <c r="W70" s="36"/>
      <c r="X70" s="29"/>
      <c r="Y70" s="35"/>
      <c r="Z70" s="36"/>
      <c r="AA70" s="36"/>
      <c r="AB70" s="29"/>
      <c r="AC70" s="35"/>
      <c r="AD70" s="36"/>
      <c r="AE70" s="36"/>
      <c r="AF70" s="29"/>
      <c r="AG70" s="35"/>
      <c r="AH70" s="36"/>
      <c r="AI70" s="36"/>
      <c r="AJ70" s="29"/>
      <c r="AK70" s="35"/>
      <c r="AL70" s="36"/>
      <c r="AM70" s="36"/>
      <c r="AN70" s="29"/>
      <c r="AO70" s="29"/>
      <c r="AP70" s="29"/>
      <c r="AQ70" s="37"/>
      <c r="AR70" s="29"/>
      <c r="AS70" s="38" t="str">
        <f aca="false">IF($C70="","",IF(OR(F70="Completed",F70="Cancelled"),"",IF(AND(OR(F70="On Hold",ISNUMBER(VALUE(LEFT(H70,2)))),AR70=""),"Reason not given","")))</f>
        <v/>
      </c>
      <c r="AT70" s="30"/>
      <c r="AU70" s="30"/>
    </row>
    <row r="71" customFormat="false" ht="19.5" hidden="false" customHeight="true" outlineLevel="0" collapsed="false">
      <c r="A71" s="28" t="str">
        <f aca="false">IF($C71="","",COUNTA($C$17:$C71))</f>
        <v/>
      </c>
      <c r="B71" s="29"/>
      <c r="C71" s="30"/>
      <c r="D71" s="29"/>
      <c r="E71" s="31" t="str">
        <f aca="false">IF($C71="","",IF(NOT(OR(M71="Completed",M71="NA",M71="Cancelled")),"S1 Schematic",IF(NOT(OR(Q71="Completed",Q71="NA",Q71="Cancelled")),"S2 PCB Layout",IF(NOT(OR(U71="Completed",U71="NA",U71="Cancelled")),"S3 SI &amp; PI",IF(NOT(OR(Y71="Completed",Y71="NA",Y71="Cancelled")),"S4 Bare-PCB Fab",IF(NOT(OR(AC71="Completed",AC71="NA",AC71="Cancelled")),"S5 Assembly",IF(NOT(OR(AG71="Completed",AG71="NA",AG71="Cancelled")),"S6 Bring-up",IF(NOT(OR(AK71="Completed",AK71="NA",AK71="Cancelled")),"S7 BOM Procurement","All Stages Closed"))))))))</f>
        <v/>
      </c>
      <c r="F71" s="32" t="str">
        <f aca="false">IF($C71="","",IF(COUNTIF(M71,"Cancelled")+COUNTIF(Q71,"Cancelled")+COUNTIF(U71,"Cancelled")+COUNTIF(Y71,"Cancelled")+COUNTIF(AC71,"Cancelled")+COUNTIF(AG71,"Cancelled")+COUNTIF(AK71,"Cancelled")&gt;0,"Cancelled",IF(E71="All Stages Closed","Completed",IF(E71="S1 Schematic",M71,IF(E71="S2 PCB Layout",Q71,IF(E71="S3 SI &amp; PI",U71,IF(E71="S4 Bare-PCB Fab",Y71,IF(E71="S5 Assembly",AC71,IF(E71="S6 Bring-up",AG71,AK71)))))))))</f>
        <v/>
      </c>
      <c r="G71" s="33" t="str">
        <f aca="false">IF($C71="","",IF(E71="All Stages Closed","",IF(E71="S1 Schematic",IF(N71="","Not added",N71),IF(E71="S2 PCB Layout",IF(R71="","Not added",R71),IF(E71="S3 SI &amp; PI",IF(V71="","Not added",V71),IF(E71="S4 Bare-PCB Fab",IF(Z71="","Not added",Z71),IF(E71="S5 Assembly",IF(AD71="","Not added",AD71),IF(E71="S6 Bring-up",IF(AH71="","Not added",AH71),IF(AL71="","Not added",AL71)))))))))</f>
        <v/>
      </c>
      <c r="H71" s="32" t="str">
        <f aca="true">IF($C71="","",IF(OR(F71="Completed",F71="Cancelled"),"",IF(NOT(ISNUMBER(G71)),"No date set",IF(TODAY()&gt;G71,TODAY()-G71&amp;" days late",G71-TODAY()&amp;" days left"))))</f>
        <v/>
      </c>
      <c r="I71" s="31" t="str">
        <f aca="false">IF($C71="","",COUNTIF(M71,"Completed")+COUNTIF(Q71,"Completed")+COUNTIF(U71,"Completed")+COUNTIF(Y71,"Completed")+COUNTIF(AC71,"Completed")+COUNTIF(AG71,"Completed")+COUNTIF(AK71,"Completed"))</f>
        <v/>
      </c>
      <c r="J71" s="31" t="str">
        <f aca="false">IF($C71="","",7-(COUNTIF(M71,"NA")+COUNTIF(Q71,"NA")+COUNTIF(U71,"NA")+COUNTIF(Y71,"NA")+COUNTIF(AC71,"NA")+COUNTIF(AG71,"NA")+COUNTIF(AK71,"NA")))</f>
        <v/>
      </c>
      <c r="K71" s="34" t="str">
        <f aca="false">IFERROR(I71/J71,"")</f>
        <v/>
      </c>
      <c r="L71" s="29"/>
      <c r="M71" s="35"/>
      <c r="N71" s="36"/>
      <c r="O71" s="36"/>
      <c r="P71" s="29"/>
      <c r="Q71" s="35"/>
      <c r="R71" s="36"/>
      <c r="S71" s="36"/>
      <c r="T71" s="29"/>
      <c r="U71" s="35"/>
      <c r="V71" s="36"/>
      <c r="W71" s="36"/>
      <c r="X71" s="29"/>
      <c r="Y71" s="35"/>
      <c r="Z71" s="36"/>
      <c r="AA71" s="36"/>
      <c r="AB71" s="29"/>
      <c r="AC71" s="35"/>
      <c r="AD71" s="36"/>
      <c r="AE71" s="36"/>
      <c r="AF71" s="29"/>
      <c r="AG71" s="35"/>
      <c r="AH71" s="36"/>
      <c r="AI71" s="36"/>
      <c r="AJ71" s="29"/>
      <c r="AK71" s="35"/>
      <c r="AL71" s="36"/>
      <c r="AM71" s="36"/>
      <c r="AN71" s="29"/>
      <c r="AO71" s="29"/>
      <c r="AP71" s="29"/>
      <c r="AQ71" s="37"/>
      <c r="AR71" s="29"/>
      <c r="AS71" s="38" t="str">
        <f aca="false">IF($C71="","",IF(OR(F71="Completed",F71="Cancelled"),"",IF(AND(OR(F71="On Hold",ISNUMBER(VALUE(LEFT(H71,2)))),AR71=""),"Reason not given","")))</f>
        <v/>
      </c>
      <c r="AT71" s="30"/>
      <c r="AU71" s="30"/>
    </row>
    <row r="72" customFormat="false" ht="19.5" hidden="false" customHeight="true" outlineLevel="0" collapsed="false">
      <c r="A72" s="28" t="str">
        <f aca="false">IF($C72="","",COUNTA($C$17:$C72))</f>
        <v/>
      </c>
      <c r="B72" s="29"/>
      <c r="C72" s="30"/>
      <c r="D72" s="29"/>
      <c r="E72" s="31" t="str">
        <f aca="false">IF($C72="","",IF(NOT(OR(M72="Completed",M72="NA",M72="Cancelled")),"S1 Schematic",IF(NOT(OR(Q72="Completed",Q72="NA",Q72="Cancelled")),"S2 PCB Layout",IF(NOT(OR(U72="Completed",U72="NA",U72="Cancelled")),"S3 SI &amp; PI",IF(NOT(OR(Y72="Completed",Y72="NA",Y72="Cancelled")),"S4 Bare-PCB Fab",IF(NOT(OR(AC72="Completed",AC72="NA",AC72="Cancelled")),"S5 Assembly",IF(NOT(OR(AG72="Completed",AG72="NA",AG72="Cancelled")),"S6 Bring-up",IF(NOT(OR(AK72="Completed",AK72="NA",AK72="Cancelled")),"S7 BOM Procurement","All Stages Closed"))))))))</f>
        <v/>
      </c>
      <c r="F72" s="32" t="str">
        <f aca="false">IF($C72="","",IF(COUNTIF(M72,"Cancelled")+COUNTIF(Q72,"Cancelled")+COUNTIF(U72,"Cancelled")+COUNTIF(Y72,"Cancelled")+COUNTIF(AC72,"Cancelled")+COUNTIF(AG72,"Cancelled")+COUNTIF(AK72,"Cancelled")&gt;0,"Cancelled",IF(E72="All Stages Closed","Completed",IF(E72="S1 Schematic",M72,IF(E72="S2 PCB Layout",Q72,IF(E72="S3 SI &amp; PI",U72,IF(E72="S4 Bare-PCB Fab",Y72,IF(E72="S5 Assembly",AC72,IF(E72="S6 Bring-up",AG72,AK72)))))))))</f>
        <v/>
      </c>
      <c r="G72" s="33" t="str">
        <f aca="false">IF($C72="","",IF(E72="All Stages Closed","",IF(E72="S1 Schematic",IF(N72="","Not added",N72),IF(E72="S2 PCB Layout",IF(R72="","Not added",R72),IF(E72="S3 SI &amp; PI",IF(V72="","Not added",V72),IF(E72="S4 Bare-PCB Fab",IF(Z72="","Not added",Z72),IF(E72="S5 Assembly",IF(AD72="","Not added",AD72),IF(E72="S6 Bring-up",IF(AH72="","Not added",AH72),IF(AL72="","Not added",AL72)))))))))</f>
        <v/>
      </c>
      <c r="H72" s="32" t="str">
        <f aca="true">IF($C72="","",IF(OR(F72="Completed",F72="Cancelled"),"",IF(NOT(ISNUMBER(G72)),"No date set",IF(TODAY()&gt;G72,TODAY()-G72&amp;" days late",G72-TODAY()&amp;" days left"))))</f>
        <v/>
      </c>
      <c r="I72" s="31" t="str">
        <f aca="false">IF($C72="","",COUNTIF(M72,"Completed")+COUNTIF(Q72,"Completed")+COUNTIF(U72,"Completed")+COUNTIF(Y72,"Completed")+COUNTIF(AC72,"Completed")+COUNTIF(AG72,"Completed")+COUNTIF(AK72,"Completed"))</f>
        <v/>
      </c>
      <c r="J72" s="31" t="str">
        <f aca="false">IF($C72="","",7-(COUNTIF(M72,"NA")+COUNTIF(Q72,"NA")+COUNTIF(U72,"NA")+COUNTIF(Y72,"NA")+COUNTIF(AC72,"NA")+COUNTIF(AG72,"NA")+COUNTIF(AK72,"NA")))</f>
        <v/>
      </c>
      <c r="K72" s="34" t="str">
        <f aca="false">IFERROR(I72/J72,"")</f>
        <v/>
      </c>
      <c r="L72" s="29"/>
      <c r="M72" s="35"/>
      <c r="N72" s="36"/>
      <c r="O72" s="36"/>
      <c r="P72" s="29"/>
      <c r="Q72" s="35"/>
      <c r="R72" s="36"/>
      <c r="S72" s="36"/>
      <c r="T72" s="29"/>
      <c r="U72" s="35"/>
      <c r="V72" s="36"/>
      <c r="W72" s="36"/>
      <c r="X72" s="29"/>
      <c r="Y72" s="35"/>
      <c r="Z72" s="36"/>
      <c r="AA72" s="36"/>
      <c r="AB72" s="29"/>
      <c r="AC72" s="35"/>
      <c r="AD72" s="36"/>
      <c r="AE72" s="36"/>
      <c r="AF72" s="29"/>
      <c r="AG72" s="35"/>
      <c r="AH72" s="36"/>
      <c r="AI72" s="36"/>
      <c r="AJ72" s="29"/>
      <c r="AK72" s="35"/>
      <c r="AL72" s="36"/>
      <c r="AM72" s="36"/>
      <c r="AN72" s="29"/>
      <c r="AO72" s="29"/>
      <c r="AP72" s="29"/>
      <c r="AQ72" s="37"/>
      <c r="AR72" s="29"/>
      <c r="AS72" s="38" t="str">
        <f aca="false">IF($C72="","",IF(OR(F72="Completed",F72="Cancelled"),"",IF(AND(OR(F72="On Hold",ISNUMBER(VALUE(LEFT(H72,2)))),AR72=""),"Reason not given","")))</f>
        <v/>
      </c>
      <c r="AT72" s="30"/>
      <c r="AU72" s="30"/>
    </row>
    <row r="73" customFormat="false" ht="19.5" hidden="false" customHeight="true" outlineLevel="0" collapsed="false">
      <c r="A73" s="28" t="str">
        <f aca="false">IF($C73="","",COUNTA($C$17:$C73))</f>
        <v/>
      </c>
      <c r="B73" s="29"/>
      <c r="C73" s="30"/>
      <c r="D73" s="29"/>
      <c r="E73" s="31" t="str">
        <f aca="false">IF($C73="","",IF(NOT(OR(M73="Completed",M73="NA",M73="Cancelled")),"S1 Schematic",IF(NOT(OR(Q73="Completed",Q73="NA",Q73="Cancelled")),"S2 PCB Layout",IF(NOT(OR(U73="Completed",U73="NA",U73="Cancelled")),"S3 SI &amp; PI",IF(NOT(OR(Y73="Completed",Y73="NA",Y73="Cancelled")),"S4 Bare-PCB Fab",IF(NOT(OR(AC73="Completed",AC73="NA",AC73="Cancelled")),"S5 Assembly",IF(NOT(OR(AG73="Completed",AG73="NA",AG73="Cancelled")),"S6 Bring-up",IF(NOT(OR(AK73="Completed",AK73="NA",AK73="Cancelled")),"S7 BOM Procurement","All Stages Closed"))))))))</f>
        <v/>
      </c>
      <c r="F73" s="32" t="str">
        <f aca="false">IF($C73="","",IF(COUNTIF(M73,"Cancelled")+COUNTIF(Q73,"Cancelled")+COUNTIF(U73,"Cancelled")+COUNTIF(Y73,"Cancelled")+COUNTIF(AC73,"Cancelled")+COUNTIF(AG73,"Cancelled")+COUNTIF(AK73,"Cancelled")&gt;0,"Cancelled",IF(E73="All Stages Closed","Completed",IF(E73="S1 Schematic",M73,IF(E73="S2 PCB Layout",Q73,IF(E73="S3 SI &amp; PI",U73,IF(E73="S4 Bare-PCB Fab",Y73,IF(E73="S5 Assembly",AC73,IF(E73="S6 Bring-up",AG73,AK73)))))))))</f>
        <v/>
      </c>
      <c r="G73" s="33" t="str">
        <f aca="false">IF($C73="","",IF(E73="All Stages Closed","",IF(E73="S1 Schematic",IF(N73="","Not added",N73),IF(E73="S2 PCB Layout",IF(R73="","Not added",R73),IF(E73="S3 SI &amp; PI",IF(V73="","Not added",V73),IF(E73="S4 Bare-PCB Fab",IF(Z73="","Not added",Z73),IF(E73="S5 Assembly",IF(AD73="","Not added",AD73),IF(E73="S6 Bring-up",IF(AH73="","Not added",AH73),IF(AL73="","Not added",AL73)))))))))</f>
        <v/>
      </c>
      <c r="H73" s="32" t="str">
        <f aca="true">IF($C73="","",IF(OR(F73="Completed",F73="Cancelled"),"",IF(NOT(ISNUMBER(G73)),"No date set",IF(TODAY()&gt;G73,TODAY()-G73&amp;" days late",G73-TODAY()&amp;" days left"))))</f>
        <v/>
      </c>
      <c r="I73" s="31" t="str">
        <f aca="false">IF($C73="","",COUNTIF(M73,"Completed")+COUNTIF(Q73,"Completed")+COUNTIF(U73,"Completed")+COUNTIF(Y73,"Completed")+COUNTIF(AC73,"Completed")+COUNTIF(AG73,"Completed")+COUNTIF(AK73,"Completed"))</f>
        <v/>
      </c>
      <c r="J73" s="31" t="str">
        <f aca="false">IF($C73="","",7-(COUNTIF(M73,"NA")+COUNTIF(Q73,"NA")+COUNTIF(U73,"NA")+COUNTIF(Y73,"NA")+COUNTIF(AC73,"NA")+COUNTIF(AG73,"NA")+COUNTIF(AK73,"NA")))</f>
        <v/>
      </c>
      <c r="K73" s="34" t="str">
        <f aca="false">IFERROR(I73/J73,"")</f>
        <v/>
      </c>
      <c r="L73" s="29"/>
      <c r="M73" s="35"/>
      <c r="N73" s="36"/>
      <c r="O73" s="36"/>
      <c r="P73" s="29"/>
      <c r="Q73" s="35"/>
      <c r="R73" s="36"/>
      <c r="S73" s="36"/>
      <c r="T73" s="29"/>
      <c r="U73" s="35"/>
      <c r="V73" s="36"/>
      <c r="W73" s="36"/>
      <c r="X73" s="29"/>
      <c r="Y73" s="35"/>
      <c r="Z73" s="36"/>
      <c r="AA73" s="36"/>
      <c r="AB73" s="29"/>
      <c r="AC73" s="35"/>
      <c r="AD73" s="36"/>
      <c r="AE73" s="36"/>
      <c r="AF73" s="29"/>
      <c r="AG73" s="35"/>
      <c r="AH73" s="36"/>
      <c r="AI73" s="36"/>
      <c r="AJ73" s="29"/>
      <c r="AK73" s="35"/>
      <c r="AL73" s="36"/>
      <c r="AM73" s="36"/>
      <c r="AN73" s="29"/>
      <c r="AO73" s="29"/>
      <c r="AP73" s="29"/>
      <c r="AQ73" s="37"/>
      <c r="AR73" s="29"/>
      <c r="AS73" s="38" t="str">
        <f aca="false">IF($C73="","",IF(OR(F73="Completed",F73="Cancelled"),"",IF(AND(OR(F73="On Hold",ISNUMBER(VALUE(LEFT(H73,2)))),AR73=""),"Reason not given","")))</f>
        <v/>
      </c>
      <c r="AT73" s="30"/>
      <c r="AU73" s="30"/>
    </row>
    <row r="74" customFormat="false" ht="19.5" hidden="false" customHeight="true" outlineLevel="0" collapsed="false">
      <c r="A74" s="28" t="str">
        <f aca="false">IF($C74="","",COUNTA($C$17:$C74))</f>
        <v/>
      </c>
      <c r="B74" s="29"/>
      <c r="C74" s="30"/>
      <c r="D74" s="29"/>
      <c r="E74" s="31" t="str">
        <f aca="false">IF($C74="","",IF(NOT(OR(M74="Completed",M74="NA",M74="Cancelled")),"S1 Schematic",IF(NOT(OR(Q74="Completed",Q74="NA",Q74="Cancelled")),"S2 PCB Layout",IF(NOT(OR(U74="Completed",U74="NA",U74="Cancelled")),"S3 SI &amp; PI",IF(NOT(OR(Y74="Completed",Y74="NA",Y74="Cancelled")),"S4 Bare-PCB Fab",IF(NOT(OR(AC74="Completed",AC74="NA",AC74="Cancelled")),"S5 Assembly",IF(NOT(OR(AG74="Completed",AG74="NA",AG74="Cancelled")),"S6 Bring-up",IF(NOT(OR(AK74="Completed",AK74="NA",AK74="Cancelled")),"S7 BOM Procurement","All Stages Closed"))))))))</f>
        <v/>
      </c>
      <c r="F74" s="32" t="str">
        <f aca="false">IF($C74="","",IF(COUNTIF(M74,"Cancelled")+COUNTIF(Q74,"Cancelled")+COUNTIF(U74,"Cancelled")+COUNTIF(Y74,"Cancelled")+COUNTIF(AC74,"Cancelled")+COUNTIF(AG74,"Cancelled")+COUNTIF(AK74,"Cancelled")&gt;0,"Cancelled",IF(E74="All Stages Closed","Completed",IF(E74="S1 Schematic",M74,IF(E74="S2 PCB Layout",Q74,IF(E74="S3 SI &amp; PI",U74,IF(E74="S4 Bare-PCB Fab",Y74,IF(E74="S5 Assembly",AC74,IF(E74="S6 Bring-up",AG74,AK74)))))))))</f>
        <v/>
      </c>
      <c r="G74" s="33" t="str">
        <f aca="false">IF($C74="","",IF(E74="All Stages Closed","",IF(E74="S1 Schematic",IF(N74="","Not added",N74),IF(E74="S2 PCB Layout",IF(R74="","Not added",R74),IF(E74="S3 SI &amp; PI",IF(V74="","Not added",V74),IF(E74="S4 Bare-PCB Fab",IF(Z74="","Not added",Z74),IF(E74="S5 Assembly",IF(AD74="","Not added",AD74),IF(E74="S6 Bring-up",IF(AH74="","Not added",AH74),IF(AL74="","Not added",AL74)))))))))</f>
        <v/>
      </c>
      <c r="H74" s="32" t="str">
        <f aca="true">IF($C74="","",IF(OR(F74="Completed",F74="Cancelled"),"",IF(NOT(ISNUMBER(G74)),"No date set",IF(TODAY()&gt;G74,TODAY()-G74&amp;" days late",G74-TODAY()&amp;" days left"))))</f>
        <v/>
      </c>
      <c r="I74" s="31" t="str">
        <f aca="false">IF($C74="","",COUNTIF(M74,"Completed")+COUNTIF(Q74,"Completed")+COUNTIF(U74,"Completed")+COUNTIF(Y74,"Completed")+COUNTIF(AC74,"Completed")+COUNTIF(AG74,"Completed")+COUNTIF(AK74,"Completed"))</f>
        <v/>
      </c>
      <c r="J74" s="31" t="str">
        <f aca="false">IF($C74="","",7-(COUNTIF(M74,"NA")+COUNTIF(Q74,"NA")+COUNTIF(U74,"NA")+COUNTIF(Y74,"NA")+COUNTIF(AC74,"NA")+COUNTIF(AG74,"NA")+COUNTIF(AK74,"NA")))</f>
        <v/>
      </c>
      <c r="K74" s="34" t="str">
        <f aca="false">IFERROR(I74/J74,"")</f>
        <v/>
      </c>
      <c r="L74" s="29"/>
      <c r="M74" s="35"/>
      <c r="N74" s="36"/>
      <c r="O74" s="36"/>
      <c r="P74" s="29"/>
      <c r="Q74" s="35"/>
      <c r="R74" s="36"/>
      <c r="S74" s="36"/>
      <c r="T74" s="29"/>
      <c r="U74" s="35"/>
      <c r="V74" s="36"/>
      <c r="W74" s="36"/>
      <c r="X74" s="29"/>
      <c r="Y74" s="35"/>
      <c r="Z74" s="36"/>
      <c r="AA74" s="36"/>
      <c r="AB74" s="29"/>
      <c r="AC74" s="35"/>
      <c r="AD74" s="36"/>
      <c r="AE74" s="36"/>
      <c r="AF74" s="29"/>
      <c r="AG74" s="35"/>
      <c r="AH74" s="36"/>
      <c r="AI74" s="36"/>
      <c r="AJ74" s="29"/>
      <c r="AK74" s="35"/>
      <c r="AL74" s="36"/>
      <c r="AM74" s="36"/>
      <c r="AN74" s="29"/>
      <c r="AO74" s="29"/>
      <c r="AP74" s="29"/>
      <c r="AQ74" s="37"/>
      <c r="AR74" s="29"/>
      <c r="AS74" s="38" t="str">
        <f aca="false">IF($C74="","",IF(OR(F74="Completed",F74="Cancelled"),"",IF(AND(OR(F74="On Hold",ISNUMBER(VALUE(LEFT(H74,2)))),AR74=""),"Reason not given","")))</f>
        <v/>
      </c>
      <c r="AT74" s="30"/>
      <c r="AU74" s="30"/>
    </row>
    <row r="75" customFormat="false" ht="19.5" hidden="false" customHeight="true" outlineLevel="0" collapsed="false">
      <c r="A75" s="28" t="str">
        <f aca="false">IF($C75="","",COUNTA($C$17:$C75))</f>
        <v/>
      </c>
      <c r="B75" s="29"/>
      <c r="C75" s="30"/>
      <c r="D75" s="29"/>
      <c r="E75" s="31" t="str">
        <f aca="false">IF($C75="","",IF(NOT(OR(M75="Completed",M75="NA",M75="Cancelled")),"S1 Schematic",IF(NOT(OR(Q75="Completed",Q75="NA",Q75="Cancelled")),"S2 PCB Layout",IF(NOT(OR(U75="Completed",U75="NA",U75="Cancelled")),"S3 SI &amp; PI",IF(NOT(OR(Y75="Completed",Y75="NA",Y75="Cancelled")),"S4 Bare-PCB Fab",IF(NOT(OR(AC75="Completed",AC75="NA",AC75="Cancelled")),"S5 Assembly",IF(NOT(OR(AG75="Completed",AG75="NA",AG75="Cancelled")),"S6 Bring-up",IF(NOT(OR(AK75="Completed",AK75="NA",AK75="Cancelled")),"S7 BOM Procurement","All Stages Closed"))))))))</f>
        <v/>
      </c>
      <c r="F75" s="32" t="str">
        <f aca="false">IF($C75="","",IF(COUNTIF(M75,"Cancelled")+COUNTIF(Q75,"Cancelled")+COUNTIF(U75,"Cancelled")+COUNTIF(Y75,"Cancelled")+COUNTIF(AC75,"Cancelled")+COUNTIF(AG75,"Cancelled")+COUNTIF(AK75,"Cancelled")&gt;0,"Cancelled",IF(E75="All Stages Closed","Completed",IF(E75="S1 Schematic",M75,IF(E75="S2 PCB Layout",Q75,IF(E75="S3 SI &amp; PI",U75,IF(E75="S4 Bare-PCB Fab",Y75,IF(E75="S5 Assembly",AC75,IF(E75="S6 Bring-up",AG75,AK75)))))))))</f>
        <v/>
      </c>
      <c r="G75" s="33" t="str">
        <f aca="false">IF($C75="","",IF(E75="All Stages Closed","",IF(E75="S1 Schematic",IF(N75="","Not added",N75),IF(E75="S2 PCB Layout",IF(R75="","Not added",R75),IF(E75="S3 SI &amp; PI",IF(V75="","Not added",V75),IF(E75="S4 Bare-PCB Fab",IF(Z75="","Not added",Z75),IF(E75="S5 Assembly",IF(AD75="","Not added",AD75),IF(E75="S6 Bring-up",IF(AH75="","Not added",AH75),IF(AL75="","Not added",AL75)))))))))</f>
        <v/>
      </c>
      <c r="H75" s="32" t="str">
        <f aca="true">IF($C75="","",IF(OR(F75="Completed",F75="Cancelled"),"",IF(NOT(ISNUMBER(G75)),"No date set",IF(TODAY()&gt;G75,TODAY()-G75&amp;" days late",G75-TODAY()&amp;" days left"))))</f>
        <v/>
      </c>
      <c r="I75" s="31" t="str">
        <f aca="false">IF($C75="","",COUNTIF(M75,"Completed")+COUNTIF(Q75,"Completed")+COUNTIF(U75,"Completed")+COUNTIF(Y75,"Completed")+COUNTIF(AC75,"Completed")+COUNTIF(AG75,"Completed")+COUNTIF(AK75,"Completed"))</f>
        <v/>
      </c>
      <c r="J75" s="31" t="str">
        <f aca="false">IF($C75="","",7-(COUNTIF(M75,"NA")+COUNTIF(Q75,"NA")+COUNTIF(U75,"NA")+COUNTIF(Y75,"NA")+COUNTIF(AC75,"NA")+COUNTIF(AG75,"NA")+COUNTIF(AK75,"NA")))</f>
        <v/>
      </c>
      <c r="K75" s="34" t="str">
        <f aca="false">IFERROR(I75/J75,"")</f>
        <v/>
      </c>
      <c r="L75" s="29"/>
      <c r="M75" s="35"/>
      <c r="N75" s="36"/>
      <c r="O75" s="36"/>
      <c r="P75" s="29"/>
      <c r="Q75" s="35"/>
      <c r="R75" s="36"/>
      <c r="S75" s="36"/>
      <c r="T75" s="29"/>
      <c r="U75" s="35"/>
      <c r="V75" s="36"/>
      <c r="W75" s="36"/>
      <c r="X75" s="29"/>
      <c r="Y75" s="35"/>
      <c r="Z75" s="36"/>
      <c r="AA75" s="36"/>
      <c r="AB75" s="29"/>
      <c r="AC75" s="35"/>
      <c r="AD75" s="36"/>
      <c r="AE75" s="36"/>
      <c r="AF75" s="29"/>
      <c r="AG75" s="35"/>
      <c r="AH75" s="36"/>
      <c r="AI75" s="36"/>
      <c r="AJ75" s="29"/>
      <c r="AK75" s="35"/>
      <c r="AL75" s="36"/>
      <c r="AM75" s="36"/>
      <c r="AN75" s="29"/>
      <c r="AO75" s="29"/>
      <c r="AP75" s="29"/>
      <c r="AQ75" s="37"/>
      <c r="AR75" s="29"/>
      <c r="AS75" s="38" t="str">
        <f aca="false">IF($C75="","",IF(OR(F75="Completed",F75="Cancelled"),"",IF(AND(OR(F75="On Hold",ISNUMBER(VALUE(LEFT(H75,2)))),AR75=""),"Reason not given","")))</f>
        <v/>
      </c>
      <c r="AT75" s="30"/>
      <c r="AU75" s="30"/>
    </row>
    <row r="76" customFormat="false" ht="19.5" hidden="false" customHeight="true" outlineLevel="0" collapsed="false">
      <c r="A76" s="28" t="str">
        <f aca="false">IF($C76="","",COUNTA($C$17:$C76))</f>
        <v/>
      </c>
      <c r="B76" s="29"/>
      <c r="C76" s="30"/>
      <c r="D76" s="29"/>
      <c r="E76" s="31" t="str">
        <f aca="false">IF($C76="","",IF(NOT(OR(M76="Completed",M76="NA",M76="Cancelled")),"S1 Schematic",IF(NOT(OR(Q76="Completed",Q76="NA",Q76="Cancelled")),"S2 PCB Layout",IF(NOT(OR(U76="Completed",U76="NA",U76="Cancelled")),"S3 SI &amp; PI",IF(NOT(OR(Y76="Completed",Y76="NA",Y76="Cancelled")),"S4 Bare-PCB Fab",IF(NOT(OR(AC76="Completed",AC76="NA",AC76="Cancelled")),"S5 Assembly",IF(NOT(OR(AG76="Completed",AG76="NA",AG76="Cancelled")),"S6 Bring-up",IF(NOT(OR(AK76="Completed",AK76="NA",AK76="Cancelled")),"S7 BOM Procurement","All Stages Closed"))))))))</f>
        <v/>
      </c>
      <c r="F76" s="32" t="str">
        <f aca="false">IF($C76="","",IF(COUNTIF(M76,"Cancelled")+COUNTIF(Q76,"Cancelled")+COUNTIF(U76,"Cancelled")+COUNTIF(Y76,"Cancelled")+COUNTIF(AC76,"Cancelled")+COUNTIF(AG76,"Cancelled")+COUNTIF(AK76,"Cancelled")&gt;0,"Cancelled",IF(E76="All Stages Closed","Completed",IF(E76="S1 Schematic",M76,IF(E76="S2 PCB Layout",Q76,IF(E76="S3 SI &amp; PI",U76,IF(E76="S4 Bare-PCB Fab",Y76,IF(E76="S5 Assembly",AC76,IF(E76="S6 Bring-up",AG76,AK76)))))))))</f>
        <v/>
      </c>
      <c r="G76" s="33" t="str">
        <f aca="false">IF($C76="","",IF(E76="All Stages Closed","",IF(E76="S1 Schematic",IF(N76="","Not added",N76),IF(E76="S2 PCB Layout",IF(R76="","Not added",R76),IF(E76="S3 SI &amp; PI",IF(V76="","Not added",V76),IF(E76="S4 Bare-PCB Fab",IF(Z76="","Not added",Z76),IF(E76="S5 Assembly",IF(AD76="","Not added",AD76),IF(E76="S6 Bring-up",IF(AH76="","Not added",AH76),IF(AL76="","Not added",AL76)))))))))</f>
        <v/>
      </c>
      <c r="H76" s="32" t="str">
        <f aca="true">IF($C76="","",IF(OR(F76="Completed",F76="Cancelled"),"",IF(NOT(ISNUMBER(G76)),"No date set",IF(TODAY()&gt;G76,TODAY()-G76&amp;" days late",G76-TODAY()&amp;" days left"))))</f>
        <v/>
      </c>
      <c r="I76" s="31" t="str">
        <f aca="false">IF($C76="","",COUNTIF(M76,"Completed")+COUNTIF(Q76,"Completed")+COUNTIF(U76,"Completed")+COUNTIF(Y76,"Completed")+COUNTIF(AC76,"Completed")+COUNTIF(AG76,"Completed")+COUNTIF(AK76,"Completed"))</f>
        <v/>
      </c>
      <c r="J76" s="31" t="str">
        <f aca="false">IF($C76="","",7-(COUNTIF(M76,"NA")+COUNTIF(Q76,"NA")+COUNTIF(U76,"NA")+COUNTIF(Y76,"NA")+COUNTIF(AC76,"NA")+COUNTIF(AG76,"NA")+COUNTIF(AK76,"NA")))</f>
        <v/>
      </c>
      <c r="K76" s="34" t="str">
        <f aca="false">IFERROR(I76/J76,"")</f>
        <v/>
      </c>
      <c r="L76" s="29"/>
      <c r="M76" s="35"/>
      <c r="N76" s="36"/>
      <c r="O76" s="36"/>
      <c r="P76" s="29"/>
      <c r="Q76" s="35"/>
      <c r="R76" s="36"/>
      <c r="S76" s="36"/>
      <c r="T76" s="29"/>
      <c r="U76" s="35"/>
      <c r="V76" s="36"/>
      <c r="W76" s="36"/>
      <c r="X76" s="29"/>
      <c r="Y76" s="35"/>
      <c r="Z76" s="36"/>
      <c r="AA76" s="36"/>
      <c r="AB76" s="29"/>
      <c r="AC76" s="35"/>
      <c r="AD76" s="36"/>
      <c r="AE76" s="36"/>
      <c r="AF76" s="29"/>
      <c r="AG76" s="35"/>
      <c r="AH76" s="36"/>
      <c r="AI76" s="36"/>
      <c r="AJ76" s="29"/>
      <c r="AK76" s="35"/>
      <c r="AL76" s="36"/>
      <c r="AM76" s="36"/>
      <c r="AN76" s="29"/>
      <c r="AO76" s="29"/>
      <c r="AP76" s="29"/>
      <c r="AQ76" s="37"/>
      <c r="AR76" s="29"/>
      <c r="AS76" s="38" t="str">
        <f aca="false">IF($C76="","",IF(OR(F76="Completed",F76="Cancelled"),"",IF(AND(OR(F76="On Hold",ISNUMBER(VALUE(LEFT(H76,2)))),AR76=""),"Reason not given","")))</f>
        <v/>
      </c>
      <c r="AT76" s="30"/>
      <c r="AU76" s="30"/>
    </row>
    <row r="77" customFormat="false" ht="19.5" hidden="false" customHeight="true" outlineLevel="0" collapsed="false">
      <c r="A77" s="28" t="str">
        <f aca="false">IF($C77="","",COUNTA($C$17:$C77))</f>
        <v/>
      </c>
      <c r="B77" s="29"/>
      <c r="C77" s="30"/>
      <c r="D77" s="29"/>
      <c r="E77" s="31" t="str">
        <f aca="false">IF($C77="","",IF(NOT(OR(M77="Completed",M77="NA",M77="Cancelled")),"S1 Schematic",IF(NOT(OR(Q77="Completed",Q77="NA",Q77="Cancelled")),"S2 PCB Layout",IF(NOT(OR(U77="Completed",U77="NA",U77="Cancelled")),"S3 SI &amp; PI",IF(NOT(OR(Y77="Completed",Y77="NA",Y77="Cancelled")),"S4 Bare-PCB Fab",IF(NOT(OR(AC77="Completed",AC77="NA",AC77="Cancelled")),"S5 Assembly",IF(NOT(OR(AG77="Completed",AG77="NA",AG77="Cancelled")),"S6 Bring-up",IF(NOT(OR(AK77="Completed",AK77="NA",AK77="Cancelled")),"S7 BOM Procurement","All Stages Closed"))))))))</f>
        <v/>
      </c>
      <c r="F77" s="32" t="str">
        <f aca="false">IF($C77="","",IF(COUNTIF(M77,"Cancelled")+COUNTIF(Q77,"Cancelled")+COUNTIF(U77,"Cancelled")+COUNTIF(Y77,"Cancelled")+COUNTIF(AC77,"Cancelled")+COUNTIF(AG77,"Cancelled")+COUNTIF(AK77,"Cancelled")&gt;0,"Cancelled",IF(E77="All Stages Closed","Completed",IF(E77="S1 Schematic",M77,IF(E77="S2 PCB Layout",Q77,IF(E77="S3 SI &amp; PI",U77,IF(E77="S4 Bare-PCB Fab",Y77,IF(E77="S5 Assembly",AC77,IF(E77="S6 Bring-up",AG77,AK77)))))))))</f>
        <v/>
      </c>
      <c r="G77" s="33" t="str">
        <f aca="false">IF($C77="","",IF(E77="All Stages Closed","",IF(E77="S1 Schematic",IF(N77="","Not added",N77),IF(E77="S2 PCB Layout",IF(R77="","Not added",R77),IF(E77="S3 SI &amp; PI",IF(V77="","Not added",V77),IF(E77="S4 Bare-PCB Fab",IF(Z77="","Not added",Z77),IF(E77="S5 Assembly",IF(AD77="","Not added",AD77),IF(E77="S6 Bring-up",IF(AH77="","Not added",AH77),IF(AL77="","Not added",AL77)))))))))</f>
        <v/>
      </c>
      <c r="H77" s="32" t="str">
        <f aca="true">IF($C77="","",IF(OR(F77="Completed",F77="Cancelled"),"",IF(NOT(ISNUMBER(G77)),"No date set",IF(TODAY()&gt;G77,TODAY()-G77&amp;" days late",G77-TODAY()&amp;" days left"))))</f>
        <v/>
      </c>
      <c r="I77" s="31" t="str">
        <f aca="false">IF($C77="","",COUNTIF(M77,"Completed")+COUNTIF(Q77,"Completed")+COUNTIF(U77,"Completed")+COUNTIF(Y77,"Completed")+COUNTIF(AC77,"Completed")+COUNTIF(AG77,"Completed")+COUNTIF(AK77,"Completed"))</f>
        <v/>
      </c>
      <c r="J77" s="31" t="str">
        <f aca="false">IF($C77="","",7-(COUNTIF(M77,"NA")+COUNTIF(Q77,"NA")+COUNTIF(U77,"NA")+COUNTIF(Y77,"NA")+COUNTIF(AC77,"NA")+COUNTIF(AG77,"NA")+COUNTIF(AK77,"NA")))</f>
        <v/>
      </c>
      <c r="K77" s="34" t="str">
        <f aca="false">IFERROR(I77/J77,"")</f>
        <v/>
      </c>
      <c r="L77" s="29"/>
      <c r="M77" s="35"/>
      <c r="N77" s="36"/>
      <c r="O77" s="36"/>
      <c r="P77" s="29"/>
      <c r="Q77" s="35"/>
      <c r="R77" s="36"/>
      <c r="S77" s="36"/>
      <c r="T77" s="29"/>
      <c r="U77" s="35"/>
      <c r="V77" s="36"/>
      <c r="W77" s="36"/>
      <c r="X77" s="29"/>
      <c r="Y77" s="35"/>
      <c r="Z77" s="36"/>
      <c r="AA77" s="36"/>
      <c r="AB77" s="29"/>
      <c r="AC77" s="35"/>
      <c r="AD77" s="36"/>
      <c r="AE77" s="36"/>
      <c r="AF77" s="29"/>
      <c r="AG77" s="35"/>
      <c r="AH77" s="36"/>
      <c r="AI77" s="36"/>
      <c r="AJ77" s="29"/>
      <c r="AK77" s="35"/>
      <c r="AL77" s="36"/>
      <c r="AM77" s="36"/>
      <c r="AN77" s="29"/>
      <c r="AO77" s="29"/>
      <c r="AP77" s="29"/>
      <c r="AQ77" s="37"/>
      <c r="AR77" s="29"/>
      <c r="AS77" s="38" t="str">
        <f aca="false">IF($C77="","",IF(OR(F77="Completed",F77="Cancelled"),"",IF(AND(OR(F77="On Hold",ISNUMBER(VALUE(LEFT(H77,2)))),AR77=""),"Reason not given","")))</f>
        <v/>
      </c>
      <c r="AT77" s="30"/>
      <c r="AU77" s="30"/>
    </row>
    <row r="78" customFormat="false" ht="19.5" hidden="false" customHeight="true" outlineLevel="0" collapsed="false">
      <c r="A78" s="28" t="str">
        <f aca="false">IF($C78="","",COUNTA($C$17:$C78))</f>
        <v/>
      </c>
      <c r="B78" s="29"/>
      <c r="C78" s="30"/>
      <c r="D78" s="29"/>
      <c r="E78" s="31" t="str">
        <f aca="false">IF($C78="","",IF(NOT(OR(M78="Completed",M78="NA",M78="Cancelled")),"S1 Schematic",IF(NOT(OR(Q78="Completed",Q78="NA",Q78="Cancelled")),"S2 PCB Layout",IF(NOT(OR(U78="Completed",U78="NA",U78="Cancelled")),"S3 SI &amp; PI",IF(NOT(OR(Y78="Completed",Y78="NA",Y78="Cancelled")),"S4 Bare-PCB Fab",IF(NOT(OR(AC78="Completed",AC78="NA",AC78="Cancelled")),"S5 Assembly",IF(NOT(OR(AG78="Completed",AG78="NA",AG78="Cancelled")),"S6 Bring-up",IF(NOT(OR(AK78="Completed",AK78="NA",AK78="Cancelled")),"S7 BOM Procurement","All Stages Closed"))))))))</f>
        <v/>
      </c>
      <c r="F78" s="32" t="str">
        <f aca="false">IF($C78="","",IF(COUNTIF(M78,"Cancelled")+COUNTIF(Q78,"Cancelled")+COUNTIF(U78,"Cancelled")+COUNTIF(Y78,"Cancelled")+COUNTIF(AC78,"Cancelled")+COUNTIF(AG78,"Cancelled")+COUNTIF(AK78,"Cancelled")&gt;0,"Cancelled",IF(E78="All Stages Closed","Completed",IF(E78="S1 Schematic",M78,IF(E78="S2 PCB Layout",Q78,IF(E78="S3 SI &amp; PI",U78,IF(E78="S4 Bare-PCB Fab",Y78,IF(E78="S5 Assembly",AC78,IF(E78="S6 Bring-up",AG78,AK78)))))))))</f>
        <v/>
      </c>
      <c r="G78" s="33" t="str">
        <f aca="false">IF($C78="","",IF(E78="All Stages Closed","",IF(E78="S1 Schematic",IF(N78="","Not added",N78),IF(E78="S2 PCB Layout",IF(R78="","Not added",R78),IF(E78="S3 SI &amp; PI",IF(V78="","Not added",V78),IF(E78="S4 Bare-PCB Fab",IF(Z78="","Not added",Z78),IF(E78="S5 Assembly",IF(AD78="","Not added",AD78),IF(E78="S6 Bring-up",IF(AH78="","Not added",AH78),IF(AL78="","Not added",AL78)))))))))</f>
        <v/>
      </c>
      <c r="H78" s="32" t="str">
        <f aca="true">IF($C78="","",IF(OR(F78="Completed",F78="Cancelled"),"",IF(NOT(ISNUMBER(G78)),"No date set",IF(TODAY()&gt;G78,TODAY()-G78&amp;" days late",G78-TODAY()&amp;" days left"))))</f>
        <v/>
      </c>
      <c r="I78" s="31" t="str">
        <f aca="false">IF($C78="","",COUNTIF(M78,"Completed")+COUNTIF(Q78,"Completed")+COUNTIF(U78,"Completed")+COUNTIF(Y78,"Completed")+COUNTIF(AC78,"Completed")+COUNTIF(AG78,"Completed")+COUNTIF(AK78,"Completed"))</f>
        <v/>
      </c>
      <c r="J78" s="31" t="str">
        <f aca="false">IF($C78="","",7-(COUNTIF(M78,"NA")+COUNTIF(Q78,"NA")+COUNTIF(U78,"NA")+COUNTIF(Y78,"NA")+COUNTIF(AC78,"NA")+COUNTIF(AG78,"NA")+COUNTIF(AK78,"NA")))</f>
        <v/>
      </c>
      <c r="K78" s="34" t="str">
        <f aca="false">IFERROR(I78/J78,"")</f>
        <v/>
      </c>
      <c r="L78" s="29"/>
      <c r="M78" s="35"/>
      <c r="N78" s="36"/>
      <c r="O78" s="36"/>
      <c r="P78" s="29"/>
      <c r="Q78" s="35"/>
      <c r="R78" s="36"/>
      <c r="S78" s="36"/>
      <c r="T78" s="29"/>
      <c r="U78" s="35"/>
      <c r="V78" s="36"/>
      <c r="W78" s="36"/>
      <c r="X78" s="29"/>
      <c r="Y78" s="35"/>
      <c r="Z78" s="36"/>
      <c r="AA78" s="36"/>
      <c r="AB78" s="29"/>
      <c r="AC78" s="35"/>
      <c r="AD78" s="36"/>
      <c r="AE78" s="36"/>
      <c r="AF78" s="29"/>
      <c r="AG78" s="35"/>
      <c r="AH78" s="36"/>
      <c r="AI78" s="36"/>
      <c r="AJ78" s="29"/>
      <c r="AK78" s="35"/>
      <c r="AL78" s="36"/>
      <c r="AM78" s="36"/>
      <c r="AN78" s="29"/>
      <c r="AO78" s="29"/>
      <c r="AP78" s="29"/>
      <c r="AQ78" s="37"/>
      <c r="AR78" s="29"/>
      <c r="AS78" s="38" t="str">
        <f aca="false">IF($C78="","",IF(OR(F78="Completed",F78="Cancelled"),"",IF(AND(OR(F78="On Hold",ISNUMBER(VALUE(LEFT(H78,2)))),AR78=""),"Reason not given","")))</f>
        <v/>
      </c>
      <c r="AT78" s="30"/>
      <c r="AU78" s="30"/>
    </row>
    <row r="79" customFormat="false" ht="19.5" hidden="false" customHeight="true" outlineLevel="0" collapsed="false">
      <c r="A79" s="28" t="str">
        <f aca="false">IF($C79="","",COUNTA($C$17:$C79))</f>
        <v/>
      </c>
      <c r="B79" s="29"/>
      <c r="C79" s="30"/>
      <c r="D79" s="29"/>
      <c r="E79" s="31" t="str">
        <f aca="false">IF($C79="","",IF(NOT(OR(M79="Completed",M79="NA",M79="Cancelled")),"S1 Schematic",IF(NOT(OR(Q79="Completed",Q79="NA",Q79="Cancelled")),"S2 PCB Layout",IF(NOT(OR(U79="Completed",U79="NA",U79="Cancelled")),"S3 SI &amp; PI",IF(NOT(OR(Y79="Completed",Y79="NA",Y79="Cancelled")),"S4 Bare-PCB Fab",IF(NOT(OR(AC79="Completed",AC79="NA",AC79="Cancelled")),"S5 Assembly",IF(NOT(OR(AG79="Completed",AG79="NA",AG79="Cancelled")),"S6 Bring-up",IF(NOT(OR(AK79="Completed",AK79="NA",AK79="Cancelled")),"S7 BOM Procurement","All Stages Closed"))))))))</f>
        <v/>
      </c>
      <c r="F79" s="32" t="str">
        <f aca="false">IF($C79="","",IF(COUNTIF(M79,"Cancelled")+COUNTIF(Q79,"Cancelled")+COUNTIF(U79,"Cancelled")+COUNTIF(Y79,"Cancelled")+COUNTIF(AC79,"Cancelled")+COUNTIF(AG79,"Cancelled")+COUNTIF(AK79,"Cancelled")&gt;0,"Cancelled",IF(E79="All Stages Closed","Completed",IF(E79="S1 Schematic",M79,IF(E79="S2 PCB Layout",Q79,IF(E79="S3 SI &amp; PI",U79,IF(E79="S4 Bare-PCB Fab",Y79,IF(E79="S5 Assembly",AC79,IF(E79="S6 Bring-up",AG79,AK79)))))))))</f>
        <v/>
      </c>
      <c r="G79" s="33" t="str">
        <f aca="false">IF($C79="","",IF(E79="All Stages Closed","",IF(E79="S1 Schematic",IF(N79="","Not added",N79),IF(E79="S2 PCB Layout",IF(R79="","Not added",R79),IF(E79="S3 SI &amp; PI",IF(V79="","Not added",V79),IF(E79="S4 Bare-PCB Fab",IF(Z79="","Not added",Z79),IF(E79="S5 Assembly",IF(AD79="","Not added",AD79),IF(E79="S6 Bring-up",IF(AH79="","Not added",AH79),IF(AL79="","Not added",AL79)))))))))</f>
        <v/>
      </c>
      <c r="H79" s="32" t="str">
        <f aca="true">IF($C79="","",IF(OR(F79="Completed",F79="Cancelled"),"",IF(NOT(ISNUMBER(G79)),"No date set",IF(TODAY()&gt;G79,TODAY()-G79&amp;" days late",G79-TODAY()&amp;" days left"))))</f>
        <v/>
      </c>
      <c r="I79" s="31" t="str">
        <f aca="false">IF($C79="","",COUNTIF(M79,"Completed")+COUNTIF(Q79,"Completed")+COUNTIF(U79,"Completed")+COUNTIF(Y79,"Completed")+COUNTIF(AC79,"Completed")+COUNTIF(AG79,"Completed")+COUNTIF(AK79,"Completed"))</f>
        <v/>
      </c>
      <c r="J79" s="31" t="str">
        <f aca="false">IF($C79="","",7-(COUNTIF(M79,"NA")+COUNTIF(Q79,"NA")+COUNTIF(U79,"NA")+COUNTIF(Y79,"NA")+COUNTIF(AC79,"NA")+COUNTIF(AG79,"NA")+COUNTIF(AK79,"NA")))</f>
        <v/>
      </c>
      <c r="K79" s="34" t="str">
        <f aca="false">IFERROR(I79/J79,"")</f>
        <v/>
      </c>
      <c r="L79" s="29"/>
      <c r="M79" s="35"/>
      <c r="N79" s="36"/>
      <c r="O79" s="36"/>
      <c r="P79" s="29"/>
      <c r="Q79" s="35"/>
      <c r="R79" s="36"/>
      <c r="S79" s="36"/>
      <c r="T79" s="29"/>
      <c r="U79" s="35"/>
      <c r="V79" s="36"/>
      <c r="W79" s="36"/>
      <c r="X79" s="29"/>
      <c r="Y79" s="35"/>
      <c r="Z79" s="36"/>
      <c r="AA79" s="36"/>
      <c r="AB79" s="29"/>
      <c r="AC79" s="35"/>
      <c r="AD79" s="36"/>
      <c r="AE79" s="36"/>
      <c r="AF79" s="29"/>
      <c r="AG79" s="35"/>
      <c r="AH79" s="36"/>
      <c r="AI79" s="36"/>
      <c r="AJ79" s="29"/>
      <c r="AK79" s="35"/>
      <c r="AL79" s="36"/>
      <c r="AM79" s="36"/>
      <c r="AN79" s="29"/>
      <c r="AO79" s="29"/>
      <c r="AP79" s="29"/>
      <c r="AQ79" s="37"/>
      <c r="AR79" s="29"/>
      <c r="AS79" s="38" t="str">
        <f aca="false">IF($C79="","",IF(OR(F79="Completed",F79="Cancelled"),"",IF(AND(OR(F79="On Hold",ISNUMBER(VALUE(LEFT(H79,2)))),AR79=""),"Reason not given","")))</f>
        <v/>
      </c>
      <c r="AT79" s="30"/>
      <c r="AU79" s="30"/>
    </row>
    <row r="80" customFormat="false" ht="19.5" hidden="false" customHeight="true" outlineLevel="0" collapsed="false">
      <c r="A80" s="28" t="str">
        <f aca="false">IF($C80="","",COUNTA($C$17:$C80))</f>
        <v/>
      </c>
      <c r="B80" s="29"/>
      <c r="C80" s="30"/>
      <c r="D80" s="29"/>
      <c r="E80" s="31" t="str">
        <f aca="false">IF($C80="","",IF(NOT(OR(M80="Completed",M80="NA",M80="Cancelled")),"S1 Schematic",IF(NOT(OR(Q80="Completed",Q80="NA",Q80="Cancelled")),"S2 PCB Layout",IF(NOT(OR(U80="Completed",U80="NA",U80="Cancelled")),"S3 SI &amp; PI",IF(NOT(OR(Y80="Completed",Y80="NA",Y80="Cancelled")),"S4 Bare-PCB Fab",IF(NOT(OR(AC80="Completed",AC80="NA",AC80="Cancelled")),"S5 Assembly",IF(NOT(OR(AG80="Completed",AG80="NA",AG80="Cancelled")),"S6 Bring-up",IF(NOT(OR(AK80="Completed",AK80="NA",AK80="Cancelled")),"S7 BOM Procurement","All Stages Closed"))))))))</f>
        <v/>
      </c>
      <c r="F80" s="32" t="str">
        <f aca="false">IF($C80="","",IF(COUNTIF(M80,"Cancelled")+COUNTIF(Q80,"Cancelled")+COUNTIF(U80,"Cancelled")+COUNTIF(Y80,"Cancelled")+COUNTIF(AC80,"Cancelled")+COUNTIF(AG80,"Cancelled")+COUNTIF(AK80,"Cancelled")&gt;0,"Cancelled",IF(E80="All Stages Closed","Completed",IF(E80="S1 Schematic",M80,IF(E80="S2 PCB Layout",Q80,IF(E80="S3 SI &amp; PI",U80,IF(E80="S4 Bare-PCB Fab",Y80,IF(E80="S5 Assembly",AC80,IF(E80="S6 Bring-up",AG80,AK80)))))))))</f>
        <v/>
      </c>
      <c r="G80" s="33" t="str">
        <f aca="false">IF($C80="","",IF(E80="All Stages Closed","",IF(E80="S1 Schematic",IF(N80="","Not added",N80),IF(E80="S2 PCB Layout",IF(R80="","Not added",R80),IF(E80="S3 SI &amp; PI",IF(V80="","Not added",V80),IF(E80="S4 Bare-PCB Fab",IF(Z80="","Not added",Z80),IF(E80="S5 Assembly",IF(AD80="","Not added",AD80),IF(E80="S6 Bring-up",IF(AH80="","Not added",AH80),IF(AL80="","Not added",AL80)))))))))</f>
        <v/>
      </c>
      <c r="H80" s="32" t="str">
        <f aca="true">IF($C80="","",IF(OR(F80="Completed",F80="Cancelled"),"",IF(NOT(ISNUMBER(G80)),"No date set",IF(TODAY()&gt;G80,TODAY()-G80&amp;" days late",G80-TODAY()&amp;" days left"))))</f>
        <v/>
      </c>
      <c r="I80" s="31" t="str">
        <f aca="false">IF($C80="","",COUNTIF(M80,"Completed")+COUNTIF(Q80,"Completed")+COUNTIF(U80,"Completed")+COUNTIF(Y80,"Completed")+COUNTIF(AC80,"Completed")+COUNTIF(AG80,"Completed")+COUNTIF(AK80,"Completed"))</f>
        <v/>
      </c>
      <c r="J80" s="31" t="str">
        <f aca="false">IF($C80="","",7-(COUNTIF(M80,"NA")+COUNTIF(Q80,"NA")+COUNTIF(U80,"NA")+COUNTIF(Y80,"NA")+COUNTIF(AC80,"NA")+COUNTIF(AG80,"NA")+COUNTIF(AK80,"NA")))</f>
        <v/>
      </c>
      <c r="K80" s="34" t="str">
        <f aca="false">IFERROR(I80/J80,"")</f>
        <v/>
      </c>
      <c r="L80" s="29"/>
      <c r="M80" s="35"/>
      <c r="N80" s="36"/>
      <c r="O80" s="36"/>
      <c r="P80" s="29"/>
      <c r="Q80" s="35"/>
      <c r="R80" s="36"/>
      <c r="S80" s="36"/>
      <c r="T80" s="29"/>
      <c r="U80" s="35"/>
      <c r="V80" s="36"/>
      <c r="W80" s="36"/>
      <c r="X80" s="29"/>
      <c r="Y80" s="35"/>
      <c r="Z80" s="36"/>
      <c r="AA80" s="36"/>
      <c r="AB80" s="29"/>
      <c r="AC80" s="35"/>
      <c r="AD80" s="36"/>
      <c r="AE80" s="36"/>
      <c r="AF80" s="29"/>
      <c r="AG80" s="35"/>
      <c r="AH80" s="36"/>
      <c r="AI80" s="36"/>
      <c r="AJ80" s="29"/>
      <c r="AK80" s="35"/>
      <c r="AL80" s="36"/>
      <c r="AM80" s="36"/>
      <c r="AN80" s="29"/>
      <c r="AO80" s="29"/>
      <c r="AP80" s="29"/>
      <c r="AQ80" s="37"/>
      <c r="AR80" s="29"/>
      <c r="AS80" s="38" t="str">
        <f aca="false">IF($C80="","",IF(OR(F80="Completed",F80="Cancelled"),"",IF(AND(OR(F80="On Hold",ISNUMBER(VALUE(LEFT(H80,2)))),AR80=""),"Reason not given","")))</f>
        <v/>
      </c>
      <c r="AT80" s="30"/>
      <c r="AU80" s="30"/>
    </row>
    <row r="81" customFormat="false" ht="19.5" hidden="false" customHeight="true" outlineLevel="0" collapsed="false">
      <c r="A81" s="28" t="str">
        <f aca="false">IF($C81="","",COUNTA($C$17:$C81))</f>
        <v/>
      </c>
      <c r="B81" s="29"/>
      <c r="C81" s="30"/>
      <c r="D81" s="29"/>
      <c r="E81" s="31" t="str">
        <f aca="false">IF($C81="","",IF(NOT(OR(M81="Completed",M81="NA",M81="Cancelled")),"S1 Schematic",IF(NOT(OR(Q81="Completed",Q81="NA",Q81="Cancelled")),"S2 PCB Layout",IF(NOT(OR(U81="Completed",U81="NA",U81="Cancelled")),"S3 SI &amp; PI",IF(NOT(OR(Y81="Completed",Y81="NA",Y81="Cancelled")),"S4 Bare-PCB Fab",IF(NOT(OR(AC81="Completed",AC81="NA",AC81="Cancelled")),"S5 Assembly",IF(NOT(OR(AG81="Completed",AG81="NA",AG81="Cancelled")),"S6 Bring-up",IF(NOT(OR(AK81="Completed",AK81="NA",AK81="Cancelled")),"S7 BOM Procurement","All Stages Closed"))))))))</f>
        <v/>
      </c>
      <c r="F81" s="32" t="str">
        <f aca="false">IF($C81="","",IF(COUNTIF(M81,"Cancelled")+COUNTIF(Q81,"Cancelled")+COUNTIF(U81,"Cancelled")+COUNTIF(Y81,"Cancelled")+COUNTIF(AC81,"Cancelled")+COUNTIF(AG81,"Cancelled")+COUNTIF(AK81,"Cancelled")&gt;0,"Cancelled",IF(E81="All Stages Closed","Completed",IF(E81="S1 Schematic",M81,IF(E81="S2 PCB Layout",Q81,IF(E81="S3 SI &amp; PI",U81,IF(E81="S4 Bare-PCB Fab",Y81,IF(E81="S5 Assembly",AC81,IF(E81="S6 Bring-up",AG81,AK81)))))))))</f>
        <v/>
      </c>
      <c r="G81" s="33" t="str">
        <f aca="false">IF($C81="","",IF(E81="All Stages Closed","",IF(E81="S1 Schematic",IF(N81="","Not added",N81),IF(E81="S2 PCB Layout",IF(R81="","Not added",R81),IF(E81="S3 SI &amp; PI",IF(V81="","Not added",V81),IF(E81="S4 Bare-PCB Fab",IF(Z81="","Not added",Z81),IF(E81="S5 Assembly",IF(AD81="","Not added",AD81),IF(E81="S6 Bring-up",IF(AH81="","Not added",AH81),IF(AL81="","Not added",AL81)))))))))</f>
        <v/>
      </c>
      <c r="H81" s="32" t="str">
        <f aca="true">IF($C81="","",IF(OR(F81="Completed",F81="Cancelled"),"",IF(NOT(ISNUMBER(G81)),"No date set",IF(TODAY()&gt;G81,TODAY()-G81&amp;" days late",G81-TODAY()&amp;" days left"))))</f>
        <v/>
      </c>
      <c r="I81" s="31" t="str">
        <f aca="false">IF($C81="","",COUNTIF(M81,"Completed")+COUNTIF(Q81,"Completed")+COUNTIF(U81,"Completed")+COUNTIF(Y81,"Completed")+COUNTIF(AC81,"Completed")+COUNTIF(AG81,"Completed")+COUNTIF(AK81,"Completed"))</f>
        <v/>
      </c>
      <c r="J81" s="31" t="str">
        <f aca="false">IF($C81="","",7-(COUNTIF(M81,"NA")+COUNTIF(Q81,"NA")+COUNTIF(U81,"NA")+COUNTIF(Y81,"NA")+COUNTIF(AC81,"NA")+COUNTIF(AG81,"NA")+COUNTIF(AK81,"NA")))</f>
        <v/>
      </c>
      <c r="K81" s="34" t="str">
        <f aca="false">IFERROR(I81/J81,"")</f>
        <v/>
      </c>
      <c r="L81" s="29"/>
      <c r="M81" s="35"/>
      <c r="N81" s="36"/>
      <c r="O81" s="36"/>
      <c r="P81" s="29"/>
      <c r="Q81" s="35"/>
      <c r="R81" s="36"/>
      <c r="S81" s="36"/>
      <c r="T81" s="29"/>
      <c r="U81" s="35"/>
      <c r="V81" s="36"/>
      <c r="W81" s="36"/>
      <c r="X81" s="29"/>
      <c r="Y81" s="35"/>
      <c r="Z81" s="36"/>
      <c r="AA81" s="36"/>
      <c r="AB81" s="29"/>
      <c r="AC81" s="35"/>
      <c r="AD81" s="36"/>
      <c r="AE81" s="36"/>
      <c r="AF81" s="29"/>
      <c r="AG81" s="35"/>
      <c r="AH81" s="36"/>
      <c r="AI81" s="36"/>
      <c r="AJ81" s="29"/>
      <c r="AK81" s="35"/>
      <c r="AL81" s="36"/>
      <c r="AM81" s="36"/>
      <c r="AN81" s="29"/>
      <c r="AO81" s="29"/>
      <c r="AP81" s="29"/>
      <c r="AQ81" s="37"/>
      <c r="AR81" s="29"/>
      <c r="AS81" s="38" t="str">
        <f aca="false">IF($C81="","",IF(OR(F81="Completed",F81="Cancelled"),"",IF(AND(OR(F81="On Hold",ISNUMBER(VALUE(LEFT(H81,2)))),AR81=""),"Reason not given","")))</f>
        <v/>
      </c>
      <c r="AT81" s="30"/>
      <c r="AU81" s="30"/>
    </row>
    <row r="82" customFormat="false" ht="19.5" hidden="false" customHeight="true" outlineLevel="0" collapsed="false">
      <c r="A82" s="28" t="str">
        <f aca="false">IF($C82="","",COUNTA($C$17:$C82))</f>
        <v/>
      </c>
      <c r="B82" s="29"/>
      <c r="C82" s="30"/>
      <c r="D82" s="29"/>
      <c r="E82" s="31" t="str">
        <f aca="false">IF($C82="","",IF(NOT(OR(M82="Completed",M82="NA",M82="Cancelled")),"S1 Schematic",IF(NOT(OR(Q82="Completed",Q82="NA",Q82="Cancelled")),"S2 PCB Layout",IF(NOT(OR(U82="Completed",U82="NA",U82="Cancelled")),"S3 SI &amp; PI",IF(NOT(OR(Y82="Completed",Y82="NA",Y82="Cancelled")),"S4 Bare-PCB Fab",IF(NOT(OR(AC82="Completed",AC82="NA",AC82="Cancelled")),"S5 Assembly",IF(NOT(OR(AG82="Completed",AG82="NA",AG82="Cancelled")),"S6 Bring-up",IF(NOT(OR(AK82="Completed",AK82="NA",AK82="Cancelled")),"S7 BOM Procurement","All Stages Closed"))))))))</f>
        <v/>
      </c>
      <c r="F82" s="32" t="str">
        <f aca="false">IF($C82="","",IF(COUNTIF(M82,"Cancelled")+COUNTIF(Q82,"Cancelled")+COUNTIF(U82,"Cancelled")+COUNTIF(Y82,"Cancelled")+COUNTIF(AC82,"Cancelled")+COUNTIF(AG82,"Cancelled")+COUNTIF(AK82,"Cancelled")&gt;0,"Cancelled",IF(E82="All Stages Closed","Completed",IF(E82="S1 Schematic",M82,IF(E82="S2 PCB Layout",Q82,IF(E82="S3 SI &amp; PI",U82,IF(E82="S4 Bare-PCB Fab",Y82,IF(E82="S5 Assembly",AC82,IF(E82="S6 Bring-up",AG82,AK82)))))))))</f>
        <v/>
      </c>
      <c r="G82" s="33" t="str">
        <f aca="false">IF($C82="","",IF(E82="All Stages Closed","",IF(E82="S1 Schematic",IF(N82="","Not added",N82),IF(E82="S2 PCB Layout",IF(R82="","Not added",R82),IF(E82="S3 SI &amp; PI",IF(V82="","Not added",V82),IF(E82="S4 Bare-PCB Fab",IF(Z82="","Not added",Z82),IF(E82="S5 Assembly",IF(AD82="","Not added",AD82),IF(E82="S6 Bring-up",IF(AH82="","Not added",AH82),IF(AL82="","Not added",AL82)))))))))</f>
        <v/>
      </c>
      <c r="H82" s="32" t="str">
        <f aca="true">IF($C82="","",IF(OR(F82="Completed",F82="Cancelled"),"",IF(NOT(ISNUMBER(G82)),"No date set",IF(TODAY()&gt;G82,TODAY()-G82&amp;" days late",G82-TODAY()&amp;" days left"))))</f>
        <v/>
      </c>
      <c r="I82" s="31" t="str">
        <f aca="false">IF($C82="","",COUNTIF(M82,"Completed")+COUNTIF(Q82,"Completed")+COUNTIF(U82,"Completed")+COUNTIF(Y82,"Completed")+COUNTIF(AC82,"Completed")+COUNTIF(AG82,"Completed")+COUNTIF(AK82,"Completed"))</f>
        <v/>
      </c>
      <c r="J82" s="31" t="str">
        <f aca="false">IF($C82="","",7-(COUNTIF(M82,"NA")+COUNTIF(Q82,"NA")+COUNTIF(U82,"NA")+COUNTIF(Y82,"NA")+COUNTIF(AC82,"NA")+COUNTIF(AG82,"NA")+COUNTIF(AK82,"NA")))</f>
        <v/>
      </c>
      <c r="K82" s="34" t="str">
        <f aca="false">IFERROR(I82/J82,"")</f>
        <v/>
      </c>
      <c r="L82" s="29"/>
      <c r="M82" s="35"/>
      <c r="N82" s="36"/>
      <c r="O82" s="36"/>
      <c r="P82" s="29"/>
      <c r="Q82" s="35"/>
      <c r="R82" s="36"/>
      <c r="S82" s="36"/>
      <c r="T82" s="29"/>
      <c r="U82" s="35"/>
      <c r="V82" s="36"/>
      <c r="W82" s="36"/>
      <c r="X82" s="29"/>
      <c r="Y82" s="35"/>
      <c r="Z82" s="36"/>
      <c r="AA82" s="36"/>
      <c r="AB82" s="29"/>
      <c r="AC82" s="35"/>
      <c r="AD82" s="36"/>
      <c r="AE82" s="36"/>
      <c r="AF82" s="29"/>
      <c r="AG82" s="35"/>
      <c r="AH82" s="36"/>
      <c r="AI82" s="36"/>
      <c r="AJ82" s="29"/>
      <c r="AK82" s="35"/>
      <c r="AL82" s="36"/>
      <c r="AM82" s="36"/>
      <c r="AN82" s="29"/>
      <c r="AO82" s="29"/>
      <c r="AP82" s="29"/>
      <c r="AQ82" s="37"/>
      <c r="AR82" s="29"/>
      <c r="AS82" s="38" t="str">
        <f aca="false">IF($C82="","",IF(OR(F82="Completed",F82="Cancelled"),"",IF(AND(OR(F82="On Hold",ISNUMBER(VALUE(LEFT(H82,2)))),AR82=""),"Reason not given","")))</f>
        <v/>
      </c>
      <c r="AT82" s="30"/>
      <c r="AU82" s="30"/>
    </row>
    <row r="83" customFormat="false" ht="19.5" hidden="false" customHeight="true" outlineLevel="0" collapsed="false">
      <c r="A83" s="28" t="str">
        <f aca="false">IF($C83="","",COUNTA($C$17:$C83))</f>
        <v/>
      </c>
      <c r="B83" s="29"/>
      <c r="C83" s="30"/>
      <c r="D83" s="29"/>
      <c r="E83" s="31" t="str">
        <f aca="false">IF($C83="","",IF(NOT(OR(M83="Completed",M83="NA",M83="Cancelled")),"S1 Schematic",IF(NOT(OR(Q83="Completed",Q83="NA",Q83="Cancelled")),"S2 PCB Layout",IF(NOT(OR(U83="Completed",U83="NA",U83="Cancelled")),"S3 SI &amp; PI",IF(NOT(OR(Y83="Completed",Y83="NA",Y83="Cancelled")),"S4 Bare-PCB Fab",IF(NOT(OR(AC83="Completed",AC83="NA",AC83="Cancelled")),"S5 Assembly",IF(NOT(OR(AG83="Completed",AG83="NA",AG83="Cancelled")),"S6 Bring-up",IF(NOT(OR(AK83="Completed",AK83="NA",AK83="Cancelled")),"S7 BOM Procurement","All Stages Closed"))))))))</f>
        <v/>
      </c>
      <c r="F83" s="32" t="str">
        <f aca="false">IF($C83="","",IF(COUNTIF(M83,"Cancelled")+COUNTIF(Q83,"Cancelled")+COUNTIF(U83,"Cancelled")+COUNTIF(Y83,"Cancelled")+COUNTIF(AC83,"Cancelled")+COUNTIF(AG83,"Cancelled")+COUNTIF(AK83,"Cancelled")&gt;0,"Cancelled",IF(E83="All Stages Closed","Completed",IF(E83="S1 Schematic",M83,IF(E83="S2 PCB Layout",Q83,IF(E83="S3 SI &amp; PI",U83,IF(E83="S4 Bare-PCB Fab",Y83,IF(E83="S5 Assembly",AC83,IF(E83="S6 Bring-up",AG83,AK83)))))))))</f>
        <v/>
      </c>
      <c r="G83" s="33" t="str">
        <f aca="false">IF($C83="","",IF(E83="All Stages Closed","",IF(E83="S1 Schematic",IF(N83="","Not added",N83),IF(E83="S2 PCB Layout",IF(R83="","Not added",R83),IF(E83="S3 SI &amp; PI",IF(V83="","Not added",V83),IF(E83="S4 Bare-PCB Fab",IF(Z83="","Not added",Z83),IF(E83="S5 Assembly",IF(AD83="","Not added",AD83),IF(E83="S6 Bring-up",IF(AH83="","Not added",AH83),IF(AL83="","Not added",AL83)))))))))</f>
        <v/>
      </c>
      <c r="H83" s="32" t="str">
        <f aca="true">IF($C83="","",IF(OR(F83="Completed",F83="Cancelled"),"",IF(NOT(ISNUMBER(G83)),"No date set",IF(TODAY()&gt;G83,TODAY()-G83&amp;" days late",G83-TODAY()&amp;" days left"))))</f>
        <v/>
      </c>
      <c r="I83" s="31" t="str">
        <f aca="false">IF($C83="","",COUNTIF(M83,"Completed")+COUNTIF(Q83,"Completed")+COUNTIF(U83,"Completed")+COUNTIF(Y83,"Completed")+COUNTIF(AC83,"Completed")+COUNTIF(AG83,"Completed")+COUNTIF(AK83,"Completed"))</f>
        <v/>
      </c>
      <c r="J83" s="31" t="str">
        <f aca="false">IF($C83="","",7-(COUNTIF(M83,"NA")+COUNTIF(Q83,"NA")+COUNTIF(U83,"NA")+COUNTIF(Y83,"NA")+COUNTIF(AC83,"NA")+COUNTIF(AG83,"NA")+COUNTIF(AK83,"NA")))</f>
        <v/>
      </c>
      <c r="K83" s="34" t="str">
        <f aca="false">IFERROR(I83/J83,"")</f>
        <v/>
      </c>
      <c r="L83" s="29"/>
      <c r="M83" s="35"/>
      <c r="N83" s="36"/>
      <c r="O83" s="36"/>
      <c r="P83" s="29"/>
      <c r="Q83" s="35"/>
      <c r="R83" s="36"/>
      <c r="S83" s="36"/>
      <c r="T83" s="29"/>
      <c r="U83" s="35"/>
      <c r="V83" s="36"/>
      <c r="W83" s="36"/>
      <c r="X83" s="29"/>
      <c r="Y83" s="35"/>
      <c r="Z83" s="36"/>
      <c r="AA83" s="36"/>
      <c r="AB83" s="29"/>
      <c r="AC83" s="35"/>
      <c r="AD83" s="36"/>
      <c r="AE83" s="36"/>
      <c r="AF83" s="29"/>
      <c r="AG83" s="35"/>
      <c r="AH83" s="36"/>
      <c r="AI83" s="36"/>
      <c r="AJ83" s="29"/>
      <c r="AK83" s="35"/>
      <c r="AL83" s="36"/>
      <c r="AM83" s="36"/>
      <c r="AN83" s="29"/>
      <c r="AO83" s="29"/>
      <c r="AP83" s="29"/>
      <c r="AQ83" s="37"/>
      <c r="AR83" s="29"/>
      <c r="AS83" s="38" t="str">
        <f aca="false">IF($C83="","",IF(OR(F83="Completed",F83="Cancelled"),"",IF(AND(OR(F83="On Hold",ISNUMBER(VALUE(LEFT(H83,2)))),AR83=""),"Reason not given","")))</f>
        <v/>
      </c>
      <c r="AT83" s="30"/>
      <c r="AU83" s="30"/>
    </row>
    <row r="84" customFormat="false" ht="19.5" hidden="false" customHeight="true" outlineLevel="0" collapsed="false">
      <c r="A84" s="28" t="str">
        <f aca="false">IF($C84="","",COUNTA($C$17:$C84))</f>
        <v/>
      </c>
      <c r="B84" s="29"/>
      <c r="C84" s="30"/>
      <c r="D84" s="29"/>
      <c r="E84" s="31" t="str">
        <f aca="false">IF($C84="","",IF(NOT(OR(M84="Completed",M84="NA",M84="Cancelled")),"S1 Schematic",IF(NOT(OR(Q84="Completed",Q84="NA",Q84="Cancelled")),"S2 PCB Layout",IF(NOT(OR(U84="Completed",U84="NA",U84="Cancelled")),"S3 SI &amp; PI",IF(NOT(OR(Y84="Completed",Y84="NA",Y84="Cancelled")),"S4 Bare-PCB Fab",IF(NOT(OR(AC84="Completed",AC84="NA",AC84="Cancelled")),"S5 Assembly",IF(NOT(OR(AG84="Completed",AG84="NA",AG84="Cancelled")),"S6 Bring-up",IF(NOT(OR(AK84="Completed",AK84="NA",AK84="Cancelled")),"S7 BOM Procurement","All Stages Closed"))))))))</f>
        <v/>
      </c>
      <c r="F84" s="32" t="str">
        <f aca="false">IF($C84="","",IF(COUNTIF(M84,"Cancelled")+COUNTIF(Q84,"Cancelled")+COUNTIF(U84,"Cancelled")+COUNTIF(Y84,"Cancelled")+COUNTIF(AC84,"Cancelled")+COUNTIF(AG84,"Cancelled")+COUNTIF(AK84,"Cancelled")&gt;0,"Cancelled",IF(E84="All Stages Closed","Completed",IF(E84="S1 Schematic",M84,IF(E84="S2 PCB Layout",Q84,IF(E84="S3 SI &amp; PI",U84,IF(E84="S4 Bare-PCB Fab",Y84,IF(E84="S5 Assembly",AC84,IF(E84="S6 Bring-up",AG84,AK84)))))))))</f>
        <v/>
      </c>
      <c r="G84" s="33" t="str">
        <f aca="false">IF($C84="","",IF(E84="All Stages Closed","",IF(E84="S1 Schematic",IF(N84="","Not added",N84),IF(E84="S2 PCB Layout",IF(R84="","Not added",R84),IF(E84="S3 SI &amp; PI",IF(V84="","Not added",V84),IF(E84="S4 Bare-PCB Fab",IF(Z84="","Not added",Z84),IF(E84="S5 Assembly",IF(AD84="","Not added",AD84),IF(E84="S6 Bring-up",IF(AH84="","Not added",AH84),IF(AL84="","Not added",AL84)))))))))</f>
        <v/>
      </c>
      <c r="H84" s="32" t="str">
        <f aca="true">IF($C84="","",IF(OR(F84="Completed",F84="Cancelled"),"",IF(NOT(ISNUMBER(G84)),"No date set",IF(TODAY()&gt;G84,TODAY()-G84&amp;" days late",G84-TODAY()&amp;" days left"))))</f>
        <v/>
      </c>
      <c r="I84" s="31" t="str">
        <f aca="false">IF($C84="","",COUNTIF(M84,"Completed")+COUNTIF(Q84,"Completed")+COUNTIF(U84,"Completed")+COUNTIF(Y84,"Completed")+COUNTIF(AC84,"Completed")+COUNTIF(AG84,"Completed")+COUNTIF(AK84,"Completed"))</f>
        <v/>
      </c>
      <c r="J84" s="31" t="str">
        <f aca="false">IF($C84="","",7-(COUNTIF(M84,"NA")+COUNTIF(Q84,"NA")+COUNTIF(U84,"NA")+COUNTIF(Y84,"NA")+COUNTIF(AC84,"NA")+COUNTIF(AG84,"NA")+COUNTIF(AK84,"NA")))</f>
        <v/>
      </c>
      <c r="K84" s="34" t="str">
        <f aca="false">IFERROR(I84/J84,"")</f>
        <v/>
      </c>
      <c r="L84" s="29"/>
      <c r="M84" s="35"/>
      <c r="N84" s="36"/>
      <c r="O84" s="36"/>
      <c r="P84" s="29"/>
      <c r="Q84" s="35"/>
      <c r="R84" s="36"/>
      <c r="S84" s="36"/>
      <c r="T84" s="29"/>
      <c r="U84" s="35"/>
      <c r="V84" s="36"/>
      <c r="W84" s="36"/>
      <c r="X84" s="29"/>
      <c r="Y84" s="35"/>
      <c r="Z84" s="36"/>
      <c r="AA84" s="36"/>
      <c r="AB84" s="29"/>
      <c r="AC84" s="35"/>
      <c r="AD84" s="36"/>
      <c r="AE84" s="36"/>
      <c r="AF84" s="29"/>
      <c r="AG84" s="35"/>
      <c r="AH84" s="36"/>
      <c r="AI84" s="36"/>
      <c r="AJ84" s="29"/>
      <c r="AK84" s="35"/>
      <c r="AL84" s="36"/>
      <c r="AM84" s="36"/>
      <c r="AN84" s="29"/>
      <c r="AO84" s="29"/>
      <c r="AP84" s="29"/>
      <c r="AQ84" s="37"/>
      <c r="AR84" s="29"/>
      <c r="AS84" s="38" t="str">
        <f aca="false">IF($C84="","",IF(OR(F84="Completed",F84="Cancelled"),"",IF(AND(OR(F84="On Hold",ISNUMBER(VALUE(LEFT(H84,2)))),AR84=""),"Reason not given","")))</f>
        <v/>
      </c>
      <c r="AT84" s="30"/>
      <c r="AU84" s="30"/>
    </row>
    <row r="85" customFormat="false" ht="19.5" hidden="false" customHeight="true" outlineLevel="0" collapsed="false">
      <c r="A85" s="28" t="str">
        <f aca="false">IF($C85="","",COUNTA($C$17:$C85))</f>
        <v/>
      </c>
      <c r="B85" s="29"/>
      <c r="C85" s="30"/>
      <c r="D85" s="29"/>
      <c r="E85" s="31" t="str">
        <f aca="false">IF($C85="","",IF(NOT(OR(M85="Completed",M85="NA",M85="Cancelled")),"S1 Schematic",IF(NOT(OR(Q85="Completed",Q85="NA",Q85="Cancelled")),"S2 PCB Layout",IF(NOT(OR(U85="Completed",U85="NA",U85="Cancelled")),"S3 SI &amp; PI",IF(NOT(OR(Y85="Completed",Y85="NA",Y85="Cancelled")),"S4 Bare-PCB Fab",IF(NOT(OR(AC85="Completed",AC85="NA",AC85="Cancelled")),"S5 Assembly",IF(NOT(OR(AG85="Completed",AG85="NA",AG85="Cancelled")),"S6 Bring-up",IF(NOT(OR(AK85="Completed",AK85="NA",AK85="Cancelled")),"S7 BOM Procurement","All Stages Closed"))))))))</f>
        <v/>
      </c>
      <c r="F85" s="32" t="str">
        <f aca="false">IF($C85="","",IF(COUNTIF(M85,"Cancelled")+COUNTIF(Q85,"Cancelled")+COUNTIF(U85,"Cancelled")+COUNTIF(Y85,"Cancelled")+COUNTIF(AC85,"Cancelled")+COUNTIF(AG85,"Cancelled")+COUNTIF(AK85,"Cancelled")&gt;0,"Cancelled",IF(E85="All Stages Closed","Completed",IF(E85="S1 Schematic",M85,IF(E85="S2 PCB Layout",Q85,IF(E85="S3 SI &amp; PI",U85,IF(E85="S4 Bare-PCB Fab",Y85,IF(E85="S5 Assembly",AC85,IF(E85="S6 Bring-up",AG85,AK85)))))))))</f>
        <v/>
      </c>
      <c r="G85" s="33" t="str">
        <f aca="false">IF($C85="","",IF(E85="All Stages Closed","",IF(E85="S1 Schematic",IF(N85="","Not added",N85),IF(E85="S2 PCB Layout",IF(R85="","Not added",R85),IF(E85="S3 SI &amp; PI",IF(V85="","Not added",V85),IF(E85="S4 Bare-PCB Fab",IF(Z85="","Not added",Z85),IF(E85="S5 Assembly",IF(AD85="","Not added",AD85),IF(E85="S6 Bring-up",IF(AH85="","Not added",AH85),IF(AL85="","Not added",AL85)))))))))</f>
        <v/>
      </c>
      <c r="H85" s="32" t="str">
        <f aca="true">IF($C85="","",IF(OR(F85="Completed",F85="Cancelled"),"",IF(NOT(ISNUMBER(G85)),"No date set",IF(TODAY()&gt;G85,TODAY()-G85&amp;" days late",G85-TODAY()&amp;" days left"))))</f>
        <v/>
      </c>
      <c r="I85" s="31" t="str">
        <f aca="false">IF($C85="","",COUNTIF(M85,"Completed")+COUNTIF(Q85,"Completed")+COUNTIF(U85,"Completed")+COUNTIF(Y85,"Completed")+COUNTIF(AC85,"Completed")+COUNTIF(AG85,"Completed")+COUNTIF(AK85,"Completed"))</f>
        <v/>
      </c>
      <c r="J85" s="31" t="str">
        <f aca="false">IF($C85="","",7-(COUNTIF(M85,"NA")+COUNTIF(Q85,"NA")+COUNTIF(U85,"NA")+COUNTIF(Y85,"NA")+COUNTIF(AC85,"NA")+COUNTIF(AG85,"NA")+COUNTIF(AK85,"NA")))</f>
        <v/>
      </c>
      <c r="K85" s="34" t="str">
        <f aca="false">IFERROR(I85/J85,"")</f>
        <v/>
      </c>
      <c r="L85" s="29"/>
      <c r="M85" s="35"/>
      <c r="N85" s="36"/>
      <c r="O85" s="36"/>
      <c r="P85" s="29"/>
      <c r="Q85" s="35"/>
      <c r="R85" s="36"/>
      <c r="S85" s="36"/>
      <c r="T85" s="29"/>
      <c r="U85" s="35"/>
      <c r="V85" s="36"/>
      <c r="W85" s="36"/>
      <c r="X85" s="29"/>
      <c r="Y85" s="35"/>
      <c r="Z85" s="36"/>
      <c r="AA85" s="36"/>
      <c r="AB85" s="29"/>
      <c r="AC85" s="35"/>
      <c r="AD85" s="36"/>
      <c r="AE85" s="36"/>
      <c r="AF85" s="29"/>
      <c r="AG85" s="35"/>
      <c r="AH85" s="36"/>
      <c r="AI85" s="36"/>
      <c r="AJ85" s="29"/>
      <c r="AK85" s="35"/>
      <c r="AL85" s="36"/>
      <c r="AM85" s="36"/>
      <c r="AN85" s="29"/>
      <c r="AO85" s="29"/>
      <c r="AP85" s="29"/>
      <c r="AQ85" s="37"/>
      <c r="AR85" s="29"/>
      <c r="AS85" s="38" t="str">
        <f aca="false">IF($C85="","",IF(OR(F85="Completed",F85="Cancelled"),"",IF(AND(OR(F85="On Hold",ISNUMBER(VALUE(LEFT(H85,2)))),AR85=""),"Reason not given","")))</f>
        <v/>
      </c>
      <c r="AT85" s="30"/>
      <c r="AU85" s="30"/>
    </row>
    <row r="86" customFormat="false" ht="19.5" hidden="false" customHeight="true" outlineLevel="0" collapsed="false">
      <c r="A86" s="28" t="str">
        <f aca="false">IF($C86="","",COUNTA($C$17:$C86))</f>
        <v/>
      </c>
      <c r="B86" s="29"/>
      <c r="C86" s="30"/>
      <c r="D86" s="29"/>
      <c r="E86" s="31" t="str">
        <f aca="false">IF($C86="","",IF(NOT(OR(M86="Completed",M86="NA",M86="Cancelled")),"S1 Schematic",IF(NOT(OR(Q86="Completed",Q86="NA",Q86="Cancelled")),"S2 PCB Layout",IF(NOT(OR(U86="Completed",U86="NA",U86="Cancelled")),"S3 SI &amp; PI",IF(NOT(OR(Y86="Completed",Y86="NA",Y86="Cancelled")),"S4 Bare-PCB Fab",IF(NOT(OR(AC86="Completed",AC86="NA",AC86="Cancelled")),"S5 Assembly",IF(NOT(OR(AG86="Completed",AG86="NA",AG86="Cancelled")),"S6 Bring-up",IF(NOT(OR(AK86="Completed",AK86="NA",AK86="Cancelled")),"S7 BOM Procurement","All Stages Closed"))))))))</f>
        <v/>
      </c>
      <c r="F86" s="32" t="str">
        <f aca="false">IF($C86="","",IF(COUNTIF(M86,"Cancelled")+COUNTIF(Q86,"Cancelled")+COUNTIF(U86,"Cancelled")+COUNTIF(Y86,"Cancelled")+COUNTIF(AC86,"Cancelled")+COUNTIF(AG86,"Cancelled")+COUNTIF(AK86,"Cancelled")&gt;0,"Cancelled",IF(E86="All Stages Closed","Completed",IF(E86="S1 Schematic",M86,IF(E86="S2 PCB Layout",Q86,IF(E86="S3 SI &amp; PI",U86,IF(E86="S4 Bare-PCB Fab",Y86,IF(E86="S5 Assembly",AC86,IF(E86="S6 Bring-up",AG86,AK86)))))))))</f>
        <v/>
      </c>
      <c r="G86" s="33" t="str">
        <f aca="false">IF($C86="","",IF(E86="All Stages Closed","",IF(E86="S1 Schematic",IF(N86="","Not added",N86),IF(E86="S2 PCB Layout",IF(R86="","Not added",R86),IF(E86="S3 SI &amp; PI",IF(V86="","Not added",V86),IF(E86="S4 Bare-PCB Fab",IF(Z86="","Not added",Z86),IF(E86="S5 Assembly",IF(AD86="","Not added",AD86),IF(E86="S6 Bring-up",IF(AH86="","Not added",AH86),IF(AL86="","Not added",AL86)))))))))</f>
        <v/>
      </c>
      <c r="H86" s="32" t="str">
        <f aca="true">IF($C86="","",IF(OR(F86="Completed",F86="Cancelled"),"",IF(NOT(ISNUMBER(G86)),"No date set",IF(TODAY()&gt;G86,TODAY()-G86&amp;" days late",G86-TODAY()&amp;" days left"))))</f>
        <v/>
      </c>
      <c r="I86" s="31" t="str">
        <f aca="false">IF($C86="","",COUNTIF(M86,"Completed")+COUNTIF(Q86,"Completed")+COUNTIF(U86,"Completed")+COUNTIF(Y86,"Completed")+COUNTIF(AC86,"Completed")+COUNTIF(AG86,"Completed")+COUNTIF(AK86,"Completed"))</f>
        <v/>
      </c>
      <c r="J86" s="31" t="str">
        <f aca="false">IF($C86="","",7-(COUNTIF(M86,"NA")+COUNTIF(Q86,"NA")+COUNTIF(U86,"NA")+COUNTIF(Y86,"NA")+COUNTIF(AC86,"NA")+COUNTIF(AG86,"NA")+COUNTIF(AK86,"NA")))</f>
        <v/>
      </c>
      <c r="K86" s="34" t="str">
        <f aca="false">IFERROR(I86/J86,"")</f>
        <v/>
      </c>
      <c r="L86" s="29"/>
      <c r="M86" s="35"/>
      <c r="N86" s="36"/>
      <c r="O86" s="36"/>
      <c r="P86" s="29"/>
      <c r="Q86" s="35"/>
      <c r="R86" s="36"/>
      <c r="S86" s="36"/>
      <c r="T86" s="29"/>
      <c r="U86" s="35"/>
      <c r="V86" s="36"/>
      <c r="W86" s="36"/>
      <c r="X86" s="29"/>
      <c r="Y86" s="35"/>
      <c r="Z86" s="36"/>
      <c r="AA86" s="36"/>
      <c r="AB86" s="29"/>
      <c r="AC86" s="35"/>
      <c r="AD86" s="36"/>
      <c r="AE86" s="36"/>
      <c r="AF86" s="29"/>
      <c r="AG86" s="35"/>
      <c r="AH86" s="36"/>
      <c r="AI86" s="36"/>
      <c r="AJ86" s="29"/>
      <c r="AK86" s="35"/>
      <c r="AL86" s="36"/>
      <c r="AM86" s="36"/>
      <c r="AN86" s="29"/>
      <c r="AO86" s="29"/>
      <c r="AP86" s="29"/>
      <c r="AQ86" s="37"/>
      <c r="AR86" s="29"/>
      <c r="AS86" s="38" t="str">
        <f aca="false">IF($C86="","",IF(OR(F86="Completed",F86="Cancelled"),"",IF(AND(OR(F86="On Hold",ISNUMBER(VALUE(LEFT(H86,2)))),AR86=""),"Reason not given","")))</f>
        <v/>
      </c>
      <c r="AT86" s="30"/>
      <c r="AU86" s="30"/>
    </row>
    <row r="87" customFormat="false" ht="19.5" hidden="false" customHeight="true" outlineLevel="0" collapsed="false">
      <c r="A87" s="28" t="str">
        <f aca="false">IF($C87="","",COUNTA($C$17:$C87))</f>
        <v/>
      </c>
      <c r="B87" s="29"/>
      <c r="C87" s="30"/>
      <c r="D87" s="29"/>
      <c r="E87" s="31" t="str">
        <f aca="false">IF($C87="","",IF(NOT(OR(M87="Completed",M87="NA",M87="Cancelled")),"S1 Schematic",IF(NOT(OR(Q87="Completed",Q87="NA",Q87="Cancelled")),"S2 PCB Layout",IF(NOT(OR(U87="Completed",U87="NA",U87="Cancelled")),"S3 SI &amp; PI",IF(NOT(OR(Y87="Completed",Y87="NA",Y87="Cancelled")),"S4 Bare-PCB Fab",IF(NOT(OR(AC87="Completed",AC87="NA",AC87="Cancelled")),"S5 Assembly",IF(NOT(OR(AG87="Completed",AG87="NA",AG87="Cancelled")),"S6 Bring-up",IF(NOT(OR(AK87="Completed",AK87="NA",AK87="Cancelled")),"S7 BOM Procurement","All Stages Closed"))))))))</f>
        <v/>
      </c>
      <c r="F87" s="32" t="str">
        <f aca="false">IF($C87="","",IF(COUNTIF(M87,"Cancelled")+COUNTIF(Q87,"Cancelled")+COUNTIF(U87,"Cancelled")+COUNTIF(Y87,"Cancelled")+COUNTIF(AC87,"Cancelled")+COUNTIF(AG87,"Cancelled")+COUNTIF(AK87,"Cancelled")&gt;0,"Cancelled",IF(E87="All Stages Closed","Completed",IF(E87="S1 Schematic",M87,IF(E87="S2 PCB Layout",Q87,IF(E87="S3 SI &amp; PI",U87,IF(E87="S4 Bare-PCB Fab",Y87,IF(E87="S5 Assembly",AC87,IF(E87="S6 Bring-up",AG87,AK87)))))))))</f>
        <v/>
      </c>
      <c r="G87" s="33" t="str">
        <f aca="false">IF($C87="","",IF(E87="All Stages Closed","",IF(E87="S1 Schematic",IF(N87="","Not added",N87),IF(E87="S2 PCB Layout",IF(R87="","Not added",R87),IF(E87="S3 SI &amp; PI",IF(V87="","Not added",V87),IF(E87="S4 Bare-PCB Fab",IF(Z87="","Not added",Z87),IF(E87="S5 Assembly",IF(AD87="","Not added",AD87),IF(E87="S6 Bring-up",IF(AH87="","Not added",AH87),IF(AL87="","Not added",AL87)))))))))</f>
        <v/>
      </c>
      <c r="H87" s="32" t="str">
        <f aca="true">IF($C87="","",IF(OR(F87="Completed",F87="Cancelled"),"",IF(NOT(ISNUMBER(G87)),"No date set",IF(TODAY()&gt;G87,TODAY()-G87&amp;" days late",G87-TODAY()&amp;" days left"))))</f>
        <v/>
      </c>
      <c r="I87" s="31" t="str">
        <f aca="false">IF($C87="","",COUNTIF(M87,"Completed")+COUNTIF(Q87,"Completed")+COUNTIF(U87,"Completed")+COUNTIF(Y87,"Completed")+COUNTIF(AC87,"Completed")+COUNTIF(AG87,"Completed")+COUNTIF(AK87,"Completed"))</f>
        <v/>
      </c>
      <c r="J87" s="31" t="str">
        <f aca="false">IF($C87="","",7-(COUNTIF(M87,"NA")+COUNTIF(Q87,"NA")+COUNTIF(U87,"NA")+COUNTIF(Y87,"NA")+COUNTIF(AC87,"NA")+COUNTIF(AG87,"NA")+COUNTIF(AK87,"NA")))</f>
        <v/>
      </c>
      <c r="K87" s="34" t="str">
        <f aca="false">IFERROR(I87/J87,"")</f>
        <v/>
      </c>
      <c r="L87" s="29"/>
      <c r="M87" s="35"/>
      <c r="N87" s="36"/>
      <c r="O87" s="36"/>
      <c r="P87" s="29"/>
      <c r="Q87" s="35"/>
      <c r="R87" s="36"/>
      <c r="S87" s="36"/>
      <c r="T87" s="29"/>
      <c r="U87" s="35"/>
      <c r="V87" s="36"/>
      <c r="W87" s="36"/>
      <c r="X87" s="29"/>
      <c r="Y87" s="35"/>
      <c r="Z87" s="36"/>
      <c r="AA87" s="36"/>
      <c r="AB87" s="29"/>
      <c r="AC87" s="35"/>
      <c r="AD87" s="36"/>
      <c r="AE87" s="36"/>
      <c r="AF87" s="29"/>
      <c r="AG87" s="35"/>
      <c r="AH87" s="36"/>
      <c r="AI87" s="36"/>
      <c r="AJ87" s="29"/>
      <c r="AK87" s="35"/>
      <c r="AL87" s="36"/>
      <c r="AM87" s="36"/>
      <c r="AN87" s="29"/>
      <c r="AO87" s="29"/>
      <c r="AP87" s="29"/>
      <c r="AQ87" s="37"/>
      <c r="AR87" s="29"/>
      <c r="AS87" s="38" t="str">
        <f aca="false">IF($C87="","",IF(OR(F87="Completed",F87="Cancelled"),"",IF(AND(OR(F87="On Hold",ISNUMBER(VALUE(LEFT(H87,2)))),AR87=""),"Reason not given","")))</f>
        <v/>
      </c>
      <c r="AT87" s="30"/>
      <c r="AU87" s="30"/>
    </row>
    <row r="88" customFormat="false" ht="19.5" hidden="false" customHeight="true" outlineLevel="0" collapsed="false">
      <c r="A88" s="28" t="str">
        <f aca="false">IF($C88="","",COUNTA($C$17:$C88))</f>
        <v/>
      </c>
      <c r="B88" s="29"/>
      <c r="C88" s="30"/>
      <c r="D88" s="29"/>
      <c r="E88" s="31" t="str">
        <f aca="false">IF($C88="","",IF(NOT(OR(M88="Completed",M88="NA",M88="Cancelled")),"S1 Schematic",IF(NOT(OR(Q88="Completed",Q88="NA",Q88="Cancelled")),"S2 PCB Layout",IF(NOT(OR(U88="Completed",U88="NA",U88="Cancelled")),"S3 SI &amp; PI",IF(NOT(OR(Y88="Completed",Y88="NA",Y88="Cancelled")),"S4 Bare-PCB Fab",IF(NOT(OR(AC88="Completed",AC88="NA",AC88="Cancelled")),"S5 Assembly",IF(NOT(OR(AG88="Completed",AG88="NA",AG88="Cancelled")),"S6 Bring-up",IF(NOT(OR(AK88="Completed",AK88="NA",AK88="Cancelled")),"S7 BOM Procurement","All Stages Closed"))))))))</f>
        <v/>
      </c>
      <c r="F88" s="32" t="str">
        <f aca="false">IF($C88="","",IF(COUNTIF(M88,"Cancelled")+COUNTIF(Q88,"Cancelled")+COUNTIF(U88,"Cancelled")+COUNTIF(Y88,"Cancelled")+COUNTIF(AC88,"Cancelled")+COUNTIF(AG88,"Cancelled")+COUNTIF(AK88,"Cancelled")&gt;0,"Cancelled",IF(E88="All Stages Closed","Completed",IF(E88="S1 Schematic",M88,IF(E88="S2 PCB Layout",Q88,IF(E88="S3 SI &amp; PI",U88,IF(E88="S4 Bare-PCB Fab",Y88,IF(E88="S5 Assembly",AC88,IF(E88="S6 Bring-up",AG88,AK88)))))))))</f>
        <v/>
      </c>
      <c r="G88" s="33" t="str">
        <f aca="false">IF($C88="","",IF(E88="All Stages Closed","",IF(E88="S1 Schematic",IF(N88="","Not added",N88),IF(E88="S2 PCB Layout",IF(R88="","Not added",R88),IF(E88="S3 SI &amp; PI",IF(V88="","Not added",V88),IF(E88="S4 Bare-PCB Fab",IF(Z88="","Not added",Z88),IF(E88="S5 Assembly",IF(AD88="","Not added",AD88),IF(E88="S6 Bring-up",IF(AH88="","Not added",AH88),IF(AL88="","Not added",AL88)))))))))</f>
        <v/>
      </c>
      <c r="H88" s="32" t="str">
        <f aca="true">IF($C88="","",IF(OR(F88="Completed",F88="Cancelled"),"",IF(NOT(ISNUMBER(G88)),"No date set",IF(TODAY()&gt;G88,TODAY()-G88&amp;" days late",G88-TODAY()&amp;" days left"))))</f>
        <v/>
      </c>
      <c r="I88" s="31" t="str">
        <f aca="false">IF($C88="","",COUNTIF(M88,"Completed")+COUNTIF(Q88,"Completed")+COUNTIF(U88,"Completed")+COUNTIF(Y88,"Completed")+COUNTIF(AC88,"Completed")+COUNTIF(AG88,"Completed")+COUNTIF(AK88,"Completed"))</f>
        <v/>
      </c>
      <c r="J88" s="31" t="str">
        <f aca="false">IF($C88="","",7-(COUNTIF(M88,"NA")+COUNTIF(Q88,"NA")+COUNTIF(U88,"NA")+COUNTIF(Y88,"NA")+COUNTIF(AC88,"NA")+COUNTIF(AG88,"NA")+COUNTIF(AK88,"NA")))</f>
        <v/>
      </c>
      <c r="K88" s="34" t="str">
        <f aca="false">IFERROR(I88/J88,"")</f>
        <v/>
      </c>
      <c r="L88" s="29"/>
      <c r="M88" s="35"/>
      <c r="N88" s="36"/>
      <c r="O88" s="36"/>
      <c r="P88" s="29"/>
      <c r="Q88" s="35"/>
      <c r="R88" s="36"/>
      <c r="S88" s="36"/>
      <c r="T88" s="29"/>
      <c r="U88" s="35"/>
      <c r="V88" s="36"/>
      <c r="W88" s="36"/>
      <c r="X88" s="29"/>
      <c r="Y88" s="35"/>
      <c r="Z88" s="36"/>
      <c r="AA88" s="36"/>
      <c r="AB88" s="29"/>
      <c r="AC88" s="35"/>
      <c r="AD88" s="36"/>
      <c r="AE88" s="36"/>
      <c r="AF88" s="29"/>
      <c r="AG88" s="35"/>
      <c r="AH88" s="36"/>
      <c r="AI88" s="36"/>
      <c r="AJ88" s="29"/>
      <c r="AK88" s="35"/>
      <c r="AL88" s="36"/>
      <c r="AM88" s="36"/>
      <c r="AN88" s="29"/>
      <c r="AO88" s="29"/>
      <c r="AP88" s="29"/>
      <c r="AQ88" s="37"/>
      <c r="AR88" s="29"/>
      <c r="AS88" s="38" t="str">
        <f aca="false">IF($C88="","",IF(OR(F88="Completed",F88="Cancelled"),"",IF(AND(OR(F88="On Hold",ISNUMBER(VALUE(LEFT(H88,2)))),AR88=""),"Reason not given","")))</f>
        <v/>
      </c>
      <c r="AT88" s="30"/>
      <c r="AU88" s="30"/>
    </row>
    <row r="89" customFormat="false" ht="19.5" hidden="false" customHeight="true" outlineLevel="0" collapsed="false">
      <c r="A89" s="28" t="str">
        <f aca="false">IF($C89="","",COUNTA($C$17:$C89))</f>
        <v/>
      </c>
      <c r="B89" s="29"/>
      <c r="C89" s="30"/>
      <c r="D89" s="29"/>
      <c r="E89" s="31" t="str">
        <f aca="false">IF($C89="","",IF(NOT(OR(M89="Completed",M89="NA",M89="Cancelled")),"S1 Schematic",IF(NOT(OR(Q89="Completed",Q89="NA",Q89="Cancelled")),"S2 PCB Layout",IF(NOT(OR(U89="Completed",U89="NA",U89="Cancelled")),"S3 SI &amp; PI",IF(NOT(OR(Y89="Completed",Y89="NA",Y89="Cancelled")),"S4 Bare-PCB Fab",IF(NOT(OR(AC89="Completed",AC89="NA",AC89="Cancelled")),"S5 Assembly",IF(NOT(OR(AG89="Completed",AG89="NA",AG89="Cancelled")),"S6 Bring-up",IF(NOT(OR(AK89="Completed",AK89="NA",AK89="Cancelled")),"S7 BOM Procurement","All Stages Closed"))))))))</f>
        <v/>
      </c>
      <c r="F89" s="32" t="str">
        <f aca="false">IF($C89="","",IF(COUNTIF(M89,"Cancelled")+COUNTIF(Q89,"Cancelled")+COUNTIF(U89,"Cancelled")+COUNTIF(Y89,"Cancelled")+COUNTIF(AC89,"Cancelled")+COUNTIF(AG89,"Cancelled")+COUNTIF(AK89,"Cancelled")&gt;0,"Cancelled",IF(E89="All Stages Closed","Completed",IF(E89="S1 Schematic",M89,IF(E89="S2 PCB Layout",Q89,IF(E89="S3 SI &amp; PI",U89,IF(E89="S4 Bare-PCB Fab",Y89,IF(E89="S5 Assembly",AC89,IF(E89="S6 Bring-up",AG89,AK89)))))))))</f>
        <v/>
      </c>
      <c r="G89" s="33" t="str">
        <f aca="false">IF($C89="","",IF(E89="All Stages Closed","",IF(E89="S1 Schematic",IF(N89="","Not added",N89),IF(E89="S2 PCB Layout",IF(R89="","Not added",R89),IF(E89="S3 SI &amp; PI",IF(V89="","Not added",V89),IF(E89="S4 Bare-PCB Fab",IF(Z89="","Not added",Z89),IF(E89="S5 Assembly",IF(AD89="","Not added",AD89),IF(E89="S6 Bring-up",IF(AH89="","Not added",AH89),IF(AL89="","Not added",AL89)))))))))</f>
        <v/>
      </c>
      <c r="H89" s="32" t="str">
        <f aca="true">IF($C89="","",IF(OR(F89="Completed",F89="Cancelled"),"",IF(NOT(ISNUMBER(G89)),"No date set",IF(TODAY()&gt;G89,TODAY()-G89&amp;" days late",G89-TODAY()&amp;" days left"))))</f>
        <v/>
      </c>
      <c r="I89" s="31" t="str">
        <f aca="false">IF($C89="","",COUNTIF(M89,"Completed")+COUNTIF(Q89,"Completed")+COUNTIF(U89,"Completed")+COUNTIF(Y89,"Completed")+COUNTIF(AC89,"Completed")+COUNTIF(AG89,"Completed")+COUNTIF(AK89,"Completed"))</f>
        <v/>
      </c>
      <c r="J89" s="31" t="str">
        <f aca="false">IF($C89="","",7-(COUNTIF(M89,"NA")+COUNTIF(Q89,"NA")+COUNTIF(U89,"NA")+COUNTIF(Y89,"NA")+COUNTIF(AC89,"NA")+COUNTIF(AG89,"NA")+COUNTIF(AK89,"NA")))</f>
        <v/>
      </c>
      <c r="K89" s="34" t="str">
        <f aca="false">IFERROR(I89/J89,"")</f>
        <v/>
      </c>
      <c r="L89" s="29"/>
      <c r="M89" s="35"/>
      <c r="N89" s="36"/>
      <c r="O89" s="36"/>
      <c r="P89" s="29"/>
      <c r="Q89" s="35"/>
      <c r="R89" s="36"/>
      <c r="S89" s="36"/>
      <c r="T89" s="29"/>
      <c r="U89" s="35"/>
      <c r="V89" s="36"/>
      <c r="W89" s="36"/>
      <c r="X89" s="29"/>
      <c r="Y89" s="35"/>
      <c r="Z89" s="36"/>
      <c r="AA89" s="36"/>
      <c r="AB89" s="29"/>
      <c r="AC89" s="35"/>
      <c r="AD89" s="36"/>
      <c r="AE89" s="36"/>
      <c r="AF89" s="29"/>
      <c r="AG89" s="35"/>
      <c r="AH89" s="36"/>
      <c r="AI89" s="36"/>
      <c r="AJ89" s="29"/>
      <c r="AK89" s="35"/>
      <c r="AL89" s="36"/>
      <c r="AM89" s="36"/>
      <c r="AN89" s="29"/>
      <c r="AO89" s="29"/>
      <c r="AP89" s="29"/>
      <c r="AQ89" s="37"/>
      <c r="AR89" s="29"/>
      <c r="AS89" s="38" t="str">
        <f aca="false">IF($C89="","",IF(OR(F89="Completed",F89="Cancelled"),"",IF(AND(OR(F89="On Hold",ISNUMBER(VALUE(LEFT(H89,2)))),AR89=""),"Reason not given","")))</f>
        <v/>
      </c>
      <c r="AT89" s="30"/>
      <c r="AU89" s="30"/>
    </row>
    <row r="90" customFormat="false" ht="19.5" hidden="false" customHeight="true" outlineLevel="0" collapsed="false">
      <c r="A90" s="28" t="str">
        <f aca="false">IF($C90="","",COUNTA($C$17:$C90))</f>
        <v/>
      </c>
      <c r="B90" s="29"/>
      <c r="C90" s="30"/>
      <c r="D90" s="29"/>
      <c r="E90" s="31" t="str">
        <f aca="false">IF($C90="","",IF(NOT(OR(M90="Completed",M90="NA",M90="Cancelled")),"S1 Schematic",IF(NOT(OR(Q90="Completed",Q90="NA",Q90="Cancelled")),"S2 PCB Layout",IF(NOT(OR(U90="Completed",U90="NA",U90="Cancelled")),"S3 SI &amp; PI",IF(NOT(OR(Y90="Completed",Y90="NA",Y90="Cancelled")),"S4 Bare-PCB Fab",IF(NOT(OR(AC90="Completed",AC90="NA",AC90="Cancelled")),"S5 Assembly",IF(NOT(OR(AG90="Completed",AG90="NA",AG90="Cancelled")),"S6 Bring-up",IF(NOT(OR(AK90="Completed",AK90="NA",AK90="Cancelled")),"S7 BOM Procurement","All Stages Closed"))))))))</f>
        <v/>
      </c>
      <c r="F90" s="32" t="str">
        <f aca="false">IF($C90="","",IF(COUNTIF(M90,"Cancelled")+COUNTIF(Q90,"Cancelled")+COUNTIF(U90,"Cancelled")+COUNTIF(Y90,"Cancelled")+COUNTIF(AC90,"Cancelled")+COUNTIF(AG90,"Cancelled")+COUNTIF(AK90,"Cancelled")&gt;0,"Cancelled",IF(E90="All Stages Closed","Completed",IF(E90="S1 Schematic",M90,IF(E90="S2 PCB Layout",Q90,IF(E90="S3 SI &amp; PI",U90,IF(E90="S4 Bare-PCB Fab",Y90,IF(E90="S5 Assembly",AC90,IF(E90="S6 Bring-up",AG90,AK90)))))))))</f>
        <v/>
      </c>
      <c r="G90" s="33" t="str">
        <f aca="false">IF($C90="","",IF(E90="All Stages Closed","",IF(E90="S1 Schematic",IF(N90="","Not added",N90),IF(E90="S2 PCB Layout",IF(R90="","Not added",R90),IF(E90="S3 SI &amp; PI",IF(V90="","Not added",V90),IF(E90="S4 Bare-PCB Fab",IF(Z90="","Not added",Z90),IF(E90="S5 Assembly",IF(AD90="","Not added",AD90),IF(E90="S6 Bring-up",IF(AH90="","Not added",AH90),IF(AL90="","Not added",AL90)))))))))</f>
        <v/>
      </c>
      <c r="H90" s="32" t="str">
        <f aca="true">IF($C90="","",IF(OR(F90="Completed",F90="Cancelled"),"",IF(NOT(ISNUMBER(G90)),"No date set",IF(TODAY()&gt;G90,TODAY()-G90&amp;" days late",G90-TODAY()&amp;" days left"))))</f>
        <v/>
      </c>
      <c r="I90" s="31" t="str">
        <f aca="false">IF($C90="","",COUNTIF(M90,"Completed")+COUNTIF(Q90,"Completed")+COUNTIF(U90,"Completed")+COUNTIF(Y90,"Completed")+COUNTIF(AC90,"Completed")+COUNTIF(AG90,"Completed")+COUNTIF(AK90,"Completed"))</f>
        <v/>
      </c>
      <c r="J90" s="31" t="str">
        <f aca="false">IF($C90="","",7-(COUNTIF(M90,"NA")+COUNTIF(Q90,"NA")+COUNTIF(U90,"NA")+COUNTIF(Y90,"NA")+COUNTIF(AC90,"NA")+COUNTIF(AG90,"NA")+COUNTIF(AK90,"NA")))</f>
        <v/>
      </c>
      <c r="K90" s="34" t="str">
        <f aca="false">IFERROR(I90/J90,"")</f>
        <v/>
      </c>
      <c r="L90" s="29"/>
      <c r="M90" s="35"/>
      <c r="N90" s="36"/>
      <c r="O90" s="36"/>
      <c r="P90" s="29"/>
      <c r="Q90" s="35"/>
      <c r="R90" s="36"/>
      <c r="S90" s="36"/>
      <c r="T90" s="29"/>
      <c r="U90" s="35"/>
      <c r="V90" s="36"/>
      <c r="W90" s="36"/>
      <c r="X90" s="29"/>
      <c r="Y90" s="35"/>
      <c r="Z90" s="36"/>
      <c r="AA90" s="36"/>
      <c r="AB90" s="29"/>
      <c r="AC90" s="35"/>
      <c r="AD90" s="36"/>
      <c r="AE90" s="36"/>
      <c r="AF90" s="29"/>
      <c r="AG90" s="35"/>
      <c r="AH90" s="36"/>
      <c r="AI90" s="36"/>
      <c r="AJ90" s="29"/>
      <c r="AK90" s="35"/>
      <c r="AL90" s="36"/>
      <c r="AM90" s="36"/>
      <c r="AN90" s="29"/>
      <c r="AO90" s="29"/>
      <c r="AP90" s="29"/>
      <c r="AQ90" s="37"/>
      <c r="AR90" s="29"/>
      <c r="AS90" s="38" t="str">
        <f aca="false">IF($C90="","",IF(OR(F90="Completed",F90="Cancelled"),"",IF(AND(OR(F90="On Hold",ISNUMBER(VALUE(LEFT(H90,2)))),AR90=""),"Reason not given","")))</f>
        <v/>
      </c>
      <c r="AT90" s="30"/>
      <c r="AU90" s="30"/>
    </row>
    <row r="91" customFormat="false" ht="19.5" hidden="false" customHeight="true" outlineLevel="0" collapsed="false">
      <c r="A91" s="28" t="str">
        <f aca="false">IF($C91="","",COUNTA($C$17:$C91))</f>
        <v/>
      </c>
      <c r="B91" s="29"/>
      <c r="C91" s="30"/>
      <c r="D91" s="29"/>
      <c r="E91" s="31" t="str">
        <f aca="false">IF($C91="","",IF(NOT(OR(M91="Completed",M91="NA",M91="Cancelled")),"S1 Schematic",IF(NOT(OR(Q91="Completed",Q91="NA",Q91="Cancelled")),"S2 PCB Layout",IF(NOT(OR(U91="Completed",U91="NA",U91="Cancelled")),"S3 SI &amp; PI",IF(NOT(OR(Y91="Completed",Y91="NA",Y91="Cancelled")),"S4 Bare-PCB Fab",IF(NOT(OR(AC91="Completed",AC91="NA",AC91="Cancelled")),"S5 Assembly",IF(NOT(OR(AG91="Completed",AG91="NA",AG91="Cancelled")),"S6 Bring-up",IF(NOT(OR(AK91="Completed",AK91="NA",AK91="Cancelled")),"S7 BOM Procurement","All Stages Closed"))))))))</f>
        <v/>
      </c>
      <c r="F91" s="32" t="str">
        <f aca="false">IF($C91="","",IF(COUNTIF(M91,"Cancelled")+COUNTIF(Q91,"Cancelled")+COUNTIF(U91,"Cancelled")+COUNTIF(Y91,"Cancelled")+COUNTIF(AC91,"Cancelled")+COUNTIF(AG91,"Cancelled")+COUNTIF(AK91,"Cancelled")&gt;0,"Cancelled",IF(E91="All Stages Closed","Completed",IF(E91="S1 Schematic",M91,IF(E91="S2 PCB Layout",Q91,IF(E91="S3 SI &amp; PI",U91,IF(E91="S4 Bare-PCB Fab",Y91,IF(E91="S5 Assembly",AC91,IF(E91="S6 Bring-up",AG91,AK91)))))))))</f>
        <v/>
      </c>
      <c r="G91" s="33" t="str">
        <f aca="false">IF($C91="","",IF(E91="All Stages Closed","",IF(E91="S1 Schematic",IF(N91="","Not added",N91),IF(E91="S2 PCB Layout",IF(R91="","Not added",R91),IF(E91="S3 SI &amp; PI",IF(V91="","Not added",V91),IF(E91="S4 Bare-PCB Fab",IF(Z91="","Not added",Z91),IF(E91="S5 Assembly",IF(AD91="","Not added",AD91),IF(E91="S6 Bring-up",IF(AH91="","Not added",AH91),IF(AL91="","Not added",AL91)))))))))</f>
        <v/>
      </c>
      <c r="H91" s="32" t="str">
        <f aca="true">IF($C91="","",IF(OR(F91="Completed",F91="Cancelled"),"",IF(NOT(ISNUMBER(G91)),"No date set",IF(TODAY()&gt;G91,TODAY()-G91&amp;" days late",G91-TODAY()&amp;" days left"))))</f>
        <v/>
      </c>
      <c r="I91" s="31" t="str">
        <f aca="false">IF($C91="","",COUNTIF(M91,"Completed")+COUNTIF(Q91,"Completed")+COUNTIF(U91,"Completed")+COUNTIF(Y91,"Completed")+COUNTIF(AC91,"Completed")+COUNTIF(AG91,"Completed")+COUNTIF(AK91,"Completed"))</f>
        <v/>
      </c>
      <c r="J91" s="31" t="str">
        <f aca="false">IF($C91="","",7-(COUNTIF(M91,"NA")+COUNTIF(Q91,"NA")+COUNTIF(U91,"NA")+COUNTIF(Y91,"NA")+COUNTIF(AC91,"NA")+COUNTIF(AG91,"NA")+COUNTIF(AK91,"NA")))</f>
        <v/>
      </c>
      <c r="K91" s="34" t="str">
        <f aca="false">IFERROR(I91/J91,"")</f>
        <v/>
      </c>
      <c r="L91" s="29"/>
      <c r="M91" s="35"/>
      <c r="N91" s="36"/>
      <c r="O91" s="36"/>
      <c r="P91" s="29"/>
      <c r="Q91" s="35"/>
      <c r="R91" s="36"/>
      <c r="S91" s="36"/>
      <c r="T91" s="29"/>
      <c r="U91" s="35"/>
      <c r="V91" s="36"/>
      <c r="W91" s="36"/>
      <c r="X91" s="29"/>
      <c r="Y91" s="35"/>
      <c r="Z91" s="36"/>
      <c r="AA91" s="36"/>
      <c r="AB91" s="29"/>
      <c r="AC91" s="35"/>
      <c r="AD91" s="36"/>
      <c r="AE91" s="36"/>
      <c r="AF91" s="29"/>
      <c r="AG91" s="35"/>
      <c r="AH91" s="36"/>
      <c r="AI91" s="36"/>
      <c r="AJ91" s="29"/>
      <c r="AK91" s="35"/>
      <c r="AL91" s="36"/>
      <c r="AM91" s="36"/>
      <c r="AN91" s="29"/>
      <c r="AO91" s="29"/>
      <c r="AP91" s="29"/>
      <c r="AQ91" s="37"/>
      <c r="AR91" s="29"/>
      <c r="AS91" s="38" t="str">
        <f aca="false">IF($C91="","",IF(OR(F91="Completed",F91="Cancelled"),"",IF(AND(OR(F91="On Hold",ISNUMBER(VALUE(LEFT(H91,2)))),AR91=""),"Reason not given","")))</f>
        <v/>
      </c>
      <c r="AT91" s="30"/>
      <c r="AU91" s="30"/>
    </row>
    <row r="92" customFormat="false" ht="19.5" hidden="false" customHeight="true" outlineLevel="0" collapsed="false">
      <c r="A92" s="28" t="str">
        <f aca="false">IF($C92="","",COUNTA($C$17:$C92))</f>
        <v/>
      </c>
      <c r="B92" s="29"/>
      <c r="C92" s="30"/>
      <c r="D92" s="29"/>
      <c r="E92" s="31" t="str">
        <f aca="false">IF($C92="","",IF(NOT(OR(M92="Completed",M92="NA",M92="Cancelled")),"S1 Schematic",IF(NOT(OR(Q92="Completed",Q92="NA",Q92="Cancelled")),"S2 PCB Layout",IF(NOT(OR(U92="Completed",U92="NA",U92="Cancelled")),"S3 SI &amp; PI",IF(NOT(OR(Y92="Completed",Y92="NA",Y92="Cancelled")),"S4 Bare-PCB Fab",IF(NOT(OR(AC92="Completed",AC92="NA",AC92="Cancelled")),"S5 Assembly",IF(NOT(OR(AG92="Completed",AG92="NA",AG92="Cancelled")),"S6 Bring-up",IF(NOT(OR(AK92="Completed",AK92="NA",AK92="Cancelled")),"S7 BOM Procurement","All Stages Closed"))))))))</f>
        <v/>
      </c>
      <c r="F92" s="32" t="str">
        <f aca="false">IF($C92="","",IF(COUNTIF(M92,"Cancelled")+COUNTIF(Q92,"Cancelled")+COUNTIF(U92,"Cancelled")+COUNTIF(Y92,"Cancelled")+COUNTIF(AC92,"Cancelled")+COUNTIF(AG92,"Cancelled")+COUNTIF(AK92,"Cancelled")&gt;0,"Cancelled",IF(E92="All Stages Closed","Completed",IF(E92="S1 Schematic",M92,IF(E92="S2 PCB Layout",Q92,IF(E92="S3 SI &amp; PI",U92,IF(E92="S4 Bare-PCB Fab",Y92,IF(E92="S5 Assembly",AC92,IF(E92="S6 Bring-up",AG92,AK92)))))))))</f>
        <v/>
      </c>
      <c r="G92" s="33" t="str">
        <f aca="false">IF($C92="","",IF(E92="All Stages Closed","",IF(E92="S1 Schematic",IF(N92="","Not added",N92),IF(E92="S2 PCB Layout",IF(R92="","Not added",R92),IF(E92="S3 SI &amp; PI",IF(V92="","Not added",V92),IF(E92="S4 Bare-PCB Fab",IF(Z92="","Not added",Z92),IF(E92="S5 Assembly",IF(AD92="","Not added",AD92),IF(E92="S6 Bring-up",IF(AH92="","Not added",AH92),IF(AL92="","Not added",AL92)))))))))</f>
        <v/>
      </c>
      <c r="H92" s="32" t="str">
        <f aca="true">IF($C92="","",IF(OR(F92="Completed",F92="Cancelled"),"",IF(NOT(ISNUMBER(G92)),"No date set",IF(TODAY()&gt;G92,TODAY()-G92&amp;" days late",G92-TODAY()&amp;" days left"))))</f>
        <v/>
      </c>
      <c r="I92" s="31" t="str">
        <f aca="false">IF($C92="","",COUNTIF(M92,"Completed")+COUNTIF(Q92,"Completed")+COUNTIF(U92,"Completed")+COUNTIF(Y92,"Completed")+COUNTIF(AC92,"Completed")+COUNTIF(AG92,"Completed")+COUNTIF(AK92,"Completed"))</f>
        <v/>
      </c>
      <c r="J92" s="31" t="str">
        <f aca="false">IF($C92="","",7-(COUNTIF(M92,"NA")+COUNTIF(Q92,"NA")+COUNTIF(U92,"NA")+COUNTIF(Y92,"NA")+COUNTIF(AC92,"NA")+COUNTIF(AG92,"NA")+COUNTIF(AK92,"NA")))</f>
        <v/>
      </c>
      <c r="K92" s="34" t="str">
        <f aca="false">IFERROR(I92/J92,"")</f>
        <v/>
      </c>
      <c r="L92" s="29"/>
      <c r="M92" s="35"/>
      <c r="N92" s="36"/>
      <c r="O92" s="36"/>
      <c r="P92" s="29"/>
      <c r="Q92" s="35"/>
      <c r="R92" s="36"/>
      <c r="S92" s="36"/>
      <c r="T92" s="29"/>
      <c r="U92" s="35"/>
      <c r="V92" s="36"/>
      <c r="W92" s="36"/>
      <c r="X92" s="29"/>
      <c r="Y92" s="35"/>
      <c r="Z92" s="36"/>
      <c r="AA92" s="36"/>
      <c r="AB92" s="29"/>
      <c r="AC92" s="35"/>
      <c r="AD92" s="36"/>
      <c r="AE92" s="36"/>
      <c r="AF92" s="29"/>
      <c r="AG92" s="35"/>
      <c r="AH92" s="36"/>
      <c r="AI92" s="36"/>
      <c r="AJ92" s="29"/>
      <c r="AK92" s="35"/>
      <c r="AL92" s="36"/>
      <c r="AM92" s="36"/>
      <c r="AN92" s="29"/>
      <c r="AO92" s="29"/>
      <c r="AP92" s="29"/>
      <c r="AQ92" s="37"/>
      <c r="AR92" s="29"/>
      <c r="AS92" s="38" t="str">
        <f aca="false">IF($C92="","",IF(OR(F92="Completed",F92="Cancelled"),"",IF(AND(OR(F92="On Hold",ISNUMBER(VALUE(LEFT(H92,2)))),AR92=""),"Reason not given","")))</f>
        <v/>
      </c>
      <c r="AT92" s="30"/>
      <c r="AU92" s="30"/>
    </row>
    <row r="93" customFormat="false" ht="19.5" hidden="false" customHeight="true" outlineLevel="0" collapsed="false">
      <c r="A93" s="28" t="str">
        <f aca="false">IF($C93="","",COUNTA($C$17:$C93))</f>
        <v/>
      </c>
      <c r="B93" s="29"/>
      <c r="C93" s="30"/>
      <c r="D93" s="29"/>
      <c r="E93" s="31" t="str">
        <f aca="false">IF($C93="","",IF(NOT(OR(M93="Completed",M93="NA",M93="Cancelled")),"S1 Schematic",IF(NOT(OR(Q93="Completed",Q93="NA",Q93="Cancelled")),"S2 PCB Layout",IF(NOT(OR(U93="Completed",U93="NA",U93="Cancelled")),"S3 SI &amp; PI",IF(NOT(OR(Y93="Completed",Y93="NA",Y93="Cancelled")),"S4 Bare-PCB Fab",IF(NOT(OR(AC93="Completed",AC93="NA",AC93="Cancelled")),"S5 Assembly",IF(NOT(OR(AG93="Completed",AG93="NA",AG93="Cancelled")),"S6 Bring-up",IF(NOT(OR(AK93="Completed",AK93="NA",AK93="Cancelled")),"S7 BOM Procurement","All Stages Closed"))))))))</f>
        <v/>
      </c>
      <c r="F93" s="32" t="str">
        <f aca="false">IF($C93="","",IF(COUNTIF(M93,"Cancelled")+COUNTIF(Q93,"Cancelled")+COUNTIF(U93,"Cancelled")+COUNTIF(Y93,"Cancelled")+COUNTIF(AC93,"Cancelled")+COUNTIF(AG93,"Cancelled")+COUNTIF(AK93,"Cancelled")&gt;0,"Cancelled",IF(E93="All Stages Closed","Completed",IF(E93="S1 Schematic",M93,IF(E93="S2 PCB Layout",Q93,IF(E93="S3 SI &amp; PI",U93,IF(E93="S4 Bare-PCB Fab",Y93,IF(E93="S5 Assembly",AC93,IF(E93="S6 Bring-up",AG93,AK93)))))))))</f>
        <v/>
      </c>
      <c r="G93" s="33" t="str">
        <f aca="false">IF($C93="","",IF(E93="All Stages Closed","",IF(E93="S1 Schematic",IF(N93="","Not added",N93),IF(E93="S2 PCB Layout",IF(R93="","Not added",R93),IF(E93="S3 SI &amp; PI",IF(V93="","Not added",V93),IF(E93="S4 Bare-PCB Fab",IF(Z93="","Not added",Z93),IF(E93="S5 Assembly",IF(AD93="","Not added",AD93),IF(E93="S6 Bring-up",IF(AH93="","Not added",AH93),IF(AL93="","Not added",AL93)))))))))</f>
        <v/>
      </c>
      <c r="H93" s="32" t="str">
        <f aca="true">IF($C93="","",IF(OR(F93="Completed",F93="Cancelled"),"",IF(NOT(ISNUMBER(G93)),"No date set",IF(TODAY()&gt;G93,TODAY()-G93&amp;" days late",G93-TODAY()&amp;" days left"))))</f>
        <v/>
      </c>
      <c r="I93" s="31" t="str">
        <f aca="false">IF($C93="","",COUNTIF(M93,"Completed")+COUNTIF(Q93,"Completed")+COUNTIF(U93,"Completed")+COUNTIF(Y93,"Completed")+COUNTIF(AC93,"Completed")+COUNTIF(AG93,"Completed")+COUNTIF(AK93,"Completed"))</f>
        <v/>
      </c>
      <c r="J93" s="31" t="str">
        <f aca="false">IF($C93="","",7-(COUNTIF(M93,"NA")+COUNTIF(Q93,"NA")+COUNTIF(U93,"NA")+COUNTIF(Y93,"NA")+COUNTIF(AC93,"NA")+COUNTIF(AG93,"NA")+COUNTIF(AK93,"NA")))</f>
        <v/>
      </c>
      <c r="K93" s="34" t="str">
        <f aca="false">IFERROR(I93/J93,"")</f>
        <v/>
      </c>
      <c r="L93" s="29"/>
      <c r="M93" s="35"/>
      <c r="N93" s="36"/>
      <c r="O93" s="36"/>
      <c r="P93" s="29"/>
      <c r="Q93" s="35"/>
      <c r="R93" s="36"/>
      <c r="S93" s="36"/>
      <c r="T93" s="29"/>
      <c r="U93" s="35"/>
      <c r="V93" s="36"/>
      <c r="W93" s="36"/>
      <c r="X93" s="29"/>
      <c r="Y93" s="35"/>
      <c r="Z93" s="36"/>
      <c r="AA93" s="36"/>
      <c r="AB93" s="29"/>
      <c r="AC93" s="35"/>
      <c r="AD93" s="36"/>
      <c r="AE93" s="36"/>
      <c r="AF93" s="29"/>
      <c r="AG93" s="35"/>
      <c r="AH93" s="36"/>
      <c r="AI93" s="36"/>
      <c r="AJ93" s="29"/>
      <c r="AK93" s="35"/>
      <c r="AL93" s="36"/>
      <c r="AM93" s="36"/>
      <c r="AN93" s="29"/>
      <c r="AO93" s="29"/>
      <c r="AP93" s="29"/>
      <c r="AQ93" s="37"/>
      <c r="AR93" s="29"/>
      <c r="AS93" s="38" t="str">
        <f aca="false">IF($C93="","",IF(OR(F93="Completed",F93="Cancelled"),"",IF(AND(OR(F93="On Hold",ISNUMBER(VALUE(LEFT(H93,2)))),AR93=""),"Reason not given","")))</f>
        <v/>
      </c>
      <c r="AT93" s="30"/>
      <c r="AU93" s="30"/>
    </row>
    <row r="94" customFormat="false" ht="19.5" hidden="false" customHeight="true" outlineLevel="0" collapsed="false">
      <c r="A94" s="28" t="str">
        <f aca="false">IF($C94="","",COUNTA($C$17:$C94))</f>
        <v/>
      </c>
      <c r="B94" s="29"/>
      <c r="C94" s="30"/>
      <c r="D94" s="29"/>
      <c r="E94" s="31" t="str">
        <f aca="false">IF($C94="","",IF(NOT(OR(M94="Completed",M94="NA",M94="Cancelled")),"S1 Schematic",IF(NOT(OR(Q94="Completed",Q94="NA",Q94="Cancelled")),"S2 PCB Layout",IF(NOT(OR(U94="Completed",U94="NA",U94="Cancelled")),"S3 SI &amp; PI",IF(NOT(OR(Y94="Completed",Y94="NA",Y94="Cancelled")),"S4 Bare-PCB Fab",IF(NOT(OR(AC94="Completed",AC94="NA",AC94="Cancelled")),"S5 Assembly",IF(NOT(OR(AG94="Completed",AG94="NA",AG94="Cancelled")),"S6 Bring-up",IF(NOT(OR(AK94="Completed",AK94="NA",AK94="Cancelled")),"S7 BOM Procurement","All Stages Closed"))))))))</f>
        <v/>
      </c>
      <c r="F94" s="32" t="str">
        <f aca="false">IF($C94="","",IF(COUNTIF(M94,"Cancelled")+COUNTIF(Q94,"Cancelled")+COUNTIF(U94,"Cancelled")+COUNTIF(Y94,"Cancelled")+COUNTIF(AC94,"Cancelled")+COUNTIF(AG94,"Cancelled")+COUNTIF(AK94,"Cancelled")&gt;0,"Cancelled",IF(E94="All Stages Closed","Completed",IF(E94="S1 Schematic",M94,IF(E94="S2 PCB Layout",Q94,IF(E94="S3 SI &amp; PI",U94,IF(E94="S4 Bare-PCB Fab",Y94,IF(E94="S5 Assembly",AC94,IF(E94="S6 Bring-up",AG94,AK94)))))))))</f>
        <v/>
      </c>
      <c r="G94" s="33" t="str">
        <f aca="false">IF($C94="","",IF(E94="All Stages Closed","",IF(E94="S1 Schematic",IF(N94="","Not added",N94),IF(E94="S2 PCB Layout",IF(R94="","Not added",R94),IF(E94="S3 SI &amp; PI",IF(V94="","Not added",V94),IF(E94="S4 Bare-PCB Fab",IF(Z94="","Not added",Z94),IF(E94="S5 Assembly",IF(AD94="","Not added",AD94),IF(E94="S6 Bring-up",IF(AH94="","Not added",AH94),IF(AL94="","Not added",AL94)))))))))</f>
        <v/>
      </c>
      <c r="H94" s="32" t="str">
        <f aca="true">IF($C94="","",IF(OR(F94="Completed",F94="Cancelled"),"",IF(NOT(ISNUMBER(G94)),"No date set",IF(TODAY()&gt;G94,TODAY()-G94&amp;" days late",G94-TODAY()&amp;" days left"))))</f>
        <v/>
      </c>
      <c r="I94" s="31" t="str">
        <f aca="false">IF($C94="","",COUNTIF(M94,"Completed")+COUNTIF(Q94,"Completed")+COUNTIF(U94,"Completed")+COUNTIF(Y94,"Completed")+COUNTIF(AC94,"Completed")+COUNTIF(AG94,"Completed")+COUNTIF(AK94,"Completed"))</f>
        <v/>
      </c>
      <c r="J94" s="31" t="str">
        <f aca="false">IF($C94="","",7-(COUNTIF(M94,"NA")+COUNTIF(Q94,"NA")+COUNTIF(U94,"NA")+COUNTIF(Y94,"NA")+COUNTIF(AC94,"NA")+COUNTIF(AG94,"NA")+COUNTIF(AK94,"NA")))</f>
        <v/>
      </c>
      <c r="K94" s="34" t="str">
        <f aca="false">IFERROR(I94/J94,"")</f>
        <v/>
      </c>
      <c r="L94" s="29"/>
      <c r="M94" s="35"/>
      <c r="N94" s="36"/>
      <c r="O94" s="36"/>
      <c r="P94" s="29"/>
      <c r="Q94" s="35"/>
      <c r="R94" s="36"/>
      <c r="S94" s="36"/>
      <c r="T94" s="29"/>
      <c r="U94" s="35"/>
      <c r="V94" s="36"/>
      <c r="W94" s="36"/>
      <c r="X94" s="29"/>
      <c r="Y94" s="35"/>
      <c r="Z94" s="36"/>
      <c r="AA94" s="36"/>
      <c r="AB94" s="29"/>
      <c r="AC94" s="35"/>
      <c r="AD94" s="36"/>
      <c r="AE94" s="36"/>
      <c r="AF94" s="29"/>
      <c r="AG94" s="35"/>
      <c r="AH94" s="36"/>
      <c r="AI94" s="36"/>
      <c r="AJ94" s="29"/>
      <c r="AK94" s="35"/>
      <c r="AL94" s="36"/>
      <c r="AM94" s="36"/>
      <c r="AN94" s="29"/>
      <c r="AO94" s="29"/>
      <c r="AP94" s="29"/>
      <c r="AQ94" s="37"/>
      <c r="AR94" s="29"/>
      <c r="AS94" s="38" t="str">
        <f aca="false">IF($C94="","",IF(OR(F94="Completed",F94="Cancelled"),"",IF(AND(OR(F94="On Hold",ISNUMBER(VALUE(LEFT(H94,2)))),AR94=""),"Reason not given","")))</f>
        <v/>
      </c>
      <c r="AT94" s="30"/>
      <c r="AU94" s="30"/>
    </row>
    <row r="95" customFormat="false" ht="19.5" hidden="false" customHeight="true" outlineLevel="0" collapsed="false">
      <c r="A95" s="28" t="str">
        <f aca="false">IF($C95="","",COUNTA($C$17:$C95))</f>
        <v/>
      </c>
      <c r="B95" s="29"/>
      <c r="C95" s="30"/>
      <c r="D95" s="29"/>
      <c r="E95" s="31" t="str">
        <f aca="false">IF($C95="","",IF(NOT(OR(M95="Completed",M95="NA",M95="Cancelled")),"S1 Schematic",IF(NOT(OR(Q95="Completed",Q95="NA",Q95="Cancelled")),"S2 PCB Layout",IF(NOT(OR(U95="Completed",U95="NA",U95="Cancelled")),"S3 SI &amp; PI",IF(NOT(OR(Y95="Completed",Y95="NA",Y95="Cancelled")),"S4 Bare-PCB Fab",IF(NOT(OR(AC95="Completed",AC95="NA",AC95="Cancelled")),"S5 Assembly",IF(NOT(OR(AG95="Completed",AG95="NA",AG95="Cancelled")),"S6 Bring-up",IF(NOT(OR(AK95="Completed",AK95="NA",AK95="Cancelled")),"S7 BOM Procurement","All Stages Closed"))))))))</f>
        <v/>
      </c>
      <c r="F95" s="32" t="str">
        <f aca="false">IF($C95="","",IF(COUNTIF(M95,"Cancelled")+COUNTIF(Q95,"Cancelled")+COUNTIF(U95,"Cancelled")+COUNTIF(Y95,"Cancelled")+COUNTIF(AC95,"Cancelled")+COUNTIF(AG95,"Cancelled")+COUNTIF(AK95,"Cancelled")&gt;0,"Cancelled",IF(E95="All Stages Closed","Completed",IF(E95="S1 Schematic",M95,IF(E95="S2 PCB Layout",Q95,IF(E95="S3 SI &amp; PI",U95,IF(E95="S4 Bare-PCB Fab",Y95,IF(E95="S5 Assembly",AC95,IF(E95="S6 Bring-up",AG95,AK95)))))))))</f>
        <v/>
      </c>
      <c r="G95" s="33" t="str">
        <f aca="false">IF($C95="","",IF(E95="All Stages Closed","",IF(E95="S1 Schematic",IF(N95="","Not added",N95),IF(E95="S2 PCB Layout",IF(R95="","Not added",R95),IF(E95="S3 SI &amp; PI",IF(V95="","Not added",V95),IF(E95="S4 Bare-PCB Fab",IF(Z95="","Not added",Z95),IF(E95="S5 Assembly",IF(AD95="","Not added",AD95),IF(E95="S6 Bring-up",IF(AH95="","Not added",AH95),IF(AL95="","Not added",AL95)))))))))</f>
        <v/>
      </c>
      <c r="H95" s="32" t="str">
        <f aca="true">IF($C95="","",IF(OR(F95="Completed",F95="Cancelled"),"",IF(NOT(ISNUMBER(G95)),"No date set",IF(TODAY()&gt;G95,TODAY()-G95&amp;" days late",G95-TODAY()&amp;" days left"))))</f>
        <v/>
      </c>
      <c r="I95" s="31" t="str">
        <f aca="false">IF($C95="","",COUNTIF(M95,"Completed")+COUNTIF(Q95,"Completed")+COUNTIF(U95,"Completed")+COUNTIF(Y95,"Completed")+COUNTIF(AC95,"Completed")+COUNTIF(AG95,"Completed")+COUNTIF(AK95,"Completed"))</f>
        <v/>
      </c>
      <c r="J95" s="31" t="str">
        <f aca="false">IF($C95="","",7-(COUNTIF(M95,"NA")+COUNTIF(Q95,"NA")+COUNTIF(U95,"NA")+COUNTIF(Y95,"NA")+COUNTIF(AC95,"NA")+COUNTIF(AG95,"NA")+COUNTIF(AK95,"NA")))</f>
        <v/>
      </c>
      <c r="K95" s="34" t="str">
        <f aca="false">IFERROR(I95/J95,"")</f>
        <v/>
      </c>
      <c r="L95" s="29"/>
      <c r="M95" s="35"/>
      <c r="N95" s="36"/>
      <c r="O95" s="36"/>
      <c r="P95" s="29"/>
      <c r="Q95" s="35"/>
      <c r="R95" s="36"/>
      <c r="S95" s="36"/>
      <c r="T95" s="29"/>
      <c r="U95" s="35"/>
      <c r="V95" s="36"/>
      <c r="W95" s="36"/>
      <c r="X95" s="29"/>
      <c r="Y95" s="35"/>
      <c r="Z95" s="36"/>
      <c r="AA95" s="36"/>
      <c r="AB95" s="29"/>
      <c r="AC95" s="35"/>
      <c r="AD95" s="36"/>
      <c r="AE95" s="36"/>
      <c r="AF95" s="29"/>
      <c r="AG95" s="35"/>
      <c r="AH95" s="36"/>
      <c r="AI95" s="36"/>
      <c r="AJ95" s="29"/>
      <c r="AK95" s="35"/>
      <c r="AL95" s="36"/>
      <c r="AM95" s="36"/>
      <c r="AN95" s="29"/>
      <c r="AO95" s="29"/>
      <c r="AP95" s="29"/>
      <c r="AQ95" s="37"/>
      <c r="AR95" s="29"/>
      <c r="AS95" s="38" t="str">
        <f aca="false">IF($C95="","",IF(OR(F95="Completed",F95="Cancelled"),"",IF(AND(OR(F95="On Hold",ISNUMBER(VALUE(LEFT(H95,2)))),AR95=""),"Reason not given","")))</f>
        <v/>
      </c>
      <c r="AT95" s="30"/>
      <c r="AU95" s="30"/>
    </row>
    <row r="96" customFormat="false" ht="19.5" hidden="false" customHeight="true" outlineLevel="0" collapsed="false">
      <c r="A96" s="28" t="str">
        <f aca="false">IF($C96="","",COUNTA($C$17:$C96))</f>
        <v/>
      </c>
      <c r="B96" s="29"/>
      <c r="C96" s="30"/>
      <c r="D96" s="29"/>
      <c r="E96" s="31" t="str">
        <f aca="false">IF($C96="","",IF(NOT(OR(M96="Completed",M96="NA",M96="Cancelled")),"S1 Schematic",IF(NOT(OR(Q96="Completed",Q96="NA",Q96="Cancelled")),"S2 PCB Layout",IF(NOT(OR(U96="Completed",U96="NA",U96="Cancelled")),"S3 SI &amp; PI",IF(NOT(OR(Y96="Completed",Y96="NA",Y96="Cancelled")),"S4 Bare-PCB Fab",IF(NOT(OR(AC96="Completed",AC96="NA",AC96="Cancelled")),"S5 Assembly",IF(NOT(OR(AG96="Completed",AG96="NA",AG96="Cancelled")),"S6 Bring-up",IF(NOT(OR(AK96="Completed",AK96="NA",AK96="Cancelled")),"S7 BOM Procurement","All Stages Closed"))))))))</f>
        <v/>
      </c>
      <c r="F96" s="32" t="str">
        <f aca="false">IF($C96="","",IF(COUNTIF(M96,"Cancelled")+COUNTIF(Q96,"Cancelled")+COUNTIF(U96,"Cancelled")+COUNTIF(Y96,"Cancelled")+COUNTIF(AC96,"Cancelled")+COUNTIF(AG96,"Cancelled")+COUNTIF(AK96,"Cancelled")&gt;0,"Cancelled",IF(E96="All Stages Closed","Completed",IF(E96="S1 Schematic",M96,IF(E96="S2 PCB Layout",Q96,IF(E96="S3 SI &amp; PI",U96,IF(E96="S4 Bare-PCB Fab",Y96,IF(E96="S5 Assembly",AC96,IF(E96="S6 Bring-up",AG96,AK96)))))))))</f>
        <v/>
      </c>
      <c r="G96" s="33" t="str">
        <f aca="false">IF($C96="","",IF(E96="All Stages Closed","",IF(E96="S1 Schematic",IF(N96="","Not added",N96),IF(E96="S2 PCB Layout",IF(R96="","Not added",R96),IF(E96="S3 SI &amp; PI",IF(V96="","Not added",V96),IF(E96="S4 Bare-PCB Fab",IF(Z96="","Not added",Z96),IF(E96="S5 Assembly",IF(AD96="","Not added",AD96),IF(E96="S6 Bring-up",IF(AH96="","Not added",AH96),IF(AL96="","Not added",AL96)))))))))</f>
        <v/>
      </c>
      <c r="H96" s="32" t="str">
        <f aca="true">IF($C96="","",IF(OR(F96="Completed",F96="Cancelled"),"",IF(NOT(ISNUMBER(G96)),"No date set",IF(TODAY()&gt;G96,TODAY()-G96&amp;" days late",G96-TODAY()&amp;" days left"))))</f>
        <v/>
      </c>
      <c r="I96" s="31" t="str">
        <f aca="false">IF($C96="","",COUNTIF(M96,"Completed")+COUNTIF(Q96,"Completed")+COUNTIF(U96,"Completed")+COUNTIF(Y96,"Completed")+COUNTIF(AC96,"Completed")+COUNTIF(AG96,"Completed")+COUNTIF(AK96,"Completed"))</f>
        <v/>
      </c>
      <c r="J96" s="31" t="str">
        <f aca="false">IF($C96="","",7-(COUNTIF(M96,"NA")+COUNTIF(Q96,"NA")+COUNTIF(U96,"NA")+COUNTIF(Y96,"NA")+COUNTIF(AC96,"NA")+COUNTIF(AG96,"NA")+COUNTIF(AK96,"NA")))</f>
        <v/>
      </c>
      <c r="K96" s="34" t="str">
        <f aca="false">IFERROR(I96/J96,"")</f>
        <v/>
      </c>
      <c r="L96" s="29"/>
      <c r="M96" s="35"/>
      <c r="N96" s="36"/>
      <c r="O96" s="36"/>
      <c r="P96" s="29"/>
      <c r="Q96" s="35"/>
      <c r="R96" s="36"/>
      <c r="S96" s="36"/>
      <c r="T96" s="29"/>
      <c r="U96" s="35"/>
      <c r="V96" s="36"/>
      <c r="W96" s="36"/>
      <c r="X96" s="29"/>
      <c r="Y96" s="35"/>
      <c r="Z96" s="36"/>
      <c r="AA96" s="36"/>
      <c r="AB96" s="29"/>
      <c r="AC96" s="35"/>
      <c r="AD96" s="36"/>
      <c r="AE96" s="36"/>
      <c r="AF96" s="29"/>
      <c r="AG96" s="35"/>
      <c r="AH96" s="36"/>
      <c r="AI96" s="36"/>
      <c r="AJ96" s="29"/>
      <c r="AK96" s="35"/>
      <c r="AL96" s="36"/>
      <c r="AM96" s="36"/>
      <c r="AN96" s="29"/>
      <c r="AO96" s="29"/>
      <c r="AP96" s="29"/>
      <c r="AQ96" s="37"/>
      <c r="AR96" s="29"/>
      <c r="AS96" s="38" t="str">
        <f aca="false">IF($C96="","",IF(OR(F96="Completed",F96="Cancelled"),"",IF(AND(OR(F96="On Hold",ISNUMBER(VALUE(LEFT(H96,2)))),AR96=""),"Reason not given","")))</f>
        <v/>
      </c>
      <c r="AT96" s="30"/>
      <c r="AU96" s="30"/>
    </row>
    <row r="97" customFormat="false" ht="19.5" hidden="false" customHeight="true" outlineLevel="0" collapsed="false">
      <c r="A97" s="28" t="str">
        <f aca="false">IF($C97="","",COUNTA($C$17:$C97))</f>
        <v/>
      </c>
      <c r="B97" s="29"/>
      <c r="C97" s="30"/>
      <c r="D97" s="29"/>
      <c r="E97" s="31" t="str">
        <f aca="false">IF($C97="","",IF(NOT(OR(M97="Completed",M97="NA",M97="Cancelled")),"S1 Schematic",IF(NOT(OR(Q97="Completed",Q97="NA",Q97="Cancelled")),"S2 PCB Layout",IF(NOT(OR(U97="Completed",U97="NA",U97="Cancelled")),"S3 SI &amp; PI",IF(NOT(OR(Y97="Completed",Y97="NA",Y97="Cancelled")),"S4 Bare-PCB Fab",IF(NOT(OR(AC97="Completed",AC97="NA",AC97="Cancelled")),"S5 Assembly",IF(NOT(OR(AG97="Completed",AG97="NA",AG97="Cancelled")),"S6 Bring-up",IF(NOT(OR(AK97="Completed",AK97="NA",AK97="Cancelled")),"S7 BOM Procurement","All Stages Closed"))))))))</f>
        <v/>
      </c>
      <c r="F97" s="32" t="str">
        <f aca="false">IF($C97="","",IF(COUNTIF(M97,"Cancelled")+COUNTIF(Q97,"Cancelled")+COUNTIF(U97,"Cancelled")+COUNTIF(Y97,"Cancelled")+COUNTIF(AC97,"Cancelled")+COUNTIF(AG97,"Cancelled")+COUNTIF(AK97,"Cancelled")&gt;0,"Cancelled",IF(E97="All Stages Closed","Completed",IF(E97="S1 Schematic",M97,IF(E97="S2 PCB Layout",Q97,IF(E97="S3 SI &amp; PI",U97,IF(E97="S4 Bare-PCB Fab",Y97,IF(E97="S5 Assembly",AC97,IF(E97="S6 Bring-up",AG97,AK97)))))))))</f>
        <v/>
      </c>
      <c r="G97" s="33" t="str">
        <f aca="false">IF($C97="","",IF(E97="All Stages Closed","",IF(E97="S1 Schematic",IF(N97="","Not added",N97),IF(E97="S2 PCB Layout",IF(R97="","Not added",R97),IF(E97="S3 SI &amp; PI",IF(V97="","Not added",V97),IF(E97="S4 Bare-PCB Fab",IF(Z97="","Not added",Z97),IF(E97="S5 Assembly",IF(AD97="","Not added",AD97),IF(E97="S6 Bring-up",IF(AH97="","Not added",AH97),IF(AL97="","Not added",AL97)))))))))</f>
        <v/>
      </c>
      <c r="H97" s="32" t="str">
        <f aca="true">IF($C97="","",IF(OR(F97="Completed",F97="Cancelled"),"",IF(NOT(ISNUMBER(G97)),"No date set",IF(TODAY()&gt;G97,TODAY()-G97&amp;" days late",G97-TODAY()&amp;" days left"))))</f>
        <v/>
      </c>
      <c r="I97" s="31" t="str">
        <f aca="false">IF($C97="","",COUNTIF(M97,"Completed")+COUNTIF(Q97,"Completed")+COUNTIF(U97,"Completed")+COUNTIF(Y97,"Completed")+COUNTIF(AC97,"Completed")+COUNTIF(AG97,"Completed")+COUNTIF(AK97,"Completed"))</f>
        <v/>
      </c>
      <c r="J97" s="31" t="str">
        <f aca="false">IF($C97="","",7-(COUNTIF(M97,"NA")+COUNTIF(Q97,"NA")+COUNTIF(U97,"NA")+COUNTIF(Y97,"NA")+COUNTIF(AC97,"NA")+COUNTIF(AG97,"NA")+COUNTIF(AK97,"NA")))</f>
        <v/>
      </c>
      <c r="K97" s="34" t="str">
        <f aca="false">IFERROR(I97/J97,"")</f>
        <v/>
      </c>
      <c r="L97" s="29"/>
      <c r="M97" s="35"/>
      <c r="N97" s="36"/>
      <c r="O97" s="36"/>
      <c r="P97" s="29"/>
      <c r="Q97" s="35"/>
      <c r="R97" s="36"/>
      <c r="S97" s="36"/>
      <c r="T97" s="29"/>
      <c r="U97" s="35"/>
      <c r="V97" s="36"/>
      <c r="W97" s="36"/>
      <c r="X97" s="29"/>
      <c r="Y97" s="35"/>
      <c r="Z97" s="36"/>
      <c r="AA97" s="36"/>
      <c r="AB97" s="29"/>
      <c r="AC97" s="35"/>
      <c r="AD97" s="36"/>
      <c r="AE97" s="36"/>
      <c r="AF97" s="29"/>
      <c r="AG97" s="35"/>
      <c r="AH97" s="36"/>
      <c r="AI97" s="36"/>
      <c r="AJ97" s="29"/>
      <c r="AK97" s="35"/>
      <c r="AL97" s="36"/>
      <c r="AM97" s="36"/>
      <c r="AN97" s="29"/>
      <c r="AO97" s="29"/>
      <c r="AP97" s="29"/>
      <c r="AQ97" s="37"/>
      <c r="AR97" s="29"/>
      <c r="AS97" s="38" t="str">
        <f aca="false">IF($C97="","",IF(OR(F97="Completed",F97="Cancelled"),"",IF(AND(OR(F97="On Hold",ISNUMBER(VALUE(LEFT(H97,2)))),AR97=""),"Reason not given","")))</f>
        <v/>
      </c>
      <c r="AT97" s="30"/>
      <c r="AU97" s="30"/>
    </row>
    <row r="98" customFormat="false" ht="19.5" hidden="false" customHeight="true" outlineLevel="0" collapsed="false">
      <c r="A98" s="28" t="str">
        <f aca="false">IF($C98="","",COUNTA($C$17:$C98))</f>
        <v/>
      </c>
      <c r="B98" s="29"/>
      <c r="C98" s="30"/>
      <c r="D98" s="29"/>
      <c r="E98" s="31" t="str">
        <f aca="false">IF($C98="","",IF(NOT(OR(M98="Completed",M98="NA",M98="Cancelled")),"S1 Schematic",IF(NOT(OR(Q98="Completed",Q98="NA",Q98="Cancelled")),"S2 PCB Layout",IF(NOT(OR(U98="Completed",U98="NA",U98="Cancelled")),"S3 SI &amp; PI",IF(NOT(OR(Y98="Completed",Y98="NA",Y98="Cancelled")),"S4 Bare-PCB Fab",IF(NOT(OR(AC98="Completed",AC98="NA",AC98="Cancelled")),"S5 Assembly",IF(NOT(OR(AG98="Completed",AG98="NA",AG98="Cancelled")),"S6 Bring-up",IF(NOT(OR(AK98="Completed",AK98="NA",AK98="Cancelled")),"S7 BOM Procurement","All Stages Closed"))))))))</f>
        <v/>
      </c>
      <c r="F98" s="32" t="str">
        <f aca="false">IF($C98="","",IF(COUNTIF(M98,"Cancelled")+COUNTIF(Q98,"Cancelled")+COUNTIF(U98,"Cancelled")+COUNTIF(Y98,"Cancelled")+COUNTIF(AC98,"Cancelled")+COUNTIF(AG98,"Cancelled")+COUNTIF(AK98,"Cancelled")&gt;0,"Cancelled",IF(E98="All Stages Closed","Completed",IF(E98="S1 Schematic",M98,IF(E98="S2 PCB Layout",Q98,IF(E98="S3 SI &amp; PI",U98,IF(E98="S4 Bare-PCB Fab",Y98,IF(E98="S5 Assembly",AC98,IF(E98="S6 Bring-up",AG98,AK98)))))))))</f>
        <v/>
      </c>
      <c r="G98" s="33" t="str">
        <f aca="false">IF($C98="","",IF(E98="All Stages Closed","",IF(E98="S1 Schematic",IF(N98="","Not added",N98),IF(E98="S2 PCB Layout",IF(R98="","Not added",R98),IF(E98="S3 SI &amp; PI",IF(V98="","Not added",V98),IF(E98="S4 Bare-PCB Fab",IF(Z98="","Not added",Z98),IF(E98="S5 Assembly",IF(AD98="","Not added",AD98),IF(E98="S6 Bring-up",IF(AH98="","Not added",AH98),IF(AL98="","Not added",AL98)))))))))</f>
        <v/>
      </c>
      <c r="H98" s="32" t="str">
        <f aca="true">IF($C98="","",IF(OR(F98="Completed",F98="Cancelled"),"",IF(NOT(ISNUMBER(G98)),"No date set",IF(TODAY()&gt;G98,TODAY()-G98&amp;" days late",G98-TODAY()&amp;" days left"))))</f>
        <v/>
      </c>
      <c r="I98" s="31" t="str">
        <f aca="false">IF($C98="","",COUNTIF(M98,"Completed")+COUNTIF(Q98,"Completed")+COUNTIF(U98,"Completed")+COUNTIF(Y98,"Completed")+COUNTIF(AC98,"Completed")+COUNTIF(AG98,"Completed")+COUNTIF(AK98,"Completed"))</f>
        <v/>
      </c>
      <c r="J98" s="31" t="str">
        <f aca="false">IF($C98="","",7-(COUNTIF(M98,"NA")+COUNTIF(Q98,"NA")+COUNTIF(U98,"NA")+COUNTIF(Y98,"NA")+COUNTIF(AC98,"NA")+COUNTIF(AG98,"NA")+COUNTIF(AK98,"NA")))</f>
        <v/>
      </c>
      <c r="K98" s="34" t="str">
        <f aca="false">IFERROR(I98/J98,"")</f>
        <v/>
      </c>
      <c r="L98" s="29"/>
      <c r="M98" s="35"/>
      <c r="N98" s="36"/>
      <c r="O98" s="36"/>
      <c r="P98" s="29"/>
      <c r="Q98" s="35"/>
      <c r="R98" s="36"/>
      <c r="S98" s="36"/>
      <c r="T98" s="29"/>
      <c r="U98" s="35"/>
      <c r="V98" s="36"/>
      <c r="W98" s="36"/>
      <c r="X98" s="29"/>
      <c r="Y98" s="35"/>
      <c r="Z98" s="36"/>
      <c r="AA98" s="36"/>
      <c r="AB98" s="29"/>
      <c r="AC98" s="35"/>
      <c r="AD98" s="36"/>
      <c r="AE98" s="36"/>
      <c r="AF98" s="29"/>
      <c r="AG98" s="35"/>
      <c r="AH98" s="36"/>
      <c r="AI98" s="36"/>
      <c r="AJ98" s="29"/>
      <c r="AK98" s="35"/>
      <c r="AL98" s="36"/>
      <c r="AM98" s="36"/>
      <c r="AN98" s="29"/>
      <c r="AO98" s="29"/>
      <c r="AP98" s="29"/>
      <c r="AQ98" s="37"/>
      <c r="AR98" s="29"/>
      <c r="AS98" s="38" t="str">
        <f aca="false">IF($C98="","",IF(OR(F98="Completed",F98="Cancelled"),"",IF(AND(OR(F98="On Hold",ISNUMBER(VALUE(LEFT(H98,2)))),AR98=""),"Reason not given","")))</f>
        <v/>
      </c>
      <c r="AT98" s="30"/>
      <c r="AU98" s="30"/>
    </row>
    <row r="99" customFormat="false" ht="19.5" hidden="false" customHeight="true" outlineLevel="0" collapsed="false">
      <c r="A99" s="28" t="str">
        <f aca="false">IF($C99="","",COUNTA($C$17:$C99))</f>
        <v/>
      </c>
      <c r="B99" s="29"/>
      <c r="C99" s="30"/>
      <c r="D99" s="29"/>
      <c r="E99" s="31" t="str">
        <f aca="false">IF($C99="","",IF(NOT(OR(M99="Completed",M99="NA",M99="Cancelled")),"S1 Schematic",IF(NOT(OR(Q99="Completed",Q99="NA",Q99="Cancelled")),"S2 PCB Layout",IF(NOT(OR(U99="Completed",U99="NA",U99="Cancelled")),"S3 SI &amp; PI",IF(NOT(OR(Y99="Completed",Y99="NA",Y99="Cancelled")),"S4 Bare-PCB Fab",IF(NOT(OR(AC99="Completed",AC99="NA",AC99="Cancelled")),"S5 Assembly",IF(NOT(OR(AG99="Completed",AG99="NA",AG99="Cancelled")),"S6 Bring-up",IF(NOT(OR(AK99="Completed",AK99="NA",AK99="Cancelled")),"S7 BOM Procurement","All Stages Closed"))))))))</f>
        <v/>
      </c>
      <c r="F99" s="32" t="str">
        <f aca="false">IF($C99="","",IF(COUNTIF(M99,"Cancelled")+COUNTIF(Q99,"Cancelled")+COUNTIF(U99,"Cancelled")+COUNTIF(Y99,"Cancelled")+COUNTIF(AC99,"Cancelled")+COUNTIF(AG99,"Cancelled")+COUNTIF(AK99,"Cancelled")&gt;0,"Cancelled",IF(E99="All Stages Closed","Completed",IF(E99="S1 Schematic",M99,IF(E99="S2 PCB Layout",Q99,IF(E99="S3 SI &amp; PI",U99,IF(E99="S4 Bare-PCB Fab",Y99,IF(E99="S5 Assembly",AC99,IF(E99="S6 Bring-up",AG99,AK99)))))))))</f>
        <v/>
      </c>
      <c r="G99" s="33" t="str">
        <f aca="false">IF($C99="","",IF(E99="All Stages Closed","",IF(E99="S1 Schematic",IF(N99="","Not added",N99),IF(E99="S2 PCB Layout",IF(R99="","Not added",R99),IF(E99="S3 SI &amp; PI",IF(V99="","Not added",V99),IF(E99="S4 Bare-PCB Fab",IF(Z99="","Not added",Z99),IF(E99="S5 Assembly",IF(AD99="","Not added",AD99),IF(E99="S6 Bring-up",IF(AH99="","Not added",AH99),IF(AL99="","Not added",AL99)))))))))</f>
        <v/>
      </c>
      <c r="H99" s="32" t="str">
        <f aca="true">IF($C99="","",IF(OR(F99="Completed",F99="Cancelled"),"",IF(NOT(ISNUMBER(G99)),"No date set",IF(TODAY()&gt;G99,TODAY()-G99&amp;" days late",G99-TODAY()&amp;" days left"))))</f>
        <v/>
      </c>
      <c r="I99" s="31" t="str">
        <f aca="false">IF($C99="","",COUNTIF(M99,"Completed")+COUNTIF(Q99,"Completed")+COUNTIF(U99,"Completed")+COUNTIF(Y99,"Completed")+COUNTIF(AC99,"Completed")+COUNTIF(AG99,"Completed")+COUNTIF(AK99,"Completed"))</f>
        <v/>
      </c>
      <c r="J99" s="31" t="str">
        <f aca="false">IF($C99="","",7-(COUNTIF(M99,"NA")+COUNTIF(Q99,"NA")+COUNTIF(U99,"NA")+COUNTIF(Y99,"NA")+COUNTIF(AC99,"NA")+COUNTIF(AG99,"NA")+COUNTIF(AK99,"NA")))</f>
        <v/>
      </c>
      <c r="K99" s="34" t="str">
        <f aca="false">IFERROR(I99/J99,"")</f>
        <v/>
      </c>
      <c r="L99" s="29"/>
      <c r="M99" s="35"/>
      <c r="N99" s="36"/>
      <c r="O99" s="36"/>
      <c r="P99" s="29"/>
      <c r="Q99" s="35"/>
      <c r="R99" s="36"/>
      <c r="S99" s="36"/>
      <c r="T99" s="29"/>
      <c r="U99" s="35"/>
      <c r="V99" s="36"/>
      <c r="W99" s="36"/>
      <c r="X99" s="29"/>
      <c r="Y99" s="35"/>
      <c r="Z99" s="36"/>
      <c r="AA99" s="36"/>
      <c r="AB99" s="29"/>
      <c r="AC99" s="35"/>
      <c r="AD99" s="36"/>
      <c r="AE99" s="36"/>
      <c r="AF99" s="29"/>
      <c r="AG99" s="35"/>
      <c r="AH99" s="36"/>
      <c r="AI99" s="36"/>
      <c r="AJ99" s="29"/>
      <c r="AK99" s="35"/>
      <c r="AL99" s="36"/>
      <c r="AM99" s="36"/>
      <c r="AN99" s="29"/>
      <c r="AO99" s="29"/>
      <c r="AP99" s="29"/>
      <c r="AQ99" s="37"/>
      <c r="AR99" s="29"/>
      <c r="AS99" s="38" t="str">
        <f aca="false">IF($C99="","",IF(OR(F99="Completed",F99="Cancelled"),"",IF(AND(OR(F99="On Hold",ISNUMBER(VALUE(LEFT(H99,2)))),AR99=""),"Reason not given","")))</f>
        <v/>
      </c>
      <c r="AT99" s="30"/>
      <c r="AU99" s="30"/>
    </row>
    <row r="100" customFormat="false" ht="19.5" hidden="false" customHeight="true" outlineLevel="0" collapsed="false">
      <c r="A100" s="28" t="str">
        <f aca="false">IF($C100="","",COUNTA($C$17:$C100))</f>
        <v/>
      </c>
      <c r="B100" s="29"/>
      <c r="C100" s="30"/>
      <c r="D100" s="29"/>
      <c r="E100" s="31" t="str">
        <f aca="false">IF($C100="","",IF(NOT(OR(M100="Completed",M100="NA",M100="Cancelled")),"S1 Schematic",IF(NOT(OR(Q100="Completed",Q100="NA",Q100="Cancelled")),"S2 PCB Layout",IF(NOT(OR(U100="Completed",U100="NA",U100="Cancelled")),"S3 SI &amp; PI",IF(NOT(OR(Y100="Completed",Y100="NA",Y100="Cancelled")),"S4 Bare-PCB Fab",IF(NOT(OR(AC100="Completed",AC100="NA",AC100="Cancelled")),"S5 Assembly",IF(NOT(OR(AG100="Completed",AG100="NA",AG100="Cancelled")),"S6 Bring-up",IF(NOT(OR(AK100="Completed",AK100="NA",AK100="Cancelled")),"S7 BOM Procurement","All Stages Closed"))))))))</f>
        <v/>
      </c>
      <c r="F100" s="32" t="str">
        <f aca="false">IF($C100="","",IF(COUNTIF(M100,"Cancelled")+COUNTIF(Q100,"Cancelled")+COUNTIF(U100,"Cancelled")+COUNTIF(Y100,"Cancelled")+COUNTIF(AC100,"Cancelled")+COUNTIF(AG100,"Cancelled")+COUNTIF(AK100,"Cancelled")&gt;0,"Cancelled",IF(E100="All Stages Closed","Completed",IF(E100="S1 Schematic",M100,IF(E100="S2 PCB Layout",Q100,IF(E100="S3 SI &amp; PI",U100,IF(E100="S4 Bare-PCB Fab",Y100,IF(E100="S5 Assembly",AC100,IF(E100="S6 Bring-up",AG100,AK100)))))))))</f>
        <v/>
      </c>
      <c r="G100" s="33" t="str">
        <f aca="false">IF($C100="","",IF(E100="All Stages Closed","",IF(E100="S1 Schematic",IF(N100="","Not added",N100),IF(E100="S2 PCB Layout",IF(R100="","Not added",R100),IF(E100="S3 SI &amp; PI",IF(V100="","Not added",V100),IF(E100="S4 Bare-PCB Fab",IF(Z100="","Not added",Z100),IF(E100="S5 Assembly",IF(AD100="","Not added",AD100),IF(E100="S6 Bring-up",IF(AH100="","Not added",AH100),IF(AL100="","Not added",AL100)))))))))</f>
        <v/>
      </c>
      <c r="H100" s="32" t="str">
        <f aca="true">IF($C100="","",IF(OR(F100="Completed",F100="Cancelled"),"",IF(NOT(ISNUMBER(G100)),"No date set",IF(TODAY()&gt;G100,TODAY()-G100&amp;" days late",G100-TODAY()&amp;" days left"))))</f>
        <v/>
      </c>
      <c r="I100" s="31" t="str">
        <f aca="false">IF($C100="","",COUNTIF(M100,"Completed")+COUNTIF(Q100,"Completed")+COUNTIF(U100,"Completed")+COUNTIF(Y100,"Completed")+COUNTIF(AC100,"Completed")+COUNTIF(AG100,"Completed")+COUNTIF(AK100,"Completed"))</f>
        <v/>
      </c>
      <c r="J100" s="31" t="str">
        <f aca="false">IF($C100="","",7-(COUNTIF(M100,"NA")+COUNTIF(Q100,"NA")+COUNTIF(U100,"NA")+COUNTIF(Y100,"NA")+COUNTIF(AC100,"NA")+COUNTIF(AG100,"NA")+COUNTIF(AK100,"NA")))</f>
        <v/>
      </c>
      <c r="K100" s="34" t="str">
        <f aca="false">IFERROR(I100/J100,"")</f>
        <v/>
      </c>
      <c r="L100" s="29"/>
      <c r="M100" s="35"/>
      <c r="N100" s="36"/>
      <c r="O100" s="36"/>
      <c r="P100" s="29"/>
      <c r="Q100" s="35"/>
      <c r="R100" s="36"/>
      <c r="S100" s="36"/>
      <c r="T100" s="29"/>
      <c r="U100" s="35"/>
      <c r="V100" s="36"/>
      <c r="W100" s="36"/>
      <c r="X100" s="29"/>
      <c r="Y100" s="35"/>
      <c r="Z100" s="36"/>
      <c r="AA100" s="36"/>
      <c r="AB100" s="29"/>
      <c r="AC100" s="35"/>
      <c r="AD100" s="36"/>
      <c r="AE100" s="36"/>
      <c r="AF100" s="29"/>
      <c r="AG100" s="35"/>
      <c r="AH100" s="36"/>
      <c r="AI100" s="36"/>
      <c r="AJ100" s="29"/>
      <c r="AK100" s="35"/>
      <c r="AL100" s="36"/>
      <c r="AM100" s="36"/>
      <c r="AN100" s="29"/>
      <c r="AO100" s="29"/>
      <c r="AP100" s="29"/>
      <c r="AQ100" s="37"/>
      <c r="AR100" s="29"/>
      <c r="AS100" s="38" t="str">
        <f aca="false">IF($C100="","",IF(OR(F100="Completed",F100="Cancelled"),"",IF(AND(OR(F100="On Hold",ISNUMBER(VALUE(LEFT(H100,2)))),AR100=""),"Reason not given","")))</f>
        <v/>
      </c>
      <c r="AT100" s="30"/>
      <c r="AU100" s="30"/>
    </row>
    <row r="101" customFormat="false" ht="19.5" hidden="false" customHeight="true" outlineLevel="0" collapsed="false">
      <c r="A101" s="28" t="str">
        <f aca="false">IF($C101="","",COUNTA($C$17:$C101))</f>
        <v/>
      </c>
      <c r="B101" s="29"/>
      <c r="C101" s="30"/>
      <c r="D101" s="29"/>
      <c r="E101" s="31" t="str">
        <f aca="false">IF($C101="","",IF(NOT(OR(M101="Completed",M101="NA",M101="Cancelled")),"S1 Schematic",IF(NOT(OR(Q101="Completed",Q101="NA",Q101="Cancelled")),"S2 PCB Layout",IF(NOT(OR(U101="Completed",U101="NA",U101="Cancelled")),"S3 SI &amp; PI",IF(NOT(OR(Y101="Completed",Y101="NA",Y101="Cancelled")),"S4 Bare-PCB Fab",IF(NOT(OR(AC101="Completed",AC101="NA",AC101="Cancelled")),"S5 Assembly",IF(NOT(OR(AG101="Completed",AG101="NA",AG101="Cancelled")),"S6 Bring-up",IF(NOT(OR(AK101="Completed",AK101="NA",AK101="Cancelled")),"S7 BOM Procurement","All Stages Closed"))))))))</f>
        <v/>
      </c>
      <c r="F101" s="32" t="str">
        <f aca="false">IF($C101="","",IF(COUNTIF(M101,"Cancelled")+COUNTIF(Q101,"Cancelled")+COUNTIF(U101,"Cancelled")+COUNTIF(Y101,"Cancelled")+COUNTIF(AC101,"Cancelled")+COUNTIF(AG101,"Cancelled")+COUNTIF(AK101,"Cancelled")&gt;0,"Cancelled",IF(E101="All Stages Closed","Completed",IF(E101="S1 Schematic",M101,IF(E101="S2 PCB Layout",Q101,IF(E101="S3 SI &amp; PI",U101,IF(E101="S4 Bare-PCB Fab",Y101,IF(E101="S5 Assembly",AC101,IF(E101="S6 Bring-up",AG101,AK101)))))))))</f>
        <v/>
      </c>
      <c r="G101" s="33" t="str">
        <f aca="false">IF($C101="","",IF(E101="All Stages Closed","",IF(E101="S1 Schematic",IF(N101="","Not added",N101),IF(E101="S2 PCB Layout",IF(R101="","Not added",R101),IF(E101="S3 SI &amp; PI",IF(V101="","Not added",V101),IF(E101="S4 Bare-PCB Fab",IF(Z101="","Not added",Z101),IF(E101="S5 Assembly",IF(AD101="","Not added",AD101),IF(E101="S6 Bring-up",IF(AH101="","Not added",AH101),IF(AL101="","Not added",AL101)))))))))</f>
        <v/>
      </c>
      <c r="H101" s="32" t="str">
        <f aca="true">IF($C101="","",IF(OR(F101="Completed",F101="Cancelled"),"",IF(NOT(ISNUMBER(G101)),"No date set",IF(TODAY()&gt;G101,TODAY()-G101&amp;" days late",G101-TODAY()&amp;" days left"))))</f>
        <v/>
      </c>
      <c r="I101" s="31" t="str">
        <f aca="false">IF($C101="","",COUNTIF(M101,"Completed")+COUNTIF(Q101,"Completed")+COUNTIF(U101,"Completed")+COUNTIF(Y101,"Completed")+COUNTIF(AC101,"Completed")+COUNTIF(AG101,"Completed")+COUNTIF(AK101,"Completed"))</f>
        <v/>
      </c>
      <c r="J101" s="31" t="str">
        <f aca="false">IF($C101="","",7-(COUNTIF(M101,"NA")+COUNTIF(Q101,"NA")+COUNTIF(U101,"NA")+COUNTIF(Y101,"NA")+COUNTIF(AC101,"NA")+COUNTIF(AG101,"NA")+COUNTIF(AK101,"NA")))</f>
        <v/>
      </c>
      <c r="K101" s="34" t="str">
        <f aca="false">IFERROR(I101/J101,"")</f>
        <v/>
      </c>
      <c r="L101" s="29"/>
      <c r="M101" s="35"/>
      <c r="N101" s="36"/>
      <c r="O101" s="36"/>
      <c r="P101" s="29"/>
      <c r="Q101" s="35"/>
      <c r="R101" s="36"/>
      <c r="S101" s="36"/>
      <c r="T101" s="29"/>
      <c r="U101" s="35"/>
      <c r="V101" s="36"/>
      <c r="W101" s="36"/>
      <c r="X101" s="29"/>
      <c r="Y101" s="35"/>
      <c r="Z101" s="36"/>
      <c r="AA101" s="36"/>
      <c r="AB101" s="29"/>
      <c r="AC101" s="35"/>
      <c r="AD101" s="36"/>
      <c r="AE101" s="36"/>
      <c r="AF101" s="29"/>
      <c r="AG101" s="35"/>
      <c r="AH101" s="36"/>
      <c r="AI101" s="36"/>
      <c r="AJ101" s="29"/>
      <c r="AK101" s="35"/>
      <c r="AL101" s="36"/>
      <c r="AM101" s="36"/>
      <c r="AN101" s="29"/>
      <c r="AO101" s="29"/>
      <c r="AP101" s="29"/>
      <c r="AQ101" s="37"/>
      <c r="AR101" s="29"/>
      <c r="AS101" s="38" t="str">
        <f aca="false">IF($C101="","",IF(OR(F101="Completed",F101="Cancelled"),"",IF(AND(OR(F101="On Hold",ISNUMBER(VALUE(LEFT(H101,2)))),AR101=""),"Reason not given","")))</f>
        <v/>
      </c>
      <c r="AT101" s="30"/>
      <c r="AU101" s="30"/>
    </row>
    <row r="102" customFormat="false" ht="19.5" hidden="false" customHeight="true" outlineLevel="0" collapsed="false">
      <c r="A102" s="28" t="str">
        <f aca="false">IF($C102="","",COUNTA($C$17:$C102))</f>
        <v/>
      </c>
      <c r="B102" s="29"/>
      <c r="C102" s="30"/>
      <c r="D102" s="29"/>
      <c r="E102" s="31" t="str">
        <f aca="false">IF($C102="","",IF(NOT(OR(M102="Completed",M102="NA",M102="Cancelled")),"S1 Schematic",IF(NOT(OR(Q102="Completed",Q102="NA",Q102="Cancelled")),"S2 PCB Layout",IF(NOT(OR(U102="Completed",U102="NA",U102="Cancelled")),"S3 SI &amp; PI",IF(NOT(OR(Y102="Completed",Y102="NA",Y102="Cancelled")),"S4 Bare-PCB Fab",IF(NOT(OR(AC102="Completed",AC102="NA",AC102="Cancelled")),"S5 Assembly",IF(NOT(OR(AG102="Completed",AG102="NA",AG102="Cancelled")),"S6 Bring-up",IF(NOT(OR(AK102="Completed",AK102="NA",AK102="Cancelled")),"S7 BOM Procurement","All Stages Closed"))))))))</f>
        <v/>
      </c>
      <c r="F102" s="32" t="str">
        <f aca="false">IF($C102="","",IF(COUNTIF(M102,"Cancelled")+COUNTIF(Q102,"Cancelled")+COUNTIF(U102,"Cancelled")+COUNTIF(Y102,"Cancelled")+COUNTIF(AC102,"Cancelled")+COUNTIF(AG102,"Cancelled")+COUNTIF(AK102,"Cancelled")&gt;0,"Cancelled",IF(E102="All Stages Closed","Completed",IF(E102="S1 Schematic",M102,IF(E102="S2 PCB Layout",Q102,IF(E102="S3 SI &amp; PI",U102,IF(E102="S4 Bare-PCB Fab",Y102,IF(E102="S5 Assembly",AC102,IF(E102="S6 Bring-up",AG102,AK102)))))))))</f>
        <v/>
      </c>
      <c r="G102" s="33" t="str">
        <f aca="false">IF($C102="","",IF(E102="All Stages Closed","",IF(E102="S1 Schematic",IF(N102="","Not added",N102),IF(E102="S2 PCB Layout",IF(R102="","Not added",R102),IF(E102="S3 SI &amp; PI",IF(V102="","Not added",V102),IF(E102="S4 Bare-PCB Fab",IF(Z102="","Not added",Z102),IF(E102="S5 Assembly",IF(AD102="","Not added",AD102),IF(E102="S6 Bring-up",IF(AH102="","Not added",AH102),IF(AL102="","Not added",AL102)))))))))</f>
        <v/>
      </c>
      <c r="H102" s="32" t="str">
        <f aca="true">IF($C102="","",IF(OR(F102="Completed",F102="Cancelled"),"",IF(NOT(ISNUMBER(G102)),"No date set",IF(TODAY()&gt;G102,TODAY()-G102&amp;" days late",G102-TODAY()&amp;" days left"))))</f>
        <v/>
      </c>
      <c r="I102" s="31" t="str">
        <f aca="false">IF($C102="","",COUNTIF(M102,"Completed")+COUNTIF(Q102,"Completed")+COUNTIF(U102,"Completed")+COUNTIF(Y102,"Completed")+COUNTIF(AC102,"Completed")+COUNTIF(AG102,"Completed")+COUNTIF(AK102,"Completed"))</f>
        <v/>
      </c>
      <c r="J102" s="31" t="str">
        <f aca="false">IF($C102="","",7-(COUNTIF(M102,"NA")+COUNTIF(Q102,"NA")+COUNTIF(U102,"NA")+COUNTIF(Y102,"NA")+COUNTIF(AC102,"NA")+COUNTIF(AG102,"NA")+COUNTIF(AK102,"NA")))</f>
        <v/>
      </c>
      <c r="K102" s="34" t="str">
        <f aca="false">IFERROR(I102/J102,"")</f>
        <v/>
      </c>
      <c r="L102" s="29"/>
      <c r="M102" s="35"/>
      <c r="N102" s="36"/>
      <c r="O102" s="36"/>
      <c r="P102" s="29"/>
      <c r="Q102" s="35"/>
      <c r="R102" s="36"/>
      <c r="S102" s="36"/>
      <c r="T102" s="29"/>
      <c r="U102" s="35"/>
      <c r="V102" s="36"/>
      <c r="W102" s="36"/>
      <c r="X102" s="29"/>
      <c r="Y102" s="35"/>
      <c r="Z102" s="36"/>
      <c r="AA102" s="36"/>
      <c r="AB102" s="29"/>
      <c r="AC102" s="35"/>
      <c r="AD102" s="36"/>
      <c r="AE102" s="36"/>
      <c r="AF102" s="29"/>
      <c r="AG102" s="35"/>
      <c r="AH102" s="36"/>
      <c r="AI102" s="36"/>
      <c r="AJ102" s="29"/>
      <c r="AK102" s="35"/>
      <c r="AL102" s="36"/>
      <c r="AM102" s="36"/>
      <c r="AN102" s="29"/>
      <c r="AO102" s="29"/>
      <c r="AP102" s="29"/>
      <c r="AQ102" s="37"/>
      <c r="AR102" s="29"/>
      <c r="AS102" s="38" t="str">
        <f aca="false">IF($C102="","",IF(OR(F102="Completed",F102="Cancelled"),"",IF(AND(OR(F102="On Hold",ISNUMBER(VALUE(LEFT(H102,2)))),AR102=""),"Reason not given","")))</f>
        <v/>
      </c>
      <c r="AT102" s="30"/>
      <c r="AU102" s="30"/>
    </row>
    <row r="103" customFormat="false" ht="19.5" hidden="false" customHeight="true" outlineLevel="0" collapsed="false">
      <c r="A103" s="28" t="str">
        <f aca="false">IF($C103="","",COUNTA($C$17:$C103))</f>
        <v/>
      </c>
      <c r="B103" s="29"/>
      <c r="C103" s="30"/>
      <c r="D103" s="29"/>
      <c r="E103" s="31" t="str">
        <f aca="false">IF($C103="","",IF(NOT(OR(M103="Completed",M103="NA",M103="Cancelled")),"S1 Schematic",IF(NOT(OR(Q103="Completed",Q103="NA",Q103="Cancelled")),"S2 PCB Layout",IF(NOT(OR(U103="Completed",U103="NA",U103="Cancelled")),"S3 SI &amp; PI",IF(NOT(OR(Y103="Completed",Y103="NA",Y103="Cancelled")),"S4 Bare-PCB Fab",IF(NOT(OR(AC103="Completed",AC103="NA",AC103="Cancelled")),"S5 Assembly",IF(NOT(OR(AG103="Completed",AG103="NA",AG103="Cancelled")),"S6 Bring-up",IF(NOT(OR(AK103="Completed",AK103="NA",AK103="Cancelled")),"S7 BOM Procurement","All Stages Closed"))))))))</f>
        <v/>
      </c>
      <c r="F103" s="32" t="str">
        <f aca="false">IF($C103="","",IF(COUNTIF(M103,"Cancelled")+COUNTIF(Q103,"Cancelled")+COUNTIF(U103,"Cancelled")+COUNTIF(Y103,"Cancelled")+COUNTIF(AC103,"Cancelled")+COUNTIF(AG103,"Cancelled")+COUNTIF(AK103,"Cancelled")&gt;0,"Cancelled",IF(E103="All Stages Closed","Completed",IF(E103="S1 Schematic",M103,IF(E103="S2 PCB Layout",Q103,IF(E103="S3 SI &amp; PI",U103,IF(E103="S4 Bare-PCB Fab",Y103,IF(E103="S5 Assembly",AC103,IF(E103="S6 Bring-up",AG103,AK103)))))))))</f>
        <v/>
      </c>
      <c r="G103" s="33" t="str">
        <f aca="false">IF($C103="","",IF(E103="All Stages Closed","",IF(E103="S1 Schematic",IF(N103="","Not added",N103),IF(E103="S2 PCB Layout",IF(R103="","Not added",R103),IF(E103="S3 SI &amp; PI",IF(V103="","Not added",V103),IF(E103="S4 Bare-PCB Fab",IF(Z103="","Not added",Z103),IF(E103="S5 Assembly",IF(AD103="","Not added",AD103),IF(E103="S6 Bring-up",IF(AH103="","Not added",AH103),IF(AL103="","Not added",AL103)))))))))</f>
        <v/>
      </c>
      <c r="H103" s="32" t="str">
        <f aca="true">IF($C103="","",IF(OR(F103="Completed",F103="Cancelled"),"",IF(NOT(ISNUMBER(G103)),"No date set",IF(TODAY()&gt;G103,TODAY()-G103&amp;" days late",G103-TODAY()&amp;" days left"))))</f>
        <v/>
      </c>
      <c r="I103" s="31" t="str">
        <f aca="false">IF($C103="","",COUNTIF(M103,"Completed")+COUNTIF(Q103,"Completed")+COUNTIF(U103,"Completed")+COUNTIF(Y103,"Completed")+COUNTIF(AC103,"Completed")+COUNTIF(AG103,"Completed")+COUNTIF(AK103,"Completed"))</f>
        <v/>
      </c>
      <c r="J103" s="31" t="str">
        <f aca="false">IF($C103="","",7-(COUNTIF(M103,"NA")+COUNTIF(Q103,"NA")+COUNTIF(U103,"NA")+COUNTIF(Y103,"NA")+COUNTIF(AC103,"NA")+COUNTIF(AG103,"NA")+COUNTIF(AK103,"NA")))</f>
        <v/>
      </c>
      <c r="K103" s="34" t="str">
        <f aca="false">IFERROR(I103/J103,"")</f>
        <v/>
      </c>
      <c r="L103" s="29"/>
      <c r="M103" s="35"/>
      <c r="N103" s="36"/>
      <c r="O103" s="36"/>
      <c r="P103" s="29"/>
      <c r="Q103" s="35"/>
      <c r="R103" s="36"/>
      <c r="S103" s="36"/>
      <c r="T103" s="29"/>
      <c r="U103" s="35"/>
      <c r="V103" s="36"/>
      <c r="W103" s="36"/>
      <c r="X103" s="29"/>
      <c r="Y103" s="35"/>
      <c r="Z103" s="36"/>
      <c r="AA103" s="36"/>
      <c r="AB103" s="29"/>
      <c r="AC103" s="35"/>
      <c r="AD103" s="36"/>
      <c r="AE103" s="36"/>
      <c r="AF103" s="29"/>
      <c r="AG103" s="35"/>
      <c r="AH103" s="36"/>
      <c r="AI103" s="36"/>
      <c r="AJ103" s="29"/>
      <c r="AK103" s="35"/>
      <c r="AL103" s="36"/>
      <c r="AM103" s="36"/>
      <c r="AN103" s="29"/>
      <c r="AO103" s="29"/>
      <c r="AP103" s="29"/>
      <c r="AQ103" s="37"/>
      <c r="AR103" s="29"/>
      <c r="AS103" s="38" t="str">
        <f aca="false">IF($C103="","",IF(OR(F103="Completed",F103="Cancelled"),"",IF(AND(OR(F103="On Hold",ISNUMBER(VALUE(LEFT(H103,2)))),AR103=""),"Reason not given","")))</f>
        <v/>
      </c>
      <c r="AT103" s="30"/>
      <c r="AU103" s="30"/>
    </row>
    <row r="104" customFormat="false" ht="19.5" hidden="false" customHeight="true" outlineLevel="0" collapsed="false">
      <c r="A104" s="28" t="str">
        <f aca="false">IF($C104="","",COUNTA($C$17:$C104))</f>
        <v/>
      </c>
      <c r="B104" s="29"/>
      <c r="C104" s="30"/>
      <c r="D104" s="29"/>
      <c r="E104" s="31" t="str">
        <f aca="false">IF($C104="","",IF(NOT(OR(M104="Completed",M104="NA",M104="Cancelled")),"S1 Schematic",IF(NOT(OR(Q104="Completed",Q104="NA",Q104="Cancelled")),"S2 PCB Layout",IF(NOT(OR(U104="Completed",U104="NA",U104="Cancelled")),"S3 SI &amp; PI",IF(NOT(OR(Y104="Completed",Y104="NA",Y104="Cancelled")),"S4 Bare-PCB Fab",IF(NOT(OR(AC104="Completed",AC104="NA",AC104="Cancelled")),"S5 Assembly",IF(NOT(OR(AG104="Completed",AG104="NA",AG104="Cancelled")),"S6 Bring-up",IF(NOT(OR(AK104="Completed",AK104="NA",AK104="Cancelled")),"S7 BOM Procurement","All Stages Closed"))))))))</f>
        <v/>
      </c>
      <c r="F104" s="32" t="str">
        <f aca="false">IF($C104="","",IF(COUNTIF(M104,"Cancelled")+COUNTIF(Q104,"Cancelled")+COUNTIF(U104,"Cancelled")+COUNTIF(Y104,"Cancelled")+COUNTIF(AC104,"Cancelled")+COUNTIF(AG104,"Cancelled")+COUNTIF(AK104,"Cancelled")&gt;0,"Cancelled",IF(E104="All Stages Closed","Completed",IF(E104="S1 Schematic",M104,IF(E104="S2 PCB Layout",Q104,IF(E104="S3 SI &amp; PI",U104,IF(E104="S4 Bare-PCB Fab",Y104,IF(E104="S5 Assembly",AC104,IF(E104="S6 Bring-up",AG104,AK104)))))))))</f>
        <v/>
      </c>
      <c r="G104" s="33" t="str">
        <f aca="false">IF($C104="","",IF(E104="All Stages Closed","",IF(E104="S1 Schematic",IF(N104="","Not added",N104),IF(E104="S2 PCB Layout",IF(R104="","Not added",R104),IF(E104="S3 SI &amp; PI",IF(V104="","Not added",V104),IF(E104="S4 Bare-PCB Fab",IF(Z104="","Not added",Z104),IF(E104="S5 Assembly",IF(AD104="","Not added",AD104),IF(E104="S6 Bring-up",IF(AH104="","Not added",AH104),IF(AL104="","Not added",AL104)))))))))</f>
        <v/>
      </c>
      <c r="H104" s="32" t="str">
        <f aca="true">IF($C104="","",IF(OR(F104="Completed",F104="Cancelled"),"",IF(NOT(ISNUMBER(G104)),"No date set",IF(TODAY()&gt;G104,TODAY()-G104&amp;" days late",G104-TODAY()&amp;" days left"))))</f>
        <v/>
      </c>
      <c r="I104" s="31" t="str">
        <f aca="false">IF($C104="","",COUNTIF(M104,"Completed")+COUNTIF(Q104,"Completed")+COUNTIF(U104,"Completed")+COUNTIF(Y104,"Completed")+COUNTIF(AC104,"Completed")+COUNTIF(AG104,"Completed")+COUNTIF(AK104,"Completed"))</f>
        <v/>
      </c>
      <c r="J104" s="31" t="str">
        <f aca="false">IF($C104="","",7-(COUNTIF(M104,"NA")+COUNTIF(Q104,"NA")+COUNTIF(U104,"NA")+COUNTIF(Y104,"NA")+COUNTIF(AC104,"NA")+COUNTIF(AG104,"NA")+COUNTIF(AK104,"NA")))</f>
        <v/>
      </c>
      <c r="K104" s="34" t="str">
        <f aca="false">IFERROR(I104/J104,"")</f>
        <v/>
      </c>
      <c r="L104" s="29"/>
      <c r="M104" s="35"/>
      <c r="N104" s="36"/>
      <c r="O104" s="36"/>
      <c r="P104" s="29"/>
      <c r="Q104" s="35"/>
      <c r="R104" s="36"/>
      <c r="S104" s="36"/>
      <c r="T104" s="29"/>
      <c r="U104" s="35"/>
      <c r="V104" s="36"/>
      <c r="W104" s="36"/>
      <c r="X104" s="29"/>
      <c r="Y104" s="35"/>
      <c r="Z104" s="36"/>
      <c r="AA104" s="36"/>
      <c r="AB104" s="29"/>
      <c r="AC104" s="35"/>
      <c r="AD104" s="36"/>
      <c r="AE104" s="36"/>
      <c r="AF104" s="29"/>
      <c r="AG104" s="35"/>
      <c r="AH104" s="36"/>
      <c r="AI104" s="36"/>
      <c r="AJ104" s="29"/>
      <c r="AK104" s="35"/>
      <c r="AL104" s="36"/>
      <c r="AM104" s="36"/>
      <c r="AN104" s="29"/>
      <c r="AO104" s="29"/>
      <c r="AP104" s="29"/>
      <c r="AQ104" s="37"/>
      <c r="AR104" s="29"/>
      <c r="AS104" s="38" t="str">
        <f aca="false">IF($C104="","",IF(OR(F104="Completed",F104="Cancelled"),"",IF(AND(OR(F104="On Hold",ISNUMBER(VALUE(LEFT(H104,2)))),AR104=""),"Reason not given","")))</f>
        <v/>
      </c>
      <c r="AT104" s="30"/>
      <c r="AU104" s="30"/>
    </row>
    <row r="105" customFormat="false" ht="19.5" hidden="false" customHeight="true" outlineLevel="0" collapsed="false">
      <c r="A105" s="28" t="str">
        <f aca="false">IF($C105="","",COUNTA($C$17:$C105))</f>
        <v/>
      </c>
      <c r="B105" s="29"/>
      <c r="C105" s="30"/>
      <c r="D105" s="29"/>
      <c r="E105" s="31" t="str">
        <f aca="false">IF($C105="","",IF(NOT(OR(M105="Completed",M105="NA",M105="Cancelled")),"S1 Schematic",IF(NOT(OR(Q105="Completed",Q105="NA",Q105="Cancelled")),"S2 PCB Layout",IF(NOT(OR(U105="Completed",U105="NA",U105="Cancelled")),"S3 SI &amp; PI",IF(NOT(OR(Y105="Completed",Y105="NA",Y105="Cancelled")),"S4 Bare-PCB Fab",IF(NOT(OR(AC105="Completed",AC105="NA",AC105="Cancelled")),"S5 Assembly",IF(NOT(OR(AG105="Completed",AG105="NA",AG105="Cancelled")),"S6 Bring-up",IF(NOT(OR(AK105="Completed",AK105="NA",AK105="Cancelled")),"S7 BOM Procurement","All Stages Closed"))))))))</f>
        <v/>
      </c>
      <c r="F105" s="32" t="str">
        <f aca="false">IF($C105="","",IF(COUNTIF(M105,"Cancelled")+COUNTIF(Q105,"Cancelled")+COUNTIF(U105,"Cancelled")+COUNTIF(Y105,"Cancelled")+COUNTIF(AC105,"Cancelled")+COUNTIF(AG105,"Cancelled")+COUNTIF(AK105,"Cancelled")&gt;0,"Cancelled",IF(E105="All Stages Closed","Completed",IF(E105="S1 Schematic",M105,IF(E105="S2 PCB Layout",Q105,IF(E105="S3 SI &amp; PI",U105,IF(E105="S4 Bare-PCB Fab",Y105,IF(E105="S5 Assembly",AC105,IF(E105="S6 Bring-up",AG105,AK105)))))))))</f>
        <v/>
      </c>
      <c r="G105" s="33" t="str">
        <f aca="false">IF($C105="","",IF(E105="All Stages Closed","",IF(E105="S1 Schematic",IF(N105="","Not added",N105),IF(E105="S2 PCB Layout",IF(R105="","Not added",R105),IF(E105="S3 SI &amp; PI",IF(V105="","Not added",V105),IF(E105="S4 Bare-PCB Fab",IF(Z105="","Not added",Z105),IF(E105="S5 Assembly",IF(AD105="","Not added",AD105),IF(E105="S6 Bring-up",IF(AH105="","Not added",AH105),IF(AL105="","Not added",AL105)))))))))</f>
        <v/>
      </c>
      <c r="H105" s="32" t="str">
        <f aca="true">IF($C105="","",IF(OR(F105="Completed",F105="Cancelled"),"",IF(NOT(ISNUMBER(G105)),"No date set",IF(TODAY()&gt;G105,TODAY()-G105&amp;" days late",G105-TODAY()&amp;" days left"))))</f>
        <v/>
      </c>
      <c r="I105" s="31" t="str">
        <f aca="false">IF($C105="","",COUNTIF(M105,"Completed")+COUNTIF(Q105,"Completed")+COUNTIF(U105,"Completed")+COUNTIF(Y105,"Completed")+COUNTIF(AC105,"Completed")+COUNTIF(AG105,"Completed")+COUNTIF(AK105,"Completed"))</f>
        <v/>
      </c>
      <c r="J105" s="31" t="str">
        <f aca="false">IF($C105="","",7-(COUNTIF(M105,"NA")+COUNTIF(Q105,"NA")+COUNTIF(U105,"NA")+COUNTIF(Y105,"NA")+COUNTIF(AC105,"NA")+COUNTIF(AG105,"NA")+COUNTIF(AK105,"NA")))</f>
        <v/>
      </c>
      <c r="K105" s="34" t="str">
        <f aca="false">IFERROR(I105/J105,"")</f>
        <v/>
      </c>
      <c r="L105" s="29"/>
      <c r="M105" s="35"/>
      <c r="N105" s="36"/>
      <c r="O105" s="36"/>
      <c r="P105" s="29"/>
      <c r="Q105" s="35"/>
      <c r="R105" s="36"/>
      <c r="S105" s="36"/>
      <c r="T105" s="29"/>
      <c r="U105" s="35"/>
      <c r="V105" s="36"/>
      <c r="W105" s="36"/>
      <c r="X105" s="29"/>
      <c r="Y105" s="35"/>
      <c r="Z105" s="36"/>
      <c r="AA105" s="36"/>
      <c r="AB105" s="29"/>
      <c r="AC105" s="35"/>
      <c r="AD105" s="36"/>
      <c r="AE105" s="36"/>
      <c r="AF105" s="29"/>
      <c r="AG105" s="35"/>
      <c r="AH105" s="36"/>
      <c r="AI105" s="36"/>
      <c r="AJ105" s="29"/>
      <c r="AK105" s="35"/>
      <c r="AL105" s="36"/>
      <c r="AM105" s="36"/>
      <c r="AN105" s="29"/>
      <c r="AO105" s="29"/>
      <c r="AP105" s="29"/>
      <c r="AQ105" s="37"/>
      <c r="AR105" s="29"/>
      <c r="AS105" s="38" t="str">
        <f aca="false">IF($C105="","",IF(OR(F105="Completed",F105="Cancelled"),"",IF(AND(OR(F105="On Hold",ISNUMBER(VALUE(LEFT(H105,2)))),AR105=""),"Reason not given","")))</f>
        <v/>
      </c>
      <c r="AT105" s="30"/>
      <c r="AU105" s="30"/>
    </row>
    <row r="106" customFormat="false" ht="19.5" hidden="false" customHeight="true" outlineLevel="0" collapsed="false">
      <c r="A106" s="28" t="str">
        <f aca="false">IF($C106="","",COUNTA($C$17:$C106))</f>
        <v/>
      </c>
      <c r="B106" s="29"/>
      <c r="C106" s="30"/>
      <c r="D106" s="29"/>
      <c r="E106" s="31" t="str">
        <f aca="false">IF($C106="","",IF(NOT(OR(M106="Completed",M106="NA",M106="Cancelled")),"S1 Schematic",IF(NOT(OR(Q106="Completed",Q106="NA",Q106="Cancelled")),"S2 PCB Layout",IF(NOT(OR(U106="Completed",U106="NA",U106="Cancelled")),"S3 SI &amp; PI",IF(NOT(OR(Y106="Completed",Y106="NA",Y106="Cancelled")),"S4 Bare-PCB Fab",IF(NOT(OR(AC106="Completed",AC106="NA",AC106="Cancelled")),"S5 Assembly",IF(NOT(OR(AG106="Completed",AG106="NA",AG106="Cancelled")),"S6 Bring-up",IF(NOT(OR(AK106="Completed",AK106="NA",AK106="Cancelled")),"S7 BOM Procurement","All Stages Closed"))))))))</f>
        <v/>
      </c>
      <c r="F106" s="32" t="str">
        <f aca="false">IF($C106="","",IF(COUNTIF(M106,"Cancelled")+COUNTIF(Q106,"Cancelled")+COUNTIF(U106,"Cancelled")+COUNTIF(Y106,"Cancelled")+COUNTIF(AC106,"Cancelled")+COUNTIF(AG106,"Cancelled")+COUNTIF(AK106,"Cancelled")&gt;0,"Cancelled",IF(E106="All Stages Closed","Completed",IF(E106="S1 Schematic",M106,IF(E106="S2 PCB Layout",Q106,IF(E106="S3 SI &amp; PI",U106,IF(E106="S4 Bare-PCB Fab",Y106,IF(E106="S5 Assembly",AC106,IF(E106="S6 Bring-up",AG106,AK106)))))))))</f>
        <v/>
      </c>
      <c r="G106" s="33" t="str">
        <f aca="false">IF($C106="","",IF(E106="All Stages Closed","",IF(E106="S1 Schematic",IF(N106="","Not added",N106),IF(E106="S2 PCB Layout",IF(R106="","Not added",R106),IF(E106="S3 SI &amp; PI",IF(V106="","Not added",V106),IF(E106="S4 Bare-PCB Fab",IF(Z106="","Not added",Z106),IF(E106="S5 Assembly",IF(AD106="","Not added",AD106),IF(E106="S6 Bring-up",IF(AH106="","Not added",AH106),IF(AL106="","Not added",AL106)))))))))</f>
        <v/>
      </c>
      <c r="H106" s="32" t="str">
        <f aca="true">IF($C106="","",IF(OR(F106="Completed",F106="Cancelled"),"",IF(NOT(ISNUMBER(G106)),"No date set",IF(TODAY()&gt;G106,TODAY()-G106&amp;" days late",G106-TODAY()&amp;" days left"))))</f>
        <v/>
      </c>
      <c r="I106" s="31" t="str">
        <f aca="false">IF($C106="","",COUNTIF(M106,"Completed")+COUNTIF(Q106,"Completed")+COUNTIF(U106,"Completed")+COUNTIF(Y106,"Completed")+COUNTIF(AC106,"Completed")+COUNTIF(AG106,"Completed")+COUNTIF(AK106,"Completed"))</f>
        <v/>
      </c>
      <c r="J106" s="31" t="str">
        <f aca="false">IF($C106="","",7-(COUNTIF(M106,"NA")+COUNTIF(Q106,"NA")+COUNTIF(U106,"NA")+COUNTIF(Y106,"NA")+COUNTIF(AC106,"NA")+COUNTIF(AG106,"NA")+COUNTIF(AK106,"NA")))</f>
        <v/>
      </c>
      <c r="K106" s="34" t="str">
        <f aca="false">IFERROR(I106/J106,"")</f>
        <v/>
      </c>
      <c r="L106" s="29"/>
      <c r="M106" s="35"/>
      <c r="N106" s="36"/>
      <c r="O106" s="36"/>
      <c r="P106" s="29"/>
      <c r="Q106" s="35"/>
      <c r="R106" s="36"/>
      <c r="S106" s="36"/>
      <c r="T106" s="29"/>
      <c r="U106" s="35"/>
      <c r="V106" s="36"/>
      <c r="W106" s="36"/>
      <c r="X106" s="29"/>
      <c r="Y106" s="35"/>
      <c r="Z106" s="36"/>
      <c r="AA106" s="36"/>
      <c r="AB106" s="29"/>
      <c r="AC106" s="35"/>
      <c r="AD106" s="36"/>
      <c r="AE106" s="36"/>
      <c r="AF106" s="29"/>
      <c r="AG106" s="35"/>
      <c r="AH106" s="36"/>
      <c r="AI106" s="36"/>
      <c r="AJ106" s="29"/>
      <c r="AK106" s="35"/>
      <c r="AL106" s="36"/>
      <c r="AM106" s="36"/>
      <c r="AN106" s="29"/>
      <c r="AO106" s="29"/>
      <c r="AP106" s="29"/>
      <c r="AQ106" s="37"/>
      <c r="AR106" s="29"/>
      <c r="AS106" s="38" t="str">
        <f aca="false">IF($C106="","",IF(OR(F106="Completed",F106="Cancelled"),"",IF(AND(OR(F106="On Hold",ISNUMBER(VALUE(LEFT(H106,2)))),AR106=""),"Reason not given","")))</f>
        <v/>
      </c>
      <c r="AT106" s="30"/>
      <c r="AU106" s="30"/>
    </row>
    <row r="107" customFormat="false" ht="19.5" hidden="false" customHeight="true" outlineLevel="0" collapsed="false">
      <c r="A107" s="28" t="str">
        <f aca="false">IF($C107="","",COUNTA($C$17:$C107))</f>
        <v/>
      </c>
      <c r="B107" s="29"/>
      <c r="C107" s="30"/>
      <c r="D107" s="29"/>
      <c r="E107" s="31" t="str">
        <f aca="false">IF($C107="","",IF(NOT(OR(M107="Completed",M107="NA",M107="Cancelled")),"S1 Schematic",IF(NOT(OR(Q107="Completed",Q107="NA",Q107="Cancelled")),"S2 PCB Layout",IF(NOT(OR(U107="Completed",U107="NA",U107="Cancelled")),"S3 SI &amp; PI",IF(NOT(OR(Y107="Completed",Y107="NA",Y107="Cancelled")),"S4 Bare-PCB Fab",IF(NOT(OR(AC107="Completed",AC107="NA",AC107="Cancelled")),"S5 Assembly",IF(NOT(OR(AG107="Completed",AG107="NA",AG107="Cancelled")),"S6 Bring-up",IF(NOT(OR(AK107="Completed",AK107="NA",AK107="Cancelled")),"S7 BOM Procurement","All Stages Closed"))))))))</f>
        <v/>
      </c>
      <c r="F107" s="32" t="str">
        <f aca="false">IF($C107="","",IF(COUNTIF(M107,"Cancelled")+COUNTIF(Q107,"Cancelled")+COUNTIF(U107,"Cancelled")+COUNTIF(Y107,"Cancelled")+COUNTIF(AC107,"Cancelled")+COUNTIF(AG107,"Cancelled")+COUNTIF(AK107,"Cancelled")&gt;0,"Cancelled",IF(E107="All Stages Closed","Completed",IF(E107="S1 Schematic",M107,IF(E107="S2 PCB Layout",Q107,IF(E107="S3 SI &amp; PI",U107,IF(E107="S4 Bare-PCB Fab",Y107,IF(E107="S5 Assembly",AC107,IF(E107="S6 Bring-up",AG107,AK107)))))))))</f>
        <v/>
      </c>
      <c r="G107" s="33" t="str">
        <f aca="false">IF($C107="","",IF(E107="All Stages Closed","",IF(E107="S1 Schematic",IF(N107="","Not added",N107),IF(E107="S2 PCB Layout",IF(R107="","Not added",R107),IF(E107="S3 SI &amp; PI",IF(V107="","Not added",V107),IF(E107="S4 Bare-PCB Fab",IF(Z107="","Not added",Z107),IF(E107="S5 Assembly",IF(AD107="","Not added",AD107),IF(E107="S6 Bring-up",IF(AH107="","Not added",AH107),IF(AL107="","Not added",AL107)))))))))</f>
        <v/>
      </c>
      <c r="H107" s="32" t="str">
        <f aca="true">IF($C107="","",IF(OR(F107="Completed",F107="Cancelled"),"",IF(NOT(ISNUMBER(G107)),"No date set",IF(TODAY()&gt;G107,TODAY()-G107&amp;" days late",G107-TODAY()&amp;" days left"))))</f>
        <v/>
      </c>
      <c r="I107" s="31" t="str">
        <f aca="false">IF($C107="","",COUNTIF(M107,"Completed")+COUNTIF(Q107,"Completed")+COUNTIF(U107,"Completed")+COUNTIF(Y107,"Completed")+COUNTIF(AC107,"Completed")+COUNTIF(AG107,"Completed")+COUNTIF(AK107,"Completed"))</f>
        <v/>
      </c>
      <c r="J107" s="31" t="str">
        <f aca="false">IF($C107="","",7-(COUNTIF(M107,"NA")+COUNTIF(Q107,"NA")+COUNTIF(U107,"NA")+COUNTIF(Y107,"NA")+COUNTIF(AC107,"NA")+COUNTIF(AG107,"NA")+COUNTIF(AK107,"NA")))</f>
        <v/>
      </c>
      <c r="K107" s="34" t="str">
        <f aca="false">IFERROR(I107/J107,"")</f>
        <v/>
      </c>
      <c r="L107" s="29"/>
      <c r="M107" s="35"/>
      <c r="N107" s="36"/>
      <c r="O107" s="36"/>
      <c r="P107" s="29"/>
      <c r="Q107" s="35"/>
      <c r="R107" s="36"/>
      <c r="S107" s="36"/>
      <c r="T107" s="29"/>
      <c r="U107" s="35"/>
      <c r="V107" s="36"/>
      <c r="W107" s="36"/>
      <c r="X107" s="29"/>
      <c r="Y107" s="35"/>
      <c r="Z107" s="36"/>
      <c r="AA107" s="36"/>
      <c r="AB107" s="29"/>
      <c r="AC107" s="35"/>
      <c r="AD107" s="36"/>
      <c r="AE107" s="36"/>
      <c r="AF107" s="29"/>
      <c r="AG107" s="35"/>
      <c r="AH107" s="36"/>
      <c r="AI107" s="36"/>
      <c r="AJ107" s="29"/>
      <c r="AK107" s="35"/>
      <c r="AL107" s="36"/>
      <c r="AM107" s="36"/>
      <c r="AN107" s="29"/>
      <c r="AO107" s="29"/>
      <c r="AP107" s="29"/>
      <c r="AQ107" s="37"/>
      <c r="AR107" s="29"/>
      <c r="AS107" s="38" t="str">
        <f aca="false">IF($C107="","",IF(OR(F107="Completed",F107="Cancelled"),"",IF(AND(OR(F107="On Hold",ISNUMBER(VALUE(LEFT(H107,2)))),AR107=""),"Reason not given","")))</f>
        <v/>
      </c>
      <c r="AT107" s="30"/>
      <c r="AU107" s="30"/>
    </row>
    <row r="108" customFormat="false" ht="19.5" hidden="false" customHeight="true" outlineLevel="0" collapsed="false">
      <c r="A108" s="28" t="str">
        <f aca="false">IF($C108="","",COUNTA($C$17:$C108))</f>
        <v/>
      </c>
      <c r="B108" s="29"/>
      <c r="C108" s="30"/>
      <c r="D108" s="29"/>
      <c r="E108" s="31" t="str">
        <f aca="false">IF($C108="","",IF(NOT(OR(M108="Completed",M108="NA",M108="Cancelled")),"S1 Schematic",IF(NOT(OR(Q108="Completed",Q108="NA",Q108="Cancelled")),"S2 PCB Layout",IF(NOT(OR(U108="Completed",U108="NA",U108="Cancelled")),"S3 SI &amp; PI",IF(NOT(OR(Y108="Completed",Y108="NA",Y108="Cancelled")),"S4 Bare-PCB Fab",IF(NOT(OR(AC108="Completed",AC108="NA",AC108="Cancelled")),"S5 Assembly",IF(NOT(OR(AG108="Completed",AG108="NA",AG108="Cancelled")),"S6 Bring-up",IF(NOT(OR(AK108="Completed",AK108="NA",AK108="Cancelled")),"S7 BOM Procurement","All Stages Closed"))))))))</f>
        <v/>
      </c>
      <c r="F108" s="32" t="str">
        <f aca="false">IF($C108="","",IF(COUNTIF(M108,"Cancelled")+COUNTIF(Q108,"Cancelled")+COUNTIF(U108,"Cancelled")+COUNTIF(Y108,"Cancelled")+COUNTIF(AC108,"Cancelled")+COUNTIF(AG108,"Cancelled")+COUNTIF(AK108,"Cancelled")&gt;0,"Cancelled",IF(E108="All Stages Closed","Completed",IF(E108="S1 Schematic",M108,IF(E108="S2 PCB Layout",Q108,IF(E108="S3 SI &amp; PI",U108,IF(E108="S4 Bare-PCB Fab",Y108,IF(E108="S5 Assembly",AC108,IF(E108="S6 Bring-up",AG108,AK108)))))))))</f>
        <v/>
      </c>
      <c r="G108" s="33" t="str">
        <f aca="false">IF($C108="","",IF(E108="All Stages Closed","",IF(E108="S1 Schematic",IF(N108="","Not added",N108),IF(E108="S2 PCB Layout",IF(R108="","Not added",R108),IF(E108="S3 SI &amp; PI",IF(V108="","Not added",V108),IF(E108="S4 Bare-PCB Fab",IF(Z108="","Not added",Z108),IF(E108="S5 Assembly",IF(AD108="","Not added",AD108),IF(E108="S6 Bring-up",IF(AH108="","Not added",AH108),IF(AL108="","Not added",AL108)))))))))</f>
        <v/>
      </c>
      <c r="H108" s="32" t="str">
        <f aca="true">IF($C108="","",IF(OR(F108="Completed",F108="Cancelled"),"",IF(NOT(ISNUMBER(G108)),"No date set",IF(TODAY()&gt;G108,TODAY()-G108&amp;" days late",G108-TODAY()&amp;" days left"))))</f>
        <v/>
      </c>
      <c r="I108" s="31" t="str">
        <f aca="false">IF($C108="","",COUNTIF(M108,"Completed")+COUNTIF(Q108,"Completed")+COUNTIF(U108,"Completed")+COUNTIF(Y108,"Completed")+COUNTIF(AC108,"Completed")+COUNTIF(AG108,"Completed")+COUNTIF(AK108,"Completed"))</f>
        <v/>
      </c>
      <c r="J108" s="31" t="str">
        <f aca="false">IF($C108="","",7-(COUNTIF(M108,"NA")+COUNTIF(Q108,"NA")+COUNTIF(U108,"NA")+COUNTIF(Y108,"NA")+COUNTIF(AC108,"NA")+COUNTIF(AG108,"NA")+COUNTIF(AK108,"NA")))</f>
        <v/>
      </c>
      <c r="K108" s="34" t="str">
        <f aca="false">IFERROR(I108/J108,"")</f>
        <v/>
      </c>
      <c r="L108" s="29"/>
      <c r="M108" s="35"/>
      <c r="N108" s="36"/>
      <c r="O108" s="36"/>
      <c r="P108" s="29"/>
      <c r="Q108" s="35"/>
      <c r="R108" s="36"/>
      <c r="S108" s="36"/>
      <c r="T108" s="29"/>
      <c r="U108" s="35"/>
      <c r="V108" s="36"/>
      <c r="W108" s="36"/>
      <c r="X108" s="29"/>
      <c r="Y108" s="35"/>
      <c r="Z108" s="36"/>
      <c r="AA108" s="36"/>
      <c r="AB108" s="29"/>
      <c r="AC108" s="35"/>
      <c r="AD108" s="36"/>
      <c r="AE108" s="36"/>
      <c r="AF108" s="29"/>
      <c r="AG108" s="35"/>
      <c r="AH108" s="36"/>
      <c r="AI108" s="36"/>
      <c r="AJ108" s="29"/>
      <c r="AK108" s="35"/>
      <c r="AL108" s="36"/>
      <c r="AM108" s="36"/>
      <c r="AN108" s="29"/>
      <c r="AO108" s="29"/>
      <c r="AP108" s="29"/>
      <c r="AQ108" s="37"/>
      <c r="AR108" s="29"/>
      <c r="AS108" s="38" t="str">
        <f aca="false">IF($C108="","",IF(OR(F108="Completed",F108="Cancelled"),"",IF(AND(OR(F108="On Hold",ISNUMBER(VALUE(LEFT(H108,2)))),AR108=""),"Reason not given","")))</f>
        <v/>
      </c>
      <c r="AT108" s="30"/>
      <c r="AU108" s="30"/>
    </row>
    <row r="109" customFormat="false" ht="19.5" hidden="false" customHeight="true" outlineLevel="0" collapsed="false">
      <c r="A109" s="28" t="str">
        <f aca="false">IF($C109="","",COUNTA($C$17:$C109))</f>
        <v/>
      </c>
      <c r="B109" s="29"/>
      <c r="C109" s="30"/>
      <c r="D109" s="29"/>
      <c r="E109" s="31" t="str">
        <f aca="false">IF($C109="","",IF(NOT(OR(M109="Completed",M109="NA",M109="Cancelled")),"S1 Schematic",IF(NOT(OR(Q109="Completed",Q109="NA",Q109="Cancelled")),"S2 PCB Layout",IF(NOT(OR(U109="Completed",U109="NA",U109="Cancelled")),"S3 SI &amp; PI",IF(NOT(OR(Y109="Completed",Y109="NA",Y109="Cancelled")),"S4 Bare-PCB Fab",IF(NOT(OR(AC109="Completed",AC109="NA",AC109="Cancelled")),"S5 Assembly",IF(NOT(OR(AG109="Completed",AG109="NA",AG109="Cancelled")),"S6 Bring-up",IF(NOT(OR(AK109="Completed",AK109="NA",AK109="Cancelled")),"S7 BOM Procurement","All Stages Closed"))))))))</f>
        <v/>
      </c>
      <c r="F109" s="32" t="str">
        <f aca="false">IF($C109="","",IF(COUNTIF(M109,"Cancelled")+COUNTIF(Q109,"Cancelled")+COUNTIF(U109,"Cancelled")+COUNTIF(Y109,"Cancelled")+COUNTIF(AC109,"Cancelled")+COUNTIF(AG109,"Cancelled")+COUNTIF(AK109,"Cancelled")&gt;0,"Cancelled",IF(E109="All Stages Closed","Completed",IF(E109="S1 Schematic",M109,IF(E109="S2 PCB Layout",Q109,IF(E109="S3 SI &amp; PI",U109,IF(E109="S4 Bare-PCB Fab",Y109,IF(E109="S5 Assembly",AC109,IF(E109="S6 Bring-up",AG109,AK109)))))))))</f>
        <v/>
      </c>
      <c r="G109" s="33" t="str">
        <f aca="false">IF($C109="","",IF(E109="All Stages Closed","",IF(E109="S1 Schematic",IF(N109="","Not added",N109),IF(E109="S2 PCB Layout",IF(R109="","Not added",R109),IF(E109="S3 SI &amp; PI",IF(V109="","Not added",V109),IF(E109="S4 Bare-PCB Fab",IF(Z109="","Not added",Z109),IF(E109="S5 Assembly",IF(AD109="","Not added",AD109),IF(E109="S6 Bring-up",IF(AH109="","Not added",AH109),IF(AL109="","Not added",AL109)))))))))</f>
        <v/>
      </c>
      <c r="H109" s="32" t="str">
        <f aca="true">IF($C109="","",IF(OR(F109="Completed",F109="Cancelled"),"",IF(NOT(ISNUMBER(G109)),"No date set",IF(TODAY()&gt;G109,TODAY()-G109&amp;" days late",G109-TODAY()&amp;" days left"))))</f>
        <v/>
      </c>
      <c r="I109" s="31" t="str">
        <f aca="false">IF($C109="","",COUNTIF(M109,"Completed")+COUNTIF(Q109,"Completed")+COUNTIF(U109,"Completed")+COUNTIF(Y109,"Completed")+COUNTIF(AC109,"Completed")+COUNTIF(AG109,"Completed")+COUNTIF(AK109,"Completed"))</f>
        <v/>
      </c>
      <c r="J109" s="31" t="str">
        <f aca="false">IF($C109="","",7-(COUNTIF(M109,"NA")+COUNTIF(Q109,"NA")+COUNTIF(U109,"NA")+COUNTIF(Y109,"NA")+COUNTIF(AC109,"NA")+COUNTIF(AG109,"NA")+COUNTIF(AK109,"NA")))</f>
        <v/>
      </c>
      <c r="K109" s="34" t="str">
        <f aca="false">IFERROR(I109/J109,"")</f>
        <v/>
      </c>
      <c r="L109" s="29"/>
      <c r="M109" s="35"/>
      <c r="N109" s="36"/>
      <c r="O109" s="36"/>
      <c r="P109" s="29"/>
      <c r="Q109" s="35"/>
      <c r="R109" s="36"/>
      <c r="S109" s="36"/>
      <c r="T109" s="29"/>
      <c r="U109" s="35"/>
      <c r="V109" s="36"/>
      <c r="W109" s="36"/>
      <c r="X109" s="29"/>
      <c r="Y109" s="35"/>
      <c r="Z109" s="36"/>
      <c r="AA109" s="36"/>
      <c r="AB109" s="29"/>
      <c r="AC109" s="35"/>
      <c r="AD109" s="36"/>
      <c r="AE109" s="36"/>
      <c r="AF109" s="29"/>
      <c r="AG109" s="35"/>
      <c r="AH109" s="36"/>
      <c r="AI109" s="36"/>
      <c r="AJ109" s="29"/>
      <c r="AK109" s="35"/>
      <c r="AL109" s="36"/>
      <c r="AM109" s="36"/>
      <c r="AN109" s="29"/>
      <c r="AO109" s="29"/>
      <c r="AP109" s="29"/>
      <c r="AQ109" s="37"/>
      <c r="AR109" s="29"/>
      <c r="AS109" s="38" t="str">
        <f aca="false">IF($C109="","",IF(OR(F109="Completed",F109="Cancelled"),"",IF(AND(OR(F109="On Hold",ISNUMBER(VALUE(LEFT(H109,2)))),AR109=""),"Reason not given","")))</f>
        <v/>
      </c>
      <c r="AT109" s="30"/>
      <c r="AU109" s="30"/>
    </row>
    <row r="110" customFormat="false" ht="19.5" hidden="false" customHeight="true" outlineLevel="0" collapsed="false">
      <c r="A110" s="28" t="str">
        <f aca="false">IF($C110="","",COUNTA($C$17:$C110))</f>
        <v/>
      </c>
      <c r="B110" s="29"/>
      <c r="C110" s="30"/>
      <c r="D110" s="29"/>
      <c r="E110" s="31" t="str">
        <f aca="false">IF($C110="","",IF(NOT(OR(M110="Completed",M110="NA",M110="Cancelled")),"S1 Schematic",IF(NOT(OR(Q110="Completed",Q110="NA",Q110="Cancelled")),"S2 PCB Layout",IF(NOT(OR(U110="Completed",U110="NA",U110="Cancelled")),"S3 SI &amp; PI",IF(NOT(OR(Y110="Completed",Y110="NA",Y110="Cancelled")),"S4 Bare-PCB Fab",IF(NOT(OR(AC110="Completed",AC110="NA",AC110="Cancelled")),"S5 Assembly",IF(NOT(OR(AG110="Completed",AG110="NA",AG110="Cancelled")),"S6 Bring-up",IF(NOT(OR(AK110="Completed",AK110="NA",AK110="Cancelled")),"S7 BOM Procurement","All Stages Closed"))))))))</f>
        <v/>
      </c>
      <c r="F110" s="32" t="str">
        <f aca="false">IF($C110="","",IF(COUNTIF(M110,"Cancelled")+COUNTIF(Q110,"Cancelled")+COUNTIF(U110,"Cancelled")+COUNTIF(Y110,"Cancelled")+COUNTIF(AC110,"Cancelled")+COUNTIF(AG110,"Cancelled")+COUNTIF(AK110,"Cancelled")&gt;0,"Cancelled",IF(E110="All Stages Closed","Completed",IF(E110="S1 Schematic",M110,IF(E110="S2 PCB Layout",Q110,IF(E110="S3 SI &amp; PI",U110,IF(E110="S4 Bare-PCB Fab",Y110,IF(E110="S5 Assembly",AC110,IF(E110="S6 Bring-up",AG110,AK110)))))))))</f>
        <v/>
      </c>
      <c r="G110" s="33" t="str">
        <f aca="false">IF($C110="","",IF(E110="All Stages Closed","",IF(E110="S1 Schematic",IF(N110="","Not added",N110),IF(E110="S2 PCB Layout",IF(R110="","Not added",R110),IF(E110="S3 SI &amp; PI",IF(V110="","Not added",V110),IF(E110="S4 Bare-PCB Fab",IF(Z110="","Not added",Z110),IF(E110="S5 Assembly",IF(AD110="","Not added",AD110),IF(E110="S6 Bring-up",IF(AH110="","Not added",AH110),IF(AL110="","Not added",AL110)))))))))</f>
        <v/>
      </c>
      <c r="H110" s="32" t="str">
        <f aca="true">IF($C110="","",IF(OR(F110="Completed",F110="Cancelled"),"",IF(NOT(ISNUMBER(G110)),"No date set",IF(TODAY()&gt;G110,TODAY()-G110&amp;" days late",G110-TODAY()&amp;" days left"))))</f>
        <v/>
      </c>
      <c r="I110" s="31" t="str">
        <f aca="false">IF($C110="","",COUNTIF(M110,"Completed")+COUNTIF(Q110,"Completed")+COUNTIF(U110,"Completed")+COUNTIF(Y110,"Completed")+COUNTIF(AC110,"Completed")+COUNTIF(AG110,"Completed")+COUNTIF(AK110,"Completed"))</f>
        <v/>
      </c>
      <c r="J110" s="31" t="str">
        <f aca="false">IF($C110="","",7-(COUNTIF(M110,"NA")+COUNTIF(Q110,"NA")+COUNTIF(U110,"NA")+COUNTIF(Y110,"NA")+COUNTIF(AC110,"NA")+COUNTIF(AG110,"NA")+COUNTIF(AK110,"NA")))</f>
        <v/>
      </c>
      <c r="K110" s="34" t="str">
        <f aca="false">IFERROR(I110/J110,"")</f>
        <v/>
      </c>
      <c r="L110" s="29"/>
      <c r="M110" s="35"/>
      <c r="N110" s="36"/>
      <c r="O110" s="36"/>
      <c r="P110" s="29"/>
      <c r="Q110" s="35"/>
      <c r="R110" s="36"/>
      <c r="S110" s="36"/>
      <c r="T110" s="29"/>
      <c r="U110" s="35"/>
      <c r="V110" s="36"/>
      <c r="W110" s="36"/>
      <c r="X110" s="29"/>
      <c r="Y110" s="35"/>
      <c r="Z110" s="36"/>
      <c r="AA110" s="36"/>
      <c r="AB110" s="29"/>
      <c r="AC110" s="35"/>
      <c r="AD110" s="36"/>
      <c r="AE110" s="36"/>
      <c r="AF110" s="29"/>
      <c r="AG110" s="35"/>
      <c r="AH110" s="36"/>
      <c r="AI110" s="36"/>
      <c r="AJ110" s="29"/>
      <c r="AK110" s="35"/>
      <c r="AL110" s="36"/>
      <c r="AM110" s="36"/>
      <c r="AN110" s="29"/>
      <c r="AO110" s="29"/>
      <c r="AP110" s="29"/>
      <c r="AQ110" s="37"/>
      <c r="AR110" s="29"/>
      <c r="AS110" s="38" t="str">
        <f aca="false">IF($C110="","",IF(OR(F110="Completed",F110="Cancelled"),"",IF(AND(OR(F110="On Hold",ISNUMBER(VALUE(LEFT(H110,2)))),AR110=""),"Reason not given","")))</f>
        <v/>
      </c>
      <c r="AT110" s="30"/>
      <c r="AU110" s="30"/>
    </row>
    <row r="111" customFormat="false" ht="19.5" hidden="false" customHeight="true" outlineLevel="0" collapsed="false">
      <c r="A111" s="28" t="str">
        <f aca="false">IF($C111="","",COUNTA($C$17:$C111))</f>
        <v/>
      </c>
      <c r="B111" s="29"/>
      <c r="C111" s="30"/>
      <c r="D111" s="29"/>
      <c r="E111" s="31" t="str">
        <f aca="false">IF($C111="","",IF(NOT(OR(M111="Completed",M111="NA",M111="Cancelled")),"S1 Schematic",IF(NOT(OR(Q111="Completed",Q111="NA",Q111="Cancelled")),"S2 PCB Layout",IF(NOT(OR(U111="Completed",U111="NA",U111="Cancelled")),"S3 SI &amp; PI",IF(NOT(OR(Y111="Completed",Y111="NA",Y111="Cancelled")),"S4 Bare-PCB Fab",IF(NOT(OR(AC111="Completed",AC111="NA",AC111="Cancelled")),"S5 Assembly",IF(NOT(OR(AG111="Completed",AG111="NA",AG111="Cancelled")),"S6 Bring-up",IF(NOT(OR(AK111="Completed",AK111="NA",AK111="Cancelled")),"S7 BOM Procurement","All Stages Closed"))))))))</f>
        <v/>
      </c>
      <c r="F111" s="32" t="str">
        <f aca="false">IF($C111="","",IF(COUNTIF(M111,"Cancelled")+COUNTIF(Q111,"Cancelled")+COUNTIF(U111,"Cancelled")+COUNTIF(Y111,"Cancelled")+COUNTIF(AC111,"Cancelled")+COUNTIF(AG111,"Cancelled")+COUNTIF(AK111,"Cancelled")&gt;0,"Cancelled",IF(E111="All Stages Closed","Completed",IF(E111="S1 Schematic",M111,IF(E111="S2 PCB Layout",Q111,IF(E111="S3 SI &amp; PI",U111,IF(E111="S4 Bare-PCB Fab",Y111,IF(E111="S5 Assembly",AC111,IF(E111="S6 Bring-up",AG111,AK111)))))))))</f>
        <v/>
      </c>
      <c r="G111" s="33" t="str">
        <f aca="false">IF($C111="","",IF(E111="All Stages Closed","",IF(E111="S1 Schematic",IF(N111="","Not added",N111),IF(E111="S2 PCB Layout",IF(R111="","Not added",R111),IF(E111="S3 SI &amp; PI",IF(V111="","Not added",V111),IF(E111="S4 Bare-PCB Fab",IF(Z111="","Not added",Z111),IF(E111="S5 Assembly",IF(AD111="","Not added",AD111),IF(E111="S6 Bring-up",IF(AH111="","Not added",AH111),IF(AL111="","Not added",AL111)))))))))</f>
        <v/>
      </c>
      <c r="H111" s="32" t="str">
        <f aca="true">IF($C111="","",IF(OR(F111="Completed",F111="Cancelled"),"",IF(NOT(ISNUMBER(G111)),"No date set",IF(TODAY()&gt;G111,TODAY()-G111&amp;" days late",G111-TODAY()&amp;" days left"))))</f>
        <v/>
      </c>
      <c r="I111" s="31" t="str">
        <f aca="false">IF($C111="","",COUNTIF(M111,"Completed")+COUNTIF(Q111,"Completed")+COUNTIF(U111,"Completed")+COUNTIF(Y111,"Completed")+COUNTIF(AC111,"Completed")+COUNTIF(AG111,"Completed")+COUNTIF(AK111,"Completed"))</f>
        <v/>
      </c>
      <c r="J111" s="31" t="str">
        <f aca="false">IF($C111="","",7-(COUNTIF(M111,"NA")+COUNTIF(Q111,"NA")+COUNTIF(U111,"NA")+COUNTIF(Y111,"NA")+COUNTIF(AC111,"NA")+COUNTIF(AG111,"NA")+COUNTIF(AK111,"NA")))</f>
        <v/>
      </c>
      <c r="K111" s="34" t="str">
        <f aca="false">IFERROR(I111/J111,"")</f>
        <v/>
      </c>
      <c r="L111" s="29"/>
      <c r="M111" s="35"/>
      <c r="N111" s="36"/>
      <c r="O111" s="36"/>
      <c r="P111" s="29"/>
      <c r="Q111" s="35"/>
      <c r="R111" s="36"/>
      <c r="S111" s="36"/>
      <c r="T111" s="29"/>
      <c r="U111" s="35"/>
      <c r="V111" s="36"/>
      <c r="W111" s="36"/>
      <c r="X111" s="29"/>
      <c r="Y111" s="35"/>
      <c r="Z111" s="36"/>
      <c r="AA111" s="36"/>
      <c r="AB111" s="29"/>
      <c r="AC111" s="35"/>
      <c r="AD111" s="36"/>
      <c r="AE111" s="36"/>
      <c r="AF111" s="29"/>
      <c r="AG111" s="35"/>
      <c r="AH111" s="36"/>
      <c r="AI111" s="36"/>
      <c r="AJ111" s="29"/>
      <c r="AK111" s="35"/>
      <c r="AL111" s="36"/>
      <c r="AM111" s="36"/>
      <c r="AN111" s="29"/>
      <c r="AO111" s="29"/>
      <c r="AP111" s="29"/>
      <c r="AQ111" s="37"/>
      <c r="AR111" s="29"/>
      <c r="AS111" s="38" t="str">
        <f aca="false">IF($C111="","",IF(OR(F111="Completed",F111="Cancelled"),"",IF(AND(OR(F111="On Hold",ISNUMBER(VALUE(LEFT(H111,2)))),AR111=""),"Reason not given","")))</f>
        <v/>
      </c>
      <c r="AT111" s="30"/>
      <c r="AU111" s="30"/>
    </row>
    <row r="112" customFormat="false" ht="19.5" hidden="false" customHeight="true" outlineLevel="0" collapsed="false">
      <c r="A112" s="28" t="str">
        <f aca="false">IF($C112="","",COUNTA($C$17:$C112))</f>
        <v/>
      </c>
      <c r="B112" s="29"/>
      <c r="C112" s="30"/>
      <c r="D112" s="29"/>
      <c r="E112" s="31" t="str">
        <f aca="false">IF($C112="","",IF(NOT(OR(M112="Completed",M112="NA",M112="Cancelled")),"S1 Schematic",IF(NOT(OR(Q112="Completed",Q112="NA",Q112="Cancelled")),"S2 PCB Layout",IF(NOT(OR(U112="Completed",U112="NA",U112="Cancelled")),"S3 SI &amp; PI",IF(NOT(OR(Y112="Completed",Y112="NA",Y112="Cancelled")),"S4 Bare-PCB Fab",IF(NOT(OR(AC112="Completed",AC112="NA",AC112="Cancelled")),"S5 Assembly",IF(NOT(OR(AG112="Completed",AG112="NA",AG112="Cancelled")),"S6 Bring-up",IF(NOT(OR(AK112="Completed",AK112="NA",AK112="Cancelled")),"S7 BOM Procurement","All Stages Closed"))))))))</f>
        <v/>
      </c>
      <c r="F112" s="32" t="str">
        <f aca="false">IF($C112="","",IF(COUNTIF(M112,"Cancelled")+COUNTIF(Q112,"Cancelled")+COUNTIF(U112,"Cancelled")+COUNTIF(Y112,"Cancelled")+COUNTIF(AC112,"Cancelled")+COUNTIF(AG112,"Cancelled")+COUNTIF(AK112,"Cancelled")&gt;0,"Cancelled",IF(E112="All Stages Closed","Completed",IF(E112="S1 Schematic",M112,IF(E112="S2 PCB Layout",Q112,IF(E112="S3 SI &amp; PI",U112,IF(E112="S4 Bare-PCB Fab",Y112,IF(E112="S5 Assembly",AC112,IF(E112="S6 Bring-up",AG112,AK112)))))))))</f>
        <v/>
      </c>
      <c r="G112" s="33" t="str">
        <f aca="false">IF($C112="","",IF(E112="All Stages Closed","",IF(E112="S1 Schematic",IF(N112="","Not added",N112),IF(E112="S2 PCB Layout",IF(R112="","Not added",R112),IF(E112="S3 SI &amp; PI",IF(V112="","Not added",V112),IF(E112="S4 Bare-PCB Fab",IF(Z112="","Not added",Z112),IF(E112="S5 Assembly",IF(AD112="","Not added",AD112),IF(E112="S6 Bring-up",IF(AH112="","Not added",AH112),IF(AL112="","Not added",AL112)))))))))</f>
        <v/>
      </c>
      <c r="H112" s="32" t="str">
        <f aca="true">IF($C112="","",IF(OR(F112="Completed",F112="Cancelled"),"",IF(NOT(ISNUMBER(G112)),"No date set",IF(TODAY()&gt;G112,TODAY()-G112&amp;" days late",G112-TODAY()&amp;" days left"))))</f>
        <v/>
      </c>
      <c r="I112" s="31" t="str">
        <f aca="false">IF($C112="","",COUNTIF(M112,"Completed")+COUNTIF(Q112,"Completed")+COUNTIF(U112,"Completed")+COUNTIF(Y112,"Completed")+COUNTIF(AC112,"Completed")+COUNTIF(AG112,"Completed")+COUNTIF(AK112,"Completed"))</f>
        <v/>
      </c>
      <c r="J112" s="31" t="str">
        <f aca="false">IF($C112="","",7-(COUNTIF(M112,"NA")+COUNTIF(Q112,"NA")+COUNTIF(U112,"NA")+COUNTIF(Y112,"NA")+COUNTIF(AC112,"NA")+COUNTIF(AG112,"NA")+COUNTIF(AK112,"NA")))</f>
        <v/>
      </c>
      <c r="K112" s="34" t="str">
        <f aca="false">IFERROR(I112/J112,"")</f>
        <v/>
      </c>
      <c r="L112" s="29"/>
      <c r="M112" s="35"/>
      <c r="N112" s="36"/>
      <c r="O112" s="36"/>
      <c r="P112" s="29"/>
      <c r="Q112" s="35"/>
      <c r="R112" s="36"/>
      <c r="S112" s="36"/>
      <c r="T112" s="29"/>
      <c r="U112" s="35"/>
      <c r="V112" s="36"/>
      <c r="W112" s="36"/>
      <c r="X112" s="29"/>
      <c r="Y112" s="35"/>
      <c r="Z112" s="36"/>
      <c r="AA112" s="36"/>
      <c r="AB112" s="29"/>
      <c r="AC112" s="35"/>
      <c r="AD112" s="36"/>
      <c r="AE112" s="36"/>
      <c r="AF112" s="29"/>
      <c r="AG112" s="35"/>
      <c r="AH112" s="36"/>
      <c r="AI112" s="36"/>
      <c r="AJ112" s="29"/>
      <c r="AK112" s="35"/>
      <c r="AL112" s="36"/>
      <c r="AM112" s="36"/>
      <c r="AN112" s="29"/>
      <c r="AO112" s="29"/>
      <c r="AP112" s="29"/>
      <c r="AQ112" s="37"/>
      <c r="AR112" s="29"/>
      <c r="AS112" s="38" t="str">
        <f aca="false">IF($C112="","",IF(OR(F112="Completed",F112="Cancelled"),"",IF(AND(OR(F112="On Hold",ISNUMBER(VALUE(LEFT(H112,2)))),AR112=""),"Reason not given","")))</f>
        <v/>
      </c>
      <c r="AT112" s="30"/>
      <c r="AU112" s="30"/>
    </row>
    <row r="113" customFormat="false" ht="19.5" hidden="false" customHeight="true" outlineLevel="0" collapsed="false">
      <c r="A113" s="28" t="str">
        <f aca="false">IF($C113="","",COUNTA($C$17:$C113))</f>
        <v/>
      </c>
      <c r="B113" s="29"/>
      <c r="C113" s="30"/>
      <c r="D113" s="29"/>
      <c r="E113" s="31" t="str">
        <f aca="false">IF($C113="","",IF(NOT(OR(M113="Completed",M113="NA",M113="Cancelled")),"S1 Schematic",IF(NOT(OR(Q113="Completed",Q113="NA",Q113="Cancelled")),"S2 PCB Layout",IF(NOT(OR(U113="Completed",U113="NA",U113="Cancelled")),"S3 SI &amp; PI",IF(NOT(OR(Y113="Completed",Y113="NA",Y113="Cancelled")),"S4 Bare-PCB Fab",IF(NOT(OR(AC113="Completed",AC113="NA",AC113="Cancelled")),"S5 Assembly",IF(NOT(OR(AG113="Completed",AG113="NA",AG113="Cancelled")),"S6 Bring-up",IF(NOT(OR(AK113="Completed",AK113="NA",AK113="Cancelled")),"S7 BOM Procurement","All Stages Closed"))))))))</f>
        <v/>
      </c>
      <c r="F113" s="32" t="str">
        <f aca="false">IF($C113="","",IF(COUNTIF(M113,"Cancelled")+COUNTIF(Q113,"Cancelled")+COUNTIF(U113,"Cancelled")+COUNTIF(Y113,"Cancelled")+COUNTIF(AC113,"Cancelled")+COUNTIF(AG113,"Cancelled")+COUNTIF(AK113,"Cancelled")&gt;0,"Cancelled",IF(E113="All Stages Closed","Completed",IF(E113="S1 Schematic",M113,IF(E113="S2 PCB Layout",Q113,IF(E113="S3 SI &amp; PI",U113,IF(E113="S4 Bare-PCB Fab",Y113,IF(E113="S5 Assembly",AC113,IF(E113="S6 Bring-up",AG113,AK113)))))))))</f>
        <v/>
      </c>
      <c r="G113" s="33" t="str">
        <f aca="false">IF($C113="","",IF(E113="All Stages Closed","",IF(E113="S1 Schematic",IF(N113="","Not added",N113),IF(E113="S2 PCB Layout",IF(R113="","Not added",R113),IF(E113="S3 SI &amp; PI",IF(V113="","Not added",V113),IF(E113="S4 Bare-PCB Fab",IF(Z113="","Not added",Z113),IF(E113="S5 Assembly",IF(AD113="","Not added",AD113),IF(E113="S6 Bring-up",IF(AH113="","Not added",AH113),IF(AL113="","Not added",AL113)))))))))</f>
        <v/>
      </c>
      <c r="H113" s="32" t="str">
        <f aca="true">IF($C113="","",IF(OR(F113="Completed",F113="Cancelled"),"",IF(NOT(ISNUMBER(G113)),"No date set",IF(TODAY()&gt;G113,TODAY()-G113&amp;" days late",G113-TODAY()&amp;" days left"))))</f>
        <v/>
      </c>
      <c r="I113" s="31" t="str">
        <f aca="false">IF($C113="","",COUNTIF(M113,"Completed")+COUNTIF(Q113,"Completed")+COUNTIF(U113,"Completed")+COUNTIF(Y113,"Completed")+COUNTIF(AC113,"Completed")+COUNTIF(AG113,"Completed")+COUNTIF(AK113,"Completed"))</f>
        <v/>
      </c>
      <c r="J113" s="31" t="str">
        <f aca="false">IF($C113="","",7-(COUNTIF(M113,"NA")+COUNTIF(Q113,"NA")+COUNTIF(U113,"NA")+COUNTIF(Y113,"NA")+COUNTIF(AC113,"NA")+COUNTIF(AG113,"NA")+COUNTIF(AK113,"NA")))</f>
        <v/>
      </c>
      <c r="K113" s="34" t="str">
        <f aca="false">IFERROR(I113/J113,"")</f>
        <v/>
      </c>
      <c r="L113" s="29"/>
      <c r="M113" s="35"/>
      <c r="N113" s="36"/>
      <c r="O113" s="36"/>
      <c r="P113" s="29"/>
      <c r="Q113" s="35"/>
      <c r="R113" s="36"/>
      <c r="S113" s="36"/>
      <c r="T113" s="29"/>
      <c r="U113" s="35"/>
      <c r="V113" s="36"/>
      <c r="W113" s="36"/>
      <c r="X113" s="29"/>
      <c r="Y113" s="35"/>
      <c r="Z113" s="36"/>
      <c r="AA113" s="36"/>
      <c r="AB113" s="29"/>
      <c r="AC113" s="35"/>
      <c r="AD113" s="36"/>
      <c r="AE113" s="36"/>
      <c r="AF113" s="29"/>
      <c r="AG113" s="35"/>
      <c r="AH113" s="36"/>
      <c r="AI113" s="36"/>
      <c r="AJ113" s="29"/>
      <c r="AK113" s="35"/>
      <c r="AL113" s="36"/>
      <c r="AM113" s="36"/>
      <c r="AN113" s="29"/>
      <c r="AO113" s="29"/>
      <c r="AP113" s="29"/>
      <c r="AQ113" s="37"/>
      <c r="AR113" s="29"/>
      <c r="AS113" s="38" t="str">
        <f aca="false">IF($C113="","",IF(OR(F113="Completed",F113="Cancelled"),"",IF(AND(OR(F113="On Hold",ISNUMBER(VALUE(LEFT(H113,2)))),AR113=""),"Reason not given","")))</f>
        <v/>
      </c>
      <c r="AT113" s="30"/>
      <c r="AU113" s="30"/>
    </row>
    <row r="114" customFormat="false" ht="19.5" hidden="false" customHeight="true" outlineLevel="0" collapsed="false">
      <c r="A114" s="28" t="str">
        <f aca="false">IF($C114="","",COUNTA($C$17:$C114))</f>
        <v/>
      </c>
      <c r="B114" s="29"/>
      <c r="C114" s="30"/>
      <c r="D114" s="29"/>
      <c r="E114" s="31" t="str">
        <f aca="false">IF($C114="","",IF(NOT(OR(M114="Completed",M114="NA",M114="Cancelled")),"S1 Schematic",IF(NOT(OR(Q114="Completed",Q114="NA",Q114="Cancelled")),"S2 PCB Layout",IF(NOT(OR(U114="Completed",U114="NA",U114="Cancelled")),"S3 SI &amp; PI",IF(NOT(OR(Y114="Completed",Y114="NA",Y114="Cancelled")),"S4 Bare-PCB Fab",IF(NOT(OR(AC114="Completed",AC114="NA",AC114="Cancelled")),"S5 Assembly",IF(NOT(OR(AG114="Completed",AG114="NA",AG114="Cancelled")),"S6 Bring-up",IF(NOT(OR(AK114="Completed",AK114="NA",AK114="Cancelled")),"S7 BOM Procurement","All Stages Closed"))))))))</f>
        <v/>
      </c>
      <c r="F114" s="32" t="str">
        <f aca="false">IF($C114="","",IF(COUNTIF(M114,"Cancelled")+COUNTIF(Q114,"Cancelled")+COUNTIF(U114,"Cancelled")+COUNTIF(Y114,"Cancelled")+COUNTIF(AC114,"Cancelled")+COUNTIF(AG114,"Cancelled")+COUNTIF(AK114,"Cancelled")&gt;0,"Cancelled",IF(E114="All Stages Closed","Completed",IF(E114="S1 Schematic",M114,IF(E114="S2 PCB Layout",Q114,IF(E114="S3 SI &amp; PI",U114,IF(E114="S4 Bare-PCB Fab",Y114,IF(E114="S5 Assembly",AC114,IF(E114="S6 Bring-up",AG114,AK114)))))))))</f>
        <v/>
      </c>
      <c r="G114" s="33" t="str">
        <f aca="false">IF($C114="","",IF(E114="All Stages Closed","",IF(E114="S1 Schematic",IF(N114="","Not added",N114),IF(E114="S2 PCB Layout",IF(R114="","Not added",R114),IF(E114="S3 SI &amp; PI",IF(V114="","Not added",V114),IF(E114="S4 Bare-PCB Fab",IF(Z114="","Not added",Z114),IF(E114="S5 Assembly",IF(AD114="","Not added",AD114),IF(E114="S6 Bring-up",IF(AH114="","Not added",AH114),IF(AL114="","Not added",AL114)))))))))</f>
        <v/>
      </c>
      <c r="H114" s="32" t="str">
        <f aca="true">IF($C114="","",IF(OR(F114="Completed",F114="Cancelled"),"",IF(NOT(ISNUMBER(G114)),"No date set",IF(TODAY()&gt;G114,TODAY()-G114&amp;" days late",G114-TODAY()&amp;" days left"))))</f>
        <v/>
      </c>
      <c r="I114" s="31" t="str">
        <f aca="false">IF($C114="","",COUNTIF(M114,"Completed")+COUNTIF(Q114,"Completed")+COUNTIF(U114,"Completed")+COUNTIF(Y114,"Completed")+COUNTIF(AC114,"Completed")+COUNTIF(AG114,"Completed")+COUNTIF(AK114,"Completed"))</f>
        <v/>
      </c>
      <c r="J114" s="31" t="str">
        <f aca="false">IF($C114="","",7-(COUNTIF(M114,"NA")+COUNTIF(Q114,"NA")+COUNTIF(U114,"NA")+COUNTIF(Y114,"NA")+COUNTIF(AC114,"NA")+COUNTIF(AG114,"NA")+COUNTIF(AK114,"NA")))</f>
        <v/>
      </c>
      <c r="K114" s="34" t="str">
        <f aca="false">IFERROR(I114/J114,"")</f>
        <v/>
      </c>
      <c r="L114" s="29"/>
      <c r="M114" s="35"/>
      <c r="N114" s="36"/>
      <c r="O114" s="36"/>
      <c r="P114" s="29"/>
      <c r="Q114" s="35"/>
      <c r="R114" s="36"/>
      <c r="S114" s="36"/>
      <c r="T114" s="29"/>
      <c r="U114" s="35"/>
      <c r="V114" s="36"/>
      <c r="W114" s="36"/>
      <c r="X114" s="29"/>
      <c r="Y114" s="35"/>
      <c r="Z114" s="36"/>
      <c r="AA114" s="36"/>
      <c r="AB114" s="29"/>
      <c r="AC114" s="35"/>
      <c r="AD114" s="36"/>
      <c r="AE114" s="36"/>
      <c r="AF114" s="29"/>
      <c r="AG114" s="35"/>
      <c r="AH114" s="36"/>
      <c r="AI114" s="36"/>
      <c r="AJ114" s="29"/>
      <c r="AK114" s="35"/>
      <c r="AL114" s="36"/>
      <c r="AM114" s="36"/>
      <c r="AN114" s="29"/>
      <c r="AO114" s="29"/>
      <c r="AP114" s="29"/>
      <c r="AQ114" s="37"/>
      <c r="AR114" s="29"/>
      <c r="AS114" s="38" t="str">
        <f aca="false">IF($C114="","",IF(OR(F114="Completed",F114="Cancelled"),"",IF(AND(OR(F114="On Hold",ISNUMBER(VALUE(LEFT(H114,2)))),AR114=""),"Reason not given","")))</f>
        <v/>
      </c>
      <c r="AT114" s="30"/>
      <c r="AU114" s="30"/>
    </row>
    <row r="115" customFormat="false" ht="19.5" hidden="false" customHeight="true" outlineLevel="0" collapsed="false">
      <c r="A115" s="28" t="str">
        <f aca="false">IF($C115="","",COUNTA($C$17:$C115))</f>
        <v/>
      </c>
      <c r="B115" s="29"/>
      <c r="C115" s="30"/>
      <c r="D115" s="29"/>
      <c r="E115" s="31" t="str">
        <f aca="false">IF($C115="","",IF(NOT(OR(M115="Completed",M115="NA",M115="Cancelled")),"S1 Schematic",IF(NOT(OR(Q115="Completed",Q115="NA",Q115="Cancelled")),"S2 PCB Layout",IF(NOT(OR(U115="Completed",U115="NA",U115="Cancelled")),"S3 SI &amp; PI",IF(NOT(OR(Y115="Completed",Y115="NA",Y115="Cancelled")),"S4 Bare-PCB Fab",IF(NOT(OR(AC115="Completed",AC115="NA",AC115="Cancelled")),"S5 Assembly",IF(NOT(OR(AG115="Completed",AG115="NA",AG115="Cancelled")),"S6 Bring-up",IF(NOT(OR(AK115="Completed",AK115="NA",AK115="Cancelled")),"S7 BOM Procurement","All Stages Closed"))))))))</f>
        <v/>
      </c>
      <c r="F115" s="32" t="str">
        <f aca="false">IF($C115="","",IF(COUNTIF(M115,"Cancelled")+COUNTIF(Q115,"Cancelled")+COUNTIF(U115,"Cancelled")+COUNTIF(Y115,"Cancelled")+COUNTIF(AC115,"Cancelled")+COUNTIF(AG115,"Cancelled")+COUNTIF(AK115,"Cancelled")&gt;0,"Cancelled",IF(E115="All Stages Closed","Completed",IF(E115="S1 Schematic",M115,IF(E115="S2 PCB Layout",Q115,IF(E115="S3 SI &amp; PI",U115,IF(E115="S4 Bare-PCB Fab",Y115,IF(E115="S5 Assembly",AC115,IF(E115="S6 Bring-up",AG115,AK115)))))))))</f>
        <v/>
      </c>
      <c r="G115" s="33" t="str">
        <f aca="false">IF($C115="","",IF(E115="All Stages Closed","",IF(E115="S1 Schematic",IF(N115="","Not added",N115),IF(E115="S2 PCB Layout",IF(R115="","Not added",R115),IF(E115="S3 SI &amp; PI",IF(V115="","Not added",V115),IF(E115="S4 Bare-PCB Fab",IF(Z115="","Not added",Z115),IF(E115="S5 Assembly",IF(AD115="","Not added",AD115),IF(E115="S6 Bring-up",IF(AH115="","Not added",AH115),IF(AL115="","Not added",AL115)))))))))</f>
        <v/>
      </c>
      <c r="H115" s="32" t="str">
        <f aca="true">IF($C115="","",IF(OR(F115="Completed",F115="Cancelled"),"",IF(NOT(ISNUMBER(G115)),"No date set",IF(TODAY()&gt;G115,TODAY()-G115&amp;" days late",G115-TODAY()&amp;" days left"))))</f>
        <v/>
      </c>
      <c r="I115" s="31" t="str">
        <f aca="false">IF($C115="","",COUNTIF(M115,"Completed")+COUNTIF(Q115,"Completed")+COUNTIF(U115,"Completed")+COUNTIF(Y115,"Completed")+COUNTIF(AC115,"Completed")+COUNTIF(AG115,"Completed")+COUNTIF(AK115,"Completed"))</f>
        <v/>
      </c>
      <c r="J115" s="31" t="str">
        <f aca="false">IF($C115="","",7-(COUNTIF(M115,"NA")+COUNTIF(Q115,"NA")+COUNTIF(U115,"NA")+COUNTIF(Y115,"NA")+COUNTIF(AC115,"NA")+COUNTIF(AG115,"NA")+COUNTIF(AK115,"NA")))</f>
        <v/>
      </c>
      <c r="K115" s="34" t="str">
        <f aca="false">IFERROR(I115/J115,"")</f>
        <v/>
      </c>
      <c r="L115" s="29"/>
      <c r="M115" s="35"/>
      <c r="N115" s="36"/>
      <c r="O115" s="36"/>
      <c r="P115" s="29"/>
      <c r="Q115" s="35"/>
      <c r="R115" s="36"/>
      <c r="S115" s="36"/>
      <c r="T115" s="29"/>
      <c r="U115" s="35"/>
      <c r="V115" s="36"/>
      <c r="W115" s="36"/>
      <c r="X115" s="29"/>
      <c r="Y115" s="35"/>
      <c r="Z115" s="36"/>
      <c r="AA115" s="36"/>
      <c r="AB115" s="29"/>
      <c r="AC115" s="35"/>
      <c r="AD115" s="36"/>
      <c r="AE115" s="36"/>
      <c r="AF115" s="29"/>
      <c r="AG115" s="35"/>
      <c r="AH115" s="36"/>
      <c r="AI115" s="36"/>
      <c r="AJ115" s="29"/>
      <c r="AK115" s="35"/>
      <c r="AL115" s="36"/>
      <c r="AM115" s="36"/>
      <c r="AN115" s="29"/>
      <c r="AO115" s="29"/>
      <c r="AP115" s="29"/>
      <c r="AQ115" s="37"/>
      <c r="AR115" s="29"/>
      <c r="AS115" s="38" t="str">
        <f aca="false">IF($C115="","",IF(OR(F115="Completed",F115="Cancelled"),"",IF(AND(OR(F115="On Hold",ISNUMBER(VALUE(LEFT(H115,2)))),AR115=""),"Reason not given","")))</f>
        <v/>
      </c>
      <c r="AT115" s="30"/>
      <c r="AU115" s="30"/>
    </row>
    <row r="116" customFormat="false" ht="19.5" hidden="false" customHeight="true" outlineLevel="0" collapsed="false">
      <c r="A116" s="28" t="str">
        <f aca="false">IF($C116="","",COUNTA($C$17:$C116))</f>
        <v/>
      </c>
      <c r="B116" s="29"/>
      <c r="C116" s="30"/>
      <c r="D116" s="29"/>
      <c r="E116" s="31" t="str">
        <f aca="false">IF($C116="","",IF(NOT(OR(M116="Completed",M116="NA",M116="Cancelled")),"S1 Schematic",IF(NOT(OR(Q116="Completed",Q116="NA",Q116="Cancelled")),"S2 PCB Layout",IF(NOT(OR(U116="Completed",U116="NA",U116="Cancelled")),"S3 SI &amp; PI",IF(NOT(OR(Y116="Completed",Y116="NA",Y116="Cancelled")),"S4 Bare-PCB Fab",IF(NOT(OR(AC116="Completed",AC116="NA",AC116="Cancelled")),"S5 Assembly",IF(NOT(OR(AG116="Completed",AG116="NA",AG116="Cancelled")),"S6 Bring-up",IF(NOT(OR(AK116="Completed",AK116="NA",AK116="Cancelled")),"S7 BOM Procurement","All Stages Closed"))))))))</f>
        <v/>
      </c>
      <c r="F116" s="32" t="str">
        <f aca="false">IF($C116="","",IF(COUNTIF(M116,"Cancelled")+COUNTIF(Q116,"Cancelled")+COUNTIF(U116,"Cancelled")+COUNTIF(Y116,"Cancelled")+COUNTIF(AC116,"Cancelled")+COUNTIF(AG116,"Cancelled")+COUNTIF(AK116,"Cancelled")&gt;0,"Cancelled",IF(E116="All Stages Closed","Completed",IF(E116="S1 Schematic",M116,IF(E116="S2 PCB Layout",Q116,IF(E116="S3 SI &amp; PI",U116,IF(E116="S4 Bare-PCB Fab",Y116,IF(E116="S5 Assembly",AC116,IF(E116="S6 Bring-up",AG116,AK116)))))))))</f>
        <v/>
      </c>
      <c r="G116" s="33" t="str">
        <f aca="false">IF($C116="","",IF(E116="All Stages Closed","",IF(E116="S1 Schematic",IF(N116="","Not added",N116),IF(E116="S2 PCB Layout",IF(R116="","Not added",R116),IF(E116="S3 SI &amp; PI",IF(V116="","Not added",V116),IF(E116="S4 Bare-PCB Fab",IF(Z116="","Not added",Z116),IF(E116="S5 Assembly",IF(AD116="","Not added",AD116),IF(E116="S6 Bring-up",IF(AH116="","Not added",AH116),IF(AL116="","Not added",AL116)))))))))</f>
        <v/>
      </c>
      <c r="H116" s="32" t="str">
        <f aca="true">IF($C116="","",IF(OR(F116="Completed",F116="Cancelled"),"",IF(NOT(ISNUMBER(G116)),"No date set",IF(TODAY()&gt;G116,TODAY()-G116&amp;" days late",G116-TODAY()&amp;" days left"))))</f>
        <v/>
      </c>
      <c r="I116" s="31" t="str">
        <f aca="false">IF($C116="","",COUNTIF(M116,"Completed")+COUNTIF(Q116,"Completed")+COUNTIF(U116,"Completed")+COUNTIF(Y116,"Completed")+COUNTIF(AC116,"Completed")+COUNTIF(AG116,"Completed")+COUNTIF(AK116,"Completed"))</f>
        <v/>
      </c>
      <c r="J116" s="31" t="str">
        <f aca="false">IF($C116="","",7-(COUNTIF(M116,"NA")+COUNTIF(Q116,"NA")+COUNTIF(U116,"NA")+COUNTIF(Y116,"NA")+COUNTIF(AC116,"NA")+COUNTIF(AG116,"NA")+COUNTIF(AK116,"NA")))</f>
        <v/>
      </c>
      <c r="K116" s="34" t="str">
        <f aca="false">IFERROR(I116/J116,"")</f>
        <v/>
      </c>
      <c r="L116" s="29"/>
      <c r="M116" s="35"/>
      <c r="N116" s="36"/>
      <c r="O116" s="36"/>
      <c r="P116" s="29"/>
      <c r="Q116" s="35"/>
      <c r="R116" s="36"/>
      <c r="S116" s="36"/>
      <c r="T116" s="29"/>
      <c r="U116" s="35"/>
      <c r="V116" s="36"/>
      <c r="W116" s="36"/>
      <c r="X116" s="29"/>
      <c r="Y116" s="35"/>
      <c r="Z116" s="36"/>
      <c r="AA116" s="36"/>
      <c r="AB116" s="29"/>
      <c r="AC116" s="35"/>
      <c r="AD116" s="36"/>
      <c r="AE116" s="36"/>
      <c r="AF116" s="29"/>
      <c r="AG116" s="35"/>
      <c r="AH116" s="36"/>
      <c r="AI116" s="36"/>
      <c r="AJ116" s="29"/>
      <c r="AK116" s="35"/>
      <c r="AL116" s="36"/>
      <c r="AM116" s="36"/>
      <c r="AN116" s="29"/>
      <c r="AO116" s="29"/>
      <c r="AP116" s="29"/>
      <c r="AQ116" s="37"/>
      <c r="AR116" s="29"/>
      <c r="AS116" s="38" t="str">
        <f aca="false">IF($C116="","",IF(OR(F116="Completed",F116="Cancelled"),"",IF(AND(OR(F116="On Hold",ISNUMBER(VALUE(LEFT(H116,2)))),AR116=""),"Reason not given","")))</f>
        <v/>
      </c>
      <c r="AT116" s="30"/>
      <c r="AU116" s="30"/>
    </row>
    <row r="117" customFormat="false" ht="19.5" hidden="false" customHeight="true" outlineLevel="0" collapsed="false">
      <c r="A117" s="28" t="str">
        <f aca="false">IF($C117="","",COUNTA($C$17:$C117))</f>
        <v/>
      </c>
      <c r="B117" s="29"/>
      <c r="C117" s="30"/>
      <c r="D117" s="29"/>
      <c r="E117" s="31" t="str">
        <f aca="false">IF($C117="","",IF(NOT(OR(M117="Completed",M117="NA",M117="Cancelled")),"S1 Schematic",IF(NOT(OR(Q117="Completed",Q117="NA",Q117="Cancelled")),"S2 PCB Layout",IF(NOT(OR(U117="Completed",U117="NA",U117="Cancelled")),"S3 SI &amp; PI",IF(NOT(OR(Y117="Completed",Y117="NA",Y117="Cancelled")),"S4 Bare-PCB Fab",IF(NOT(OR(AC117="Completed",AC117="NA",AC117="Cancelled")),"S5 Assembly",IF(NOT(OR(AG117="Completed",AG117="NA",AG117="Cancelled")),"S6 Bring-up",IF(NOT(OR(AK117="Completed",AK117="NA",AK117="Cancelled")),"S7 BOM Procurement","All Stages Closed"))))))))</f>
        <v/>
      </c>
      <c r="F117" s="32" t="str">
        <f aca="false">IF($C117="","",IF(COUNTIF(M117,"Cancelled")+COUNTIF(Q117,"Cancelled")+COUNTIF(U117,"Cancelled")+COUNTIF(Y117,"Cancelled")+COUNTIF(AC117,"Cancelled")+COUNTIF(AG117,"Cancelled")+COUNTIF(AK117,"Cancelled")&gt;0,"Cancelled",IF(E117="All Stages Closed","Completed",IF(E117="S1 Schematic",M117,IF(E117="S2 PCB Layout",Q117,IF(E117="S3 SI &amp; PI",U117,IF(E117="S4 Bare-PCB Fab",Y117,IF(E117="S5 Assembly",AC117,IF(E117="S6 Bring-up",AG117,AK117)))))))))</f>
        <v/>
      </c>
      <c r="G117" s="33" t="str">
        <f aca="false">IF($C117="","",IF(E117="All Stages Closed","",IF(E117="S1 Schematic",IF(N117="","Not added",N117),IF(E117="S2 PCB Layout",IF(R117="","Not added",R117),IF(E117="S3 SI &amp; PI",IF(V117="","Not added",V117),IF(E117="S4 Bare-PCB Fab",IF(Z117="","Not added",Z117),IF(E117="S5 Assembly",IF(AD117="","Not added",AD117),IF(E117="S6 Bring-up",IF(AH117="","Not added",AH117),IF(AL117="","Not added",AL117)))))))))</f>
        <v/>
      </c>
      <c r="H117" s="32" t="str">
        <f aca="true">IF($C117="","",IF(OR(F117="Completed",F117="Cancelled"),"",IF(NOT(ISNUMBER(G117)),"No date set",IF(TODAY()&gt;G117,TODAY()-G117&amp;" days late",G117-TODAY()&amp;" days left"))))</f>
        <v/>
      </c>
      <c r="I117" s="31" t="str">
        <f aca="false">IF($C117="","",COUNTIF(M117,"Completed")+COUNTIF(Q117,"Completed")+COUNTIF(U117,"Completed")+COUNTIF(Y117,"Completed")+COUNTIF(AC117,"Completed")+COUNTIF(AG117,"Completed")+COUNTIF(AK117,"Completed"))</f>
        <v/>
      </c>
      <c r="J117" s="31" t="str">
        <f aca="false">IF($C117="","",7-(COUNTIF(M117,"NA")+COUNTIF(Q117,"NA")+COUNTIF(U117,"NA")+COUNTIF(Y117,"NA")+COUNTIF(AC117,"NA")+COUNTIF(AG117,"NA")+COUNTIF(AK117,"NA")))</f>
        <v/>
      </c>
      <c r="K117" s="34" t="str">
        <f aca="false">IFERROR(I117/J117,"")</f>
        <v/>
      </c>
      <c r="L117" s="29"/>
      <c r="M117" s="35"/>
      <c r="N117" s="36"/>
      <c r="O117" s="36"/>
      <c r="P117" s="29"/>
      <c r="Q117" s="35"/>
      <c r="R117" s="36"/>
      <c r="S117" s="36"/>
      <c r="T117" s="29"/>
      <c r="U117" s="35"/>
      <c r="V117" s="36"/>
      <c r="W117" s="36"/>
      <c r="X117" s="29"/>
      <c r="Y117" s="35"/>
      <c r="Z117" s="36"/>
      <c r="AA117" s="36"/>
      <c r="AB117" s="29"/>
      <c r="AC117" s="35"/>
      <c r="AD117" s="36"/>
      <c r="AE117" s="36"/>
      <c r="AF117" s="29"/>
      <c r="AG117" s="35"/>
      <c r="AH117" s="36"/>
      <c r="AI117" s="36"/>
      <c r="AJ117" s="29"/>
      <c r="AK117" s="35"/>
      <c r="AL117" s="36"/>
      <c r="AM117" s="36"/>
      <c r="AN117" s="29"/>
      <c r="AO117" s="29"/>
      <c r="AP117" s="29"/>
      <c r="AQ117" s="37"/>
      <c r="AR117" s="29"/>
      <c r="AS117" s="38" t="str">
        <f aca="false">IF($C117="","",IF(OR(F117="Completed",F117="Cancelled"),"",IF(AND(OR(F117="On Hold",ISNUMBER(VALUE(LEFT(H117,2)))),AR117=""),"Reason not given","")))</f>
        <v/>
      </c>
      <c r="AT117" s="30"/>
      <c r="AU117" s="30"/>
    </row>
    <row r="118" customFormat="false" ht="19.5" hidden="false" customHeight="true" outlineLevel="0" collapsed="false">
      <c r="A118" s="28" t="str">
        <f aca="false">IF($C118="","",COUNTA($C$17:$C118))</f>
        <v/>
      </c>
      <c r="B118" s="29"/>
      <c r="C118" s="30"/>
      <c r="D118" s="29"/>
      <c r="E118" s="31" t="str">
        <f aca="false">IF($C118="","",IF(NOT(OR(M118="Completed",M118="NA",M118="Cancelled")),"S1 Schematic",IF(NOT(OR(Q118="Completed",Q118="NA",Q118="Cancelled")),"S2 PCB Layout",IF(NOT(OR(U118="Completed",U118="NA",U118="Cancelled")),"S3 SI &amp; PI",IF(NOT(OR(Y118="Completed",Y118="NA",Y118="Cancelled")),"S4 Bare-PCB Fab",IF(NOT(OR(AC118="Completed",AC118="NA",AC118="Cancelled")),"S5 Assembly",IF(NOT(OR(AG118="Completed",AG118="NA",AG118="Cancelled")),"S6 Bring-up",IF(NOT(OR(AK118="Completed",AK118="NA",AK118="Cancelled")),"S7 BOM Procurement","All Stages Closed"))))))))</f>
        <v/>
      </c>
      <c r="F118" s="32" t="str">
        <f aca="false">IF($C118="","",IF(COUNTIF(M118,"Cancelled")+COUNTIF(Q118,"Cancelled")+COUNTIF(U118,"Cancelled")+COUNTIF(Y118,"Cancelled")+COUNTIF(AC118,"Cancelled")+COUNTIF(AG118,"Cancelled")+COUNTIF(AK118,"Cancelled")&gt;0,"Cancelled",IF(E118="All Stages Closed","Completed",IF(E118="S1 Schematic",M118,IF(E118="S2 PCB Layout",Q118,IF(E118="S3 SI &amp; PI",U118,IF(E118="S4 Bare-PCB Fab",Y118,IF(E118="S5 Assembly",AC118,IF(E118="S6 Bring-up",AG118,AK118)))))))))</f>
        <v/>
      </c>
      <c r="G118" s="33" t="str">
        <f aca="false">IF($C118="","",IF(E118="All Stages Closed","",IF(E118="S1 Schematic",IF(N118="","Not added",N118),IF(E118="S2 PCB Layout",IF(R118="","Not added",R118),IF(E118="S3 SI &amp; PI",IF(V118="","Not added",V118),IF(E118="S4 Bare-PCB Fab",IF(Z118="","Not added",Z118),IF(E118="S5 Assembly",IF(AD118="","Not added",AD118),IF(E118="S6 Bring-up",IF(AH118="","Not added",AH118),IF(AL118="","Not added",AL118)))))))))</f>
        <v/>
      </c>
      <c r="H118" s="32" t="str">
        <f aca="true">IF($C118="","",IF(OR(F118="Completed",F118="Cancelled"),"",IF(NOT(ISNUMBER(G118)),"No date set",IF(TODAY()&gt;G118,TODAY()-G118&amp;" days late",G118-TODAY()&amp;" days left"))))</f>
        <v/>
      </c>
      <c r="I118" s="31" t="str">
        <f aca="false">IF($C118="","",COUNTIF(M118,"Completed")+COUNTIF(Q118,"Completed")+COUNTIF(U118,"Completed")+COUNTIF(Y118,"Completed")+COUNTIF(AC118,"Completed")+COUNTIF(AG118,"Completed")+COUNTIF(AK118,"Completed"))</f>
        <v/>
      </c>
      <c r="J118" s="31" t="str">
        <f aca="false">IF($C118="","",7-(COUNTIF(M118,"NA")+COUNTIF(Q118,"NA")+COUNTIF(U118,"NA")+COUNTIF(Y118,"NA")+COUNTIF(AC118,"NA")+COUNTIF(AG118,"NA")+COUNTIF(AK118,"NA")))</f>
        <v/>
      </c>
      <c r="K118" s="34" t="str">
        <f aca="false">IFERROR(I118/J118,"")</f>
        <v/>
      </c>
      <c r="L118" s="29"/>
      <c r="M118" s="35"/>
      <c r="N118" s="36"/>
      <c r="O118" s="36"/>
      <c r="P118" s="29"/>
      <c r="Q118" s="35"/>
      <c r="R118" s="36"/>
      <c r="S118" s="36"/>
      <c r="T118" s="29"/>
      <c r="U118" s="35"/>
      <c r="V118" s="36"/>
      <c r="W118" s="36"/>
      <c r="X118" s="29"/>
      <c r="Y118" s="35"/>
      <c r="Z118" s="36"/>
      <c r="AA118" s="36"/>
      <c r="AB118" s="29"/>
      <c r="AC118" s="35"/>
      <c r="AD118" s="36"/>
      <c r="AE118" s="36"/>
      <c r="AF118" s="29"/>
      <c r="AG118" s="35"/>
      <c r="AH118" s="36"/>
      <c r="AI118" s="36"/>
      <c r="AJ118" s="29"/>
      <c r="AK118" s="35"/>
      <c r="AL118" s="36"/>
      <c r="AM118" s="36"/>
      <c r="AN118" s="29"/>
      <c r="AO118" s="29"/>
      <c r="AP118" s="29"/>
      <c r="AQ118" s="37"/>
      <c r="AR118" s="29"/>
      <c r="AS118" s="38" t="str">
        <f aca="false">IF($C118="","",IF(OR(F118="Completed",F118="Cancelled"),"",IF(AND(OR(F118="On Hold",ISNUMBER(VALUE(LEFT(H118,2)))),AR118=""),"Reason not given","")))</f>
        <v/>
      </c>
      <c r="AT118" s="30"/>
      <c r="AU118" s="30"/>
    </row>
    <row r="119" customFormat="false" ht="19.5" hidden="false" customHeight="true" outlineLevel="0" collapsed="false">
      <c r="A119" s="28" t="str">
        <f aca="false">IF($C119="","",COUNTA($C$17:$C119))</f>
        <v/>
      </c>
      <c r="B119" s="29"/>
      <c r="C119" s="30"/>
      <c r="D119" s="29"/>
      <c r="E119" s="31" t="str">
        <f aca="false">IF($C119="","",IF(NOT(OR(M119="Completed",M119="NA",M119="Cancelled")),"S1 Schematic",IF(NOT(OR(Q119="Completed",Q119="NA",Q119="Cancelled")),"S2 PCB Layout",IF(NOT(OR(U119="Completed",U119="NA",U119="Cancelled")),"S3 SI &amp; PI",IF(NOT(OR(Y119="Completed",Y119="NA",Y119="Cancelled")),"S4 Bare-PCB Fab",IF(NOT(OR(AC119="Completed",AC119="NA",AC119="Cancelled")),"S5 Assembly",IF(NOT(OR(AG119="Completed",AG119="NA",AG119="Cancelled")),"S6 Bring-up",IF(NOT(OR(AK119="Completed",AK119="NA",AK119="Cancelled")),"S7 BOM Procurement","All Stages Closed"))))))))</f>
        <v/>
      </c>
      <c r="F119" s="32" t="str">
        <f aca="false">IF($C119="","",IF(COUNTIF(M119,"Cancelled")+COUNTIF(Q119,"Cancelled")+COUNTIF(U119,"Cancelled")+COUNTIF(Y119,"Cancelled")+COUNTIF(AC119,"Cancelled")+COUNTIF(AG119,"Cancelled")+COUNTIF(AK119,"Cancelled")&gt;0,"Cancelled",IF(E119="All Stages Closed","Completed",IF(E119="S1 Schematic",M119,IF(E119="S2 PCB Layout",Q119,IF(E119="S3 SI &amp; PI",U119,IF(E119="S4 Bare-PCB Fab",Y119,IF(E119="S5 Assembly",AC119,IF(E119="S6 Bring-up",AG119,AK119)))))))))</f>
        <v/>
      </c>
      <c r="G119" s="33" t="str">
        <f aca="false">IF($C119="","",IF(E119="All Stages Closed","",IF(E119="S1 Schematic",IF(N119="","Not added",N119),IF(E119="S2 PCB Layout",IF(R119="","Not added",R119),IF(E119="S3 SI &amp; PI",IF(V119="","Not added",V119),IF(E119="S4 Bare-PCB Fab",IF(Z119="","Not added",Z119),IF(E119="S5 Assembly",IF(AD119="","Not added",AD119),IF(E119="S6 Bring-up",IF(AH119="","Not added",AH119),IF(AL119="","Not added",AL119)))))))))</f>
        <v/>
      </c>
      <c r="H119" s="32" t="str">
        <f aca="true">IF($C119="","",IF(OR(F119="Completed",F119="Cancelled"),"",IF(NOT(ISNUMBER(G119)),"No date set",IF(TODAY()&gt;G119,TODAY()-G119&amp;" days late",G119-TODAY()&amp;" days left"))))</f>
        <v/>
      </c>
      <c r="I119" s="31" t="str">
        <f aca="false">IF($C119="","",COUNTIF(M119,"Completed")+COUNTIF(Q119,"Completed")+COUNTIF(U119,"Completed")+COUNTIF(Y119,"Completed")+COUNTIF(AC119,"Completed")+COUNTIF(AG119,"Completed")+COUNTIF(AK119,"Completed"))</f>
        <v/>
      </c>
      <c r="J119" s="31" t="str">
        <f aca="false">IF($C119="","",7-(COUNTIF(M119,"NA")+COUNTIF(Q119,"NA")+COUNTIF(U119,"NA")+COUNTIF(Y119,"NA")+COUNTIF(AC119,"NA")+COUNTIF(AG119,"NA")+COUNTIF(AK119,"NA")))</f>
        <v/>
      </c>
      <c r="K119" s="34" t="str">
        <f aca="false">IFERROR(I119/J119,"")</f>
        <v/>
      </c>
      <c r="L119" s="29"/>
      <c r="M119" s="35"/>
      <c r="N119" s="36"/>
      <c r="O119" s="36"/>
      <c r="P119" s="29"/>
      <c r="Q119" s="35"/>
      <c r="R119" s="36"/>
      <c r="S119" s="36"/>
      <c r="T119" s="29"/>
      <c r="U119" s="35"/>
      <c r="V119" s="36"/>
      <c r="W119" s="36"/>
      <c r="X119" s="29"/>
      <c r="Y119" s="35"/>
      <c r="Z119" s="36"/>
      <c r="AA119" s="36"/>
      <c r="AB119" s="29"/>
      <c r="AC119" s="35"/>
      <c r="AD119" s="36"/>
      <c r="AE119" s="36"/>
      <c r="AF119" s="29"/>
      <c r="AG119" s="35"/>
      <c r="AH119" s="36"/>
      <c r="AI119" s="36"/>
      <c r="AJ119" s="29"/>
      <c r="AK119" s="35"/>
      <c r="AL119" s="36"/>
      <c r="AM119" s="36"/>
      <c r="AN119" s="29"/>
      <c r="AO119" s="29"/>
      <c r="AP119" s="29"/>
      <c r="AQ119" s="37"/>
      <c r="AR119" s="29"/>
      <c r="AS119" s="38" t="str">
        <f aca="false">IF($C119="","",IF(OR(F119="Completed",F119="Cancelled"),"",IF(AND(OR(F119="On Hold",ISNUMBER(VALUE(LEFT(H119,2)))),AR119=""),"Reason not given","")))</f>
        <v/>
      </c>
      <c r="AT119" s="30"/>
      <c r="AU119" s="30"/>
    </row>
    <row r="120" customFormat="false" ht="19.5" hidden="false" customHeight="true" outlineLevel="0" collapsed="false">
      <c r="A120" s="28" t="str">
        <f aca="false">IF($C120="","",COUNTA($C$17:$C120))</f>
        <v/>
      </c>
      <c r="B120" s="29"/>
      <c r="C120" s="30"/>
      <c r="D120" s="29"/>
      <c r="E120" s="31" t="str">
        <f aca="false">IF($C120="","",IF(NOT(OR(M120="Completed",M120="NA",M120="Cancelled")),"S1 Schematic",IF(NOT(OR(Q120="Completed",Q120="NA",Q120="Cancelled")),"S2 PCB Layout",IF(NOT(OR(U120="Completed",U120="NA",U120="Cancelled")),"S3 SI &amp; PI",IF(NOT(OR(Y120="Completed",Y120="NA",Y120="Cancelled")),"S4 Bare-PCB Fab",IF(NOT(OR(AC120="Completed",AC120="NA",AC120="Cancelled")),"S5 Assembly",IF(NOT(OR(AG120="Completed",AG120="NA",AG120="Cancelled")),"S6 Bring-up",IF(NOT(OR(AK120="Completed",AK120="NA",AK120="Cancelled")),"S7 BOM Procurement","All Stages Closed"))))))))</f>
        <v/>
      </c>
      <c r="F120" s="32" t="str">
        <f aca="false">IF($C120="","",IF(COUNTIF(M120,"Cancelled")+COUNTIF(Q120,"Cancelled")+COUNTIF(U120,"Cancelled")+COUNTIF(Y120,"Cancelled")+COUNTIF(AC120,"Cancelled")+COUNTIF(AG120,"Cancelled")+COUNTIF(AK120,"Cancelled")&gt;0,"Cancelled",IF(E120="All Stages Closed","Completed",IF(E120="S1 Schematic",M120,IF(E120="S2 PCB Layout",Q120,IF(E120="S3 SI &amp; PI",U120,IF(E120="S4 Bare-PCB Fab",Y120,IF(E120="S5 Assembly",AC120,IF(E120="S6 Bring-up",AG120,AK120)))))))))</f>
        <v/>
      </c>
      <c r="G120" s="33" t="str">
        <f aca="false">IF($C120="","",IF(E120="All Stages Closed","",IF(E120="S1 Schematic",IF(N120="","Not added",N120),IF(E120="S2 PCB Layout",IF(R120="","Not added",R120),IF(E120="S3 SI &amp; PI",IF(V120="","Not added",V120),IF(E120="S4 Bare-PCB Fab",IF(Z120="","Not added",Z120),IF(E120="S5 Assembly",IF(AD120="","Not added",AD120),IF(E120="S6 Bring-up",IF(AH120="","Not added",AH120),IF(AL120="","Not added",AL120)))))))))</f>
        <v/>
      </c>
      <c r="H120" s="32" t="str">
        <f aca="true">IF($C120="","",IF(OR(F120="Completed",F120="Cancelled"),"",IF(NOT(ISNUMBER(G120)),"No date set",IF(TODAY()&gt;G120,TODAY()-G120&amp;" days late",G120-TODAY()&amp;" days left"))))</f>
        <v/>
      </c>
      <c r="I120" s="31" t="str">
        <f aca="false">IF($C120="","",COUNTIF(M120,"Completed")+COUNTIF(Q120,"Completed")+COUNTIF(U120,"Completed")+COUNTIF(Y120,"Completed")+COUNTIF(AC120,"Completed")+COUNTIF(AG120,"Completed")+COUNTIF(AK120,"Completed"))</f>
        <v/>
      </c>
      <c r="J120" s="31" t="str">
        <f aca="false">IF($C120="","",7-(COUNTIF(M120,"NA")+COUNTIF(Q120,"NA")+COUNTIF(U120,"NA")+COUNTIF(Y120,"NA")+COUNTIF(AC120,"NA")+COUNTIF(AG120,"NA")+COUNTIF(AK120,"NA")))</f>
        <v/>
      </c>
      <c r="K120" s="34" t="str">
        <f aca="false">IFERROR(I120/J120,"")</f>
        <v/>
      </c>
      <c r="L120" s="29"/>
      <c r="M120" s="35"/>
      <c r="N120" s="36"/>
      <c r="O120" s="36"/>
      <c r="P120" s="29"/>
      <c r="Q120" s="35"/>
      <c r="R120" s="36"/>
      <c r="S120" s="36"/>
      <c r="T120" s="29"/>
      <c r="U120" s="35"/>
      <c r="V120" s="36"/>
      <c r="W120" s="36"/>
      <c r="X120" s="29"/>
      <c r="Y120" s="35"/>
      <c r="Z120" s="36"/>
      <c r="AA120" s="36"/>
      <c r="AB120" s="29"/>
      <c r="AC120" s="35"/>
      <c r="AD120" s="36"/>
      <c r="AE120" s="36"/>
      <c r="AF120" s="29"/>
      <c r="AG120" s="35"/>
      <c r="AH120" s="36"/>
      <c r="AI120" s="36"/>
      <c r="AJ120" s="29"/>
      <c r="AK120" s="35"/>
      <c r="AL120" s="36"/>
      <c r="AM120" s="36"/>
      <c r="AN120" s="29"/>
      <c r="AO120" s="29"/>
      <c r="AP120" s="29"/>
      <c r="AQ120" s="37"/>
      <c r="AR120" s="29"/>
      <c r="AS120" s="38" t="str">
        <f aca="false">IF($C120="","",IF(OR(F120="Completed",F120="Cancelled"),"",IF(AND(OR(F120="On Hold",ISNUMBER(VALUE(LEFT(H120,2)))),AR120=""),"Reason not given","")))</f>
        <v/>
      </c>
      <c r="AT120" s="30"/>
      <c r="AU120" s="30"/>
    </row>
    <row r="121" customFormat="false" ht="19.5" hidden="false" customHeight="true" outlineLevel="0" collapsed="false">
      <c r="A121" s="28" t="str">
        <f aca="false">IF($C121="","",COUNTA($C$17:$C121))</f>
        <v/>
      </c>
      <c r="B121" s="29"/>
      <c r="C121" s="30"/>
      <c r="D121" s="29"/>
      <c r="E121" s="31" t="str">
        <f aca="false">IF($C121="","",IF(NOT(OR(M121="Completed",M121="NA",M121="Cancelled")),"S1 Schematic",IF(NOT(OR(Q121="Completed",Q121="NA",Q121="Cancelled")),"S2 PCB Layout",IF(NOT(OR(U121="Completed",U121="NA",U121="Cancelled")),"S3 SI &amp; PI",IF(NOT(OR(Y121="Completed",Y121="NA",Y121="Cancelled")),"S4 Bare-PCB Fab",IF(NOT(OR(AC121="Completed",AC121="NA",AC121="Cancelled")),"S5 Assembly",IF(NOT(OR(AG121="Completed",AG121="NA",AG121="Cancelled")),"S6 Bring-up",IF(NOT(OR(AK121="Completed",AK121="NA",AK121="Cancelled")),"S7 BOM Procurement","All Stages Closed"))))))))</f>
        <v/>
      </c>
      <c r="F121" s="32" t="str">
        <f aca="false">IF($C121="","",IF(COUNTIF(M121,"Cancelled")+COUNTIF(Q121,"Cancelled")+COUNTIF(U121,"Cancelled")+COUNTIF(Y121,"Cancelled")+COUNTIF(AC121,"Cancelled")+COUNTIF(AG121,"Cancelled")+COUNTIF(AK121,"Cancelled")&gt;0,"Cancelled",IF(E121="All Stages Closed","Completed",IF(E121="S1 Schematic",M121,IF(E121="S2 PCB Layout",Q121,IF(E121="S3 SI &amp; PI",U121,IF(E121="S4 Bare-PCB Fab",Y121,IF(E121="S5 Assembly",AC121,IF(E121="S6 Bring-up",AG121,AK121)))))))))</f>
        <v/>
      </c>
      <c r="G121" s="33" t="str">
        <f aca="false">IF($C121="","",IF(E121="All Stages Closed","",IF(E121="S1 Schematic",IF(N121="","Not added",N121),IF(E121="S2 PCB Layout",IF(R121="","Not added",R121),IF(E121="S3 SI &amp; PI",IF(V121="","Not added",V121),IF(E121="S4 Bare-PCB Fab",IF(Z121="","Not added",Z121),IF(E121="S5 Assembly",IF(AD121="","Not added",AD121),IF(E121="S6 Bring-up",IF(AH121="","Not added",AH121),IF(AL121="","Not added",AL121)))))))))</f>
        <v/>
      </c>
      <c r="H121" s="32" t="str">
        <f aca="true">IF($C121="","",IF(OR(F121="Completed",F121="Cancelled"),"",IF(NOT(ISNUMBER(G121)),"No date set",IF(TODAY()&gt;G121,TODAY()-G121&amp;" days late",G121-TODAY()&amp;" days left"))))</f>
        <v/>
      </c>
      <c r="I121" s="31" t="str">
        <f aca="false">IF($C121="","",COUNTIF(M121,"Completed")+COUNTIF(Q121,"Completed")+COUNTIF(U121,"Completed")+COUNTIF(Y121,"Completed")+COUNTIF(AC121,"Completed")+COUNTIF(AG121,"Completed")+COUNTIF(AK121,"Completed"))</f>
        <v/>
      </c>
      <c r="J121" s="31" t="str">
        <f aca="false">IF($C121="","",7-(COUNTIF(M121,"NA")+COUNTIF(Q121,"NA")+COUNTIF(U121,"NA")+COUNTIF(Y121,"NA")+COUNTIF(AC121,"NA")+COUNTIF(AG121,"NA")+COUNTIF(AK121,"NA")))</f>
        <v/>
      </c>
      <c r="K121" s="34" t="str">
        <f aca="false">IFERROR(I121/J121,"")</f>
        <v/>
      </c>
      <c r="L121" s="29"/>
      <c r="M121" s="35"/>
      <c r="N121" s="36"/>
      <c r="O121" s="36"/>
      <c r="P121" s="29"/>
      <c r="Q121" s="35"/>
      <c r="R121" s="36"/>
      <c r="S121" s="36"/>
      <c r="T121" s="29"/>
      <c r="U121" s="35"/>
      <c r="V121" s="36"/>
      <c r="W121" s="36"/>
      <c r="X121" s="29"/>
      <c r="Y121" s="35"/>
      <c r="Z121" s="36"/>
      <c r="AA121" s="36"/>
      <c r="AB121" s="29"/>
      <c r="AC121" s="35"/>
      <c r="AD121" s="36"/>
      <c r="AE121" s="36"/>
      <c r="AF121" s="29"/>
      <c r="AG121" s="35"/>
      <c r="AH121" s="36"/>
      <c r="AI121" s="36"/>
      <c r="AJ121" s="29"/>
      <c r="AK121" s="35"/>
      <c r="AL121" s="36"/>
      <c r="AM121" s="36"/>
      <c r="AN121" s="29"/>
      <c r="AO121" s="29"/>
      <c r="AP121" s="29"/>
      <c r="AQ121" s="37"/>
      <c r="AR121" s="29"/>
      <c r="AS121" s="38" t="str">
        <f aca="false">IF($C121="","",IF(OR(F121="Completed",F121="Cancelled"),"",IF(AND(OR(F121="On Hold",ISNUMBER(VALUE(LEFT(H121,2)))),AR121=""),"Reason not given","")))</f>
        <v/>
      </c>
      <c r="AT121" s="30"/>
      <c r="AU121" s="30"/>
    </row>
    <row r="122" customFormat="false" ht="19.5" hidden="false" customHeight="true" outlineLevel="0" collapsed="false">
      <c r="A122" s="28" t="str">
        <f aca="false">IF($C122="","",COUNTA($C$17:$C122))</f>
        <v/>
      </c>
      <c r="B122" s="29"/>
      <c r="C122" s="30"/>
      <c r="D122" s="29"/>
      <c r="E122" s="31" t="str">
        <f aca="false">IF($C122="","",IF(NOT(OR(M122="Completed",M122="NA",M122="Cancelled")),"S1 Schematic",IF(NOT(OR(Q122="Completed",Q122="NA",Q122="Cancelled")),"S2 PCB Layout",IF(NOT(OR(U122="Completed",U122="NA",U122="Cancelled")),"S3 SI &amp; PI",IF(NOT(OR(Y122="Completed",Y122="NA",Y122="Cancelled")),"S4 Bare-PCB Fab",IF(NOT(OR(AC122="Completed",AC122="NA",AC122="Cancelled")),"S5 Assembly",IF(NOT(OR(AG122="Completed",AG122="NA",AG122="Cancelled")),"S6 Bring-up",IF(NOT(OR(AK122="Completed",AK122="NA",AK122="Cancelled")),"S7 BOM Procurement","All Stages Closed"))))))))</f>
        <v/>
      </c>
      <c r="F122" s="32" t="str">
        <f aca="false">IF($C122="","",IF(COUNTIF(M122,"Cancelled")+COUNTIF(Q122,"Cancelled")+COUNTIF(U122,"Cancelled")+COUNTIF(Y122,"Cancelled")+COUNTIF(AC122,"Cancelled")+COUNTIF(AG122,"Cancelled")+COUNTIF(AK122,"Cancelled")&gt;0,"Cancelled",IF(E122="All Stages Closed","Completed",IF(E122="S1 Schematic",M122,IF(E122="S2 PCB Layout",Q122,IF(E122="S3 SI &amp; PI",U122,IF(E122="S4 Bare-PCB Fab",Y122,IF(E122="S5 Assembly",AC122,IF(E122="S6 Bring-up",AG122,AK122)))))))))</f>
        <v/>
      </c>
      <c r="G122" s="33" t="str">
        <f aca="false">IF($C122="","",IF(E122="All Stages Closed","",IF(E122="S1 Schematic",IF(N122="","Not added",N122),IF(E122="S2 PCB Layout",IF(R122="","Not added",R122),IF(E122="S3 SI &amp; PI",IF(V122="","Not added",V122),IF(E122="S4 Bare-PCB Fab",IF(Z122="","Not added",Z122),IF(E122="S5 Assembly",IF(AD122="","Not added",AD122),IF(E122="S6 Bring-up",IF(AH122="","Not added",AH122),IF(AL122="","Not added",AL122)))))))))</f>
        <v/>
      </c>
      <c r="H122" s="32" t="str">
        <f aca="true">IF($C122="","",IF(OR(F122="Completed",F122="Cancelled"),"",IF(NOT(ISNUMBER(G122)),"No date set",IF(TODAY()&gt;G122,TODAY()-G122&amp;" days late",G122-TODAY()&amp;" days left"))))</f>
        <v/>
      </c>
      <c r="I122" s="31" t="str">
        <f aca="false">IF($C122="","",COUNTIF(M122,"Completed")+COUNTIF(Q122,"Completed")+COUNTIF(U122,"Completed")+COUNTIF(Y122,"Completed")+COUNTIF(AC122,"Completed")+COUNTIF(AG122,"Completed")+COUNTIF(AK122,"Completed"))</f>
        <v/>
      </c>
      <c r="J122" s="31" t="str">
        <f aca="false">IF($C122="","",7-(COUNTIF(M122,"NA")+COUNTIF(Q122,"NA")+COUNTIF(U122,"NA")+COUNTIF(Y122,"NA")+COUNTIF(AC122,"NA")+COUNTIF(AG122,"NA")+COUNTIF(AK122,"NA")))</f>
        <v/>
      </c>
      <c r="K122" s="34" t="str">
        <f aca="false">IFERROR(I122/J122,"")</f>
        <v/>
      </c>
      <c r="L122" s="29"/>
      <c r="M122" s="35"/>
      <c r="N122" s="36"/>
      <c r="O122" s="36"/>
      <c r="P122" s="29"/>
      <c r="Q122" s="35"/>
      <c r="R122" s="36"/>
      <c r="S122" s="36"/>
      <c r="T122" s="29"/>
      <c r="U122" s="35"/>
      <c r="V122" s="36"/>
      <c r="W122" s="36"/>
      <c r="X122" s="29"/>
      <c r="Y122" s="35"/>
      <c r="Z122" s="36"/>
      <c r="AA122" s="36"/>
      <c r="AB122" s="29"/>
      <c r="AC122" s="35"/>
      <c r="AD122" s="36"/>
      <c r="AE122" s="36"/>
      <c r="AF122" s="29"/>
      <c r="AG122" s="35"/>
      <c r="AH122" s="36"/>
      <c r="AI122" s="36"/>
      <c r="AJ122" s="29"/>
      <c r="AK122" s="35"/>
      <c r="AL122" s="36"/>
      <c r="AM122" s="36"/>
      <c r="AN122" s="29"/>
      <c r="AO122" s="29"/>
      <c r="AP122" s="29"/>
      <c r="AQ122" s="37"/>
      <c r="AR122" s="29"/>
      <c r="AS122" s="38" t="str">
        <f aca="false">IF($C122="","",IF(OR(F122="Completed",F122="Cancelled"),"",IF(AND(OR(F122="On Hold",ISNUMBER(VALUE(LEFT(H122,2)))),AR122=""),"Reason not given","")))</f>
        <v/>
      </c>
      <c r="AT122" s="30"/>
      <c r="AU122" s="30"/>
    </row>
    <row r="123" customFormat="false" ht="19.5" hidden="false" customHeight="true" outlineLevel="0" collapsed="false">
      <c r="A123" s="28" t="str">
        <f aca="false">IF($C123="","",COUNTA($C$17:$C123))</f>
        <v/>
      </c>
      <c r="B123" s="29"/>
      <c r="C123" s="30"/>
      <c r="D123" s="29"/>
      <c r="E123" s="31" t="str">
        <f aca="false">IF($C123="","",IF(NOT(OR(M123="Completed",M123="NA",M123="Cancelled")),"S1 Schematic",IF(NOT(OR(Q123="Completed",Q123="NA",Q123="Cancelled")),"S2 PCB Layout",IF(NOT(OR(U123="Completed",U123="NA",U123="Cancelled")),"S3 SI &amp; PI",IF(NOT(OR(Y123="Completed",Y123="NA",Y123="Cancelled")),"S4 Bare-PCB Fab",IF(NOT(OR(AC123="Completed",AC123="NA",AC123="Cancelled")),"S5 Assembly",IF(NOT(OR(AG123="Completed",AG123="NA",AG123="Cancelled")),"S6 Bring-up",IF(NOT(OR(AK123="Completed",AK123="NA",AK123="Cancelled")),"S7 BOM Procurement","All Stages Closed"))))))))</f>
        <v/>
      </c>
      <c r="F123" s="32" t="str">
        <f aca="false">IF($C123="","",IF(COUNTIF(M123,"Cancelled")+COUNTIF(Q123,"Cancelled")+COUNTIF(U123,"Cancelled")+COUNTIF(Y123,"Cancelled")+COUNTIF(AC123,"Cancelled")+COUNTIF(AG123,"Cancelled")+COUNTIF(AK123,"Cancelled")&gt;0,"Cancelled",IF(E123="All Stages Closed","Completed",IF(E123="S1 Schematic",M123,IF(E123="S2 PCB Layout",Q123,IF(E123="S3 SI &amp; PI",U123,IF(E123="S4 Bare-PCB Fab",Y123,IF(E123="S5 Assembly",AC123,IF(E123="S6 Bring-up",AG123,AK123)))))))))</f>
        <v/>
      </c>
      <c r="G123" s="33" t="str">
        <f aca="false">IF($C123="","",IF(E123="All Stages Closed","",IF(E123="S1 Schematic",IF(N123="","Not added",N123),IF(E123="S2 PCB Layout",IF(R123="","Not added",R123),IF(E123="S3 SI &amp; PI",IF(V123="","Not added",V123),IF(E123="S4 Bare-PCB Fab",IF(Z123="","Not added",Z123),IF(E123="S5 Assembly",IF(AD123="","Not added",AD123),IF(E123="S6 Bring-up",IF(AH123="","Not added",AH123),IF(AL123="","Not added",AL123)))))))))</f>
        <v/>
      </c>
      <c r="H123" s="32" t="str">
        <f aca="true">IF($C123="","",IF(OR(F123="Completed",F123="Cancelled"),"",IF(NOT(ISNUMBER(G123)),"No date set",IF(TODAY()&gt;G123,TODAY()-G123&amp;" days late",G123-TODAY()&amp;" days left"))))</f>
        <v/>
      </c>
      <c r="I123" s="31" t="str">
        <f aca="false">IF($C123="","",COUNTIF(M123,"Completed")+COUNTIF(Q123,"Completed")+COUNTIF(U123,"Completed")+COUNTIF(Y123,"Completed")+COUNTIF(AC123,"Completed")+COUNTIF(AG123,"Completed")+COUNTIF(AK123,"Completed"))</f>
        <v/>
      </c>
      <c r="J123" s="31" t="str">
        <f aca="false">IF($C123="","",7-(COUNTIF(M123,"NA")+COUNTIF(Q123,"NA")+COUNTIF(U123,"NA")+COUNTIF(Y123,"NA")+COUNTIF(AC123,"NA")+COUNTIF(AG123,"NA")+COUNTIF(AK123,"NA")))</f>
        <v/>
      </c>
      <c r="K123" s="34" t="str">
        <f aca="false">IFERROR(I123/J123,"")</f>
        <v/>
      </c>
      <c r="L123" s="29"/>
      <c r="M123" s="35"/>
      <c r="N123" s="36"/>
      <c r="O123" s="36"/>
      <c r="P123" s="29"/>
      <c r="Q123" s="35"/>
      <c r="R123" s="36"/>
      <c r="S123" s="36"/>
      <c r="T123" s="29"/>
      <c r="U123" s="35"/>
      <c r="V123" s="36"/>
      <c r="W123" s="36"/>
      <c r="X123" s="29"/>
      <c r="Y123" s="35"/>
      <c r="Z123" s="36"/>
      <c r="AA123" s="36"/>
      <c r="AB123" s="29"/>
      <c r="AC123" s="35"/>
      <c r="AD123" s="36"/>
      <c r="AE123" s="36"/>
      <c r="AF123" s="29"/>
      <c r="AG123" s="35"/>
      <c r="AH123" s="36"/>
      <c r="AI123" s="36"/>
      <c r="AJ123" s="29"/>
      <c r="AK123" s="35"/>
      <c r="AL123" s="36"/>
      <c r="AM123" s="36"/>
      <c r="AN123" s="29"/>
      <c r="AO123" s="29"/>
      <c r="AP123" s="29"/>
      <c r="AQ123" s="37"/>
      <c r="AR123" s="29"/>
      <c r="AS123" s="38" t="str">
        <f aca="false">IF($C123="","",IF(OR(F123="Completed",F123="Cancelled"),"",IF(AND(OR(F123="On Hold",ISNUMBER(VALUE(LEFT(H123,2)))),AR123=""),"Reason not given","")))</f>
        <v/>
      </c>
      <c r="AT123" s="30"/>
      <c r="AU123" s="30"/>
    </row>
    <row r="124" customFormat="false" ht="19.5" hidden="false" customHeight="true" outlineLevel="0" collapsed="false">
      <c r="A124" s="28" t="str">
        <f aca="false">IF($C124="","",COUNTA($C$17:$C124))</f>
        <v/>
      </c>
      <c r="B124" s="29"/>
      <c r="C124" s="30"/>
      <c r="D124" s="29"/>
      <c r="E124" s="31" t="str">
        <f aca="false">IF($C124="","",IF(NOT(OR(M124="Completed",M124="NA",M124="Cancelled")),"S1 Schematic",IF(NOT(OR(Q124="Completed",Q124="NA",Q124="Cancelled")),"S2 PCB Layout",IF(NOT(OR(U124="Completed",U124="NA",U124="Cancelled")),"S3 SI &amp; PI",IF(NOT(OR(Y124="Completed",Y124="NA",Y124="Cancelled")),"S4 Bare-PCB Fab",IF(NOT(OR(AC124="Completed",AC124="NA",AC124="Cancelled")),"S5 Assembly",IF(NOT(OR(AG124="Completed",AG124="NA",AG124="Cancelled")),"S6 Bring-up",IF(NOT(OR(AK124="Completed",AK124="NA",AK124="Cancelled")),"S7 BOM Procurement","All Stages Closed"))))))))</f>
        <v/>
      </c>
      <c r="F124" s="32" t="str">
        <f aca="false">IF($C124="","",IF(COUNTIF(M124,"Cancelled")+COUNTIF(Q124,"Cancelled")+COUNTIF(U124,"Cancelled")+COUNTIF(Y124,"Cancelled")+COUNTIF(AC124,"Cancelled")+COUNTIF(AG124,"Cancelled")+COUNTIF(AK124,"Cancelled")&gt;0,"Cancelled",IF(E124="All Stages Closed","Completed",IF(E124="S1 Schematic",M124,IF(E124="S2 PCB Layout",Q124,IF(E124="S3 SI &amp; PI",U124,IF(E124="S4 Bare-PCB Fab",Y124,IF(E124="S5 Assembly",AC124,IF(E124="S6 Bring-up",AG124,AK124)))))))))</f>
        <v/>
      </c>
      <c r="G124" s="33" t="str">
        <f aca="false">IF($C124="","",IF(E124="All Stages Closed","",IF(E124="S1 Schematic",IF(N124="","Not added",N124),IF(E124="S2 PCB Layout",IF(R124="","Not added",R124),IF(E124="S3 SI &amp; PI",IF(V124="","Not added",V124),IF(E124="S4 Bare-PCB Fab",IF(Z124="","Not added",Z124),IF(E124="S5 Assembly",IF(AD124="","Not added",AD124),IF(E124="S6 Bring-up",IF(AH124="","Not added",AH124),IF(AL124="","Not added",AL124)))))))))</f>
        <v/>
      </c>
      <c r="H124" s="32" t="str">
        <f aca="true">IF($C124="","",IF(OR(F124="Completed",F124="Cancelled"),"",IF(NOT(ISNUMBER(G124)),"No date set",IF(TODAY()&gt;G124,TODAY()-G124&amp;" days late",G124-TODAY()&amp;" days left"))))</f>
        <v/>
      </c>
      <c r="I124" s="31" t="str">
        <f aca="false">IF($C124="","",COUNTIF(M124,"Completed")+COUNTIF(Q124,"Completed")+COUNTIF(U124,"Completed")+COUNTIF(Y124,"Completed")+COUNTIF(AC124,"Completed")+COUNTIF(AG124,"Completed")+COUNTIF(AK124,"Completed"))</f>
        <v/>
      </c>
      <c r="J124" s="31" t="str">
        <f aca="false">IF($C124="","",7-(COUNTIF(M124,"NA")+COUNTIF(Q124,"NA")+COUNTIF(U124,"NA")+COUNTIF(Y124,"NA")+COUNTIF(AC124,"NA")+COUNTIF(AG124,"NA")+COUNTIF(AK124,"NA")))</f>
        <v/>
      </c>
      <c r="K124" s="34" t="str">
        <f aca="false">IFERROR(I124/J124,"")</f>
        <v/>
      </c>
      <c r="L124" s="29"/>
      <c r="M124" s="35"/>
      <c r="N124" s="36"/>
      <c r="O124" s="36"/>
      <c r="P124" s="29"/>
      <c r="Q124" s="35"/>
      <c r="R124" s="36"/>
      <c r="S124" s="36"/>
      <c r="T124" s="29"/>
      <c r="U124" s="35"/>
      <c r="V124" s="36"/>
      <c r="W124" s="36"/>
      <c r="X124" s="29"/>
      <c r="Y124" s="35"/>
      <c r="Z124" s="36"/>
      <c r="AA124" s="36"/>
      <c r="AB124" s="29"/>
      <c r="AC124" s="35"/>
      <c r="AD124" s="36"/>
      <c r="AE124" s="36"/>
      <c r="AF124" s="29"/>
      <c r="AG124" s="35"/>
      <c r="AH124" s="36"/>
      <c r="AI124" s="36"/>
      <c r="AJ124" s="29"/>
      <c r="AK124" s="35"/>
      <c r="AL124" s="36"/>
      <c r="AM124" s="36"/>
      <c r="AN124" s="29"/>
      <c r="AO124" s="29"/>
      <c r="AP124" s="29"/>
      <c r="AQ124" s="37"/>
      <c r="AR124" s="29"/>
      <c r="AS124" s="38" t="str">
        <f aca="false">IF($C124="","",IF(OR(F124="Completed",F124="Cancelled"),"",IF(AND(OR(F124="On Hold",ISNUMBER(VALUE(LEFT(H124,2)))),AR124=""),"Reason not given","")))</f>
        <v/>
      </c>
      <c r="AT124" s="30"/>
      <c r="AU124" s="30"/>
    </row>
    <row r="125" customFormat="false" ht="19.5" hidden="false" customHeight="true" outlineLevel="0" collapsed="false">
      <c r="A125" s="28" t="str">
        <f aca="false">IF($C125="","",COUNTA($C$17:$C125))</f>
        <v/>
      </c>
      <c r="B125" s="29"/>
      <c r="C125" s="30"/>
      <c r="D125" s="29"/>
      <c r="E125" s="31" t="str">
        <f aca="false">IF($C125="","",IF(NOT(OR(M125="Completed",M125="NA",M125="Cancelled")),"S1 Schematic",IF(NOT(OR(Q125="Completed",Q125="NA",Q125="Cancelled")),"S2 PCB Layout",IF(NOT(OR(U125="Completed",U125="NA",U125="Cancelled")),"S3 SI &amp; PI",IF(NOT(OR(Y125="Completed",Y125="NA",Y125="Cancelled")),"S4 Bare-PCB Fab",IF(NOT(OR(AC125="Completed",AC125="NA",AC125="Cancelled")),"S5 Assembly",IF(NOT(OR(AG125="Completed",AG125="NA",AG125="Cancelled")),"S6 Bring-up",IF(NOT(OR(AK125="Completed",AK125="NA",AK125="Cancelled")),"S7 BOM Procurement","All Stages Closed"))))))))</f>
        <v/>
      </c>
      <c r="F125" s="32" t="str">
        <f aca="false">IF($C125="","",IF(COUNTIF(M125,"Cancelled")+COUNTIF(Q125,"Cancelled")+COUNTIF(U125,"Cancelled")+COUNTIF(Y125,"Cancelled")+COUNTIF(AC125,"Cancelled")+COUNTIF(AG125,"Cancelled")+COUNTIF(AK125,"Cancelled")&gt;0,"Cancelled",IF(E125="All Stages Closed","Completed",IF(E125="S1 Schematic",M125,IF(E125="S2 PCB Layout",Q125,IF(E125="S3 SI &amp; PI",U125,IF(E125="S4 Bare-PCB Fab",Y125,IF(E125="S5 Assembly",AC125,IF(E125="S6 Bring-up",AG125,AK125)))))))))</f>
        <v/>
      </c>
      <c r="G125" s="33" t="str">
        <f aca="false">IF($C125="","",IF(E125="All Stages Closed","",IF(E125="S1 Schematic",IF(N125="","Not added",N125),IF(E125="S2 PCB Layout",IF(R125="","Not added",R125),IF(E125="S3 SI &amp; PI",IF(V125="","Not added",V125),IF(E125="S4 Bare-PCB Fab",IF(Z125="","Not added",Z125),IF(E125="S5 Assembly",IF(AD125="","Not added",AD125),IF(E125="S6 Bring-up",IF(AH125="","Not added",AH125),IF(AL125="","Not added",AL125)))))))))</f>
        <v/>
      </c>
      <c r="H125" s="32" t="str">
        <f aca="true">IF($C125="","",IF(OR(F125="Completed",F125="Cancelled"),"",IF(NOT(ISNUMBER(G125)),"No date set",IF(TODAY()&gt;G125,TODAY()-G125&amp;" days late",G125-TODAY()&amp;" days left"))))</f>
        <v/>
      </c>
      <c r="I125" s="31" t="str">
        <f aca="false">IF($C125="","",COUNTIF(M125,"Completed")+COUNTIF(Q125,"Completed")+COUNTIF(U125,"Completed")+COUNTIF(Y125,"Completed")+COUNTIF(AC125,"Completed")+COUNTIF(AG125,"Completed")+COUNTIF(AK125,"Completed"))</f>
        <v/>
      </c>
      <c r="J125" s="31" t="str">
        <f aca="false">IF($C125="","",7-(COUNTIF(M125,"NA")+COUNTIF(Q125,"NA")+COUNTIF(U125,"NA")+COUNTIF(Y125,"NA")+COUNTIF(AC125,"NA")+COUNTIF(AG125,"NA")+COUNTIF(AK125,"NA")))</f>
        <v/>
      </c>
      <c r="K125" s="34" t="str">
        <f aca="false">IFERROR(I125/J125,"")</f>
        <v/>
      </c>
      <c r="L125" s="29"/>
      <c r="M125" s="35"/>
      <c r="N125" s="36"/>
      <c r="O125" s="36"/>
      <c r="P125" s="29"/>
      <c r="Q125" s="35"/>
      <c r="R125" s="36"/>
      <c r="S125" s="36"/>
      <c r="T125" s="29"/>
      <c r="U125" s="35"/>
      <c r="V125" s="36"/>
      <c r="W125" s="36"/>
      <c r="X125" s="29"/>
      <c r="Y125" s="35"/>
      <c r="Z125" s="36"/>
      <c r="AA125" s="36"/>
      <c r="AB125" s="29"/>
      <c r="AC125" s="35"/>
      <c r="AD125" s="36"/>
      <c r="AE125" s="36"/>
      <c r="AF125" s="29"/>
      <c r="AG125" s="35"/>
      <c r="AH125" s="36"/>
      <c r="AI125" s="36"/>
      <c r="AJ125" s="29"/>
      <c r="AK125" s="35"/>
      <c r="AL125" s="36"/>
      <c r="AM125" s="36"/>
      <c r="AN125" s="29"/>
      <c r="AO125" s="29"/>
      <c r="AP125" s="29"/>
      <c r="AQ125" s="37"/>
      <c r="AR125" s="29"/>
      <c r="AS125" s="38" t="str">
        <f aca="false">IF($C125="","",IF(OR(F125="Completed",F125="Cancelled"),"",IF(AND(OR(F125="On Hold",ISNUMBER(VALUE(LEFT(H125,2)))),AR125=""),"Reason not given","")))</f>
        <v/>
      </c>
      <c r="AT125" s="30"/>
      <c r="AU125" s="30"/>
    </row>
    <row r="126" customFormat="false" ht="19.5" hidden="false" customHeight="true" outlineLevel="0" collapsed="false">
      <c r="A126" s="28" t="str">
        <f aca="false">IF($C126="","",COUNTA($C$17:$C126))</f>
        <v/>
      </c>
      <c r="B126" s="29"/>
      <c r="C126" s="30"/>
      <c r="D126" s="29"/>
      <c r="E126" s="31" t="str">
        <f aca="false">IF($C126="","",IF(NOT(OR(M126="Completed",M126="NA",M126="Cancelled")),"S1 Schematic",IF(NOT(OR(Q126="Completed",Q126="NA",Q126="Cancelled")),"S2 PCB Layout",IF(NOT(OR(U126="Completed",U126="NA",U126="Cancelled")),"S3 SI &amp; PI",IF(NOT(OR(Y126="Completed",Y126="NA",Y126="Cancelled")),"S4 Bare-PCB Fab",IF(NOT(OR(AC126="Completed",AC126="NA",AC126="Cancelled")),"S5 Assembly",IF(NOT(OR(AG126="Completed",AG126="NA",AG126="Cancelled")),"S6 Bring-up",IF(NOT(OR(AK126="Completed",AK126="NA",AK126="Cancelled")),"S7 BOM Procurement","All Stages Closed"))))))))</f>
        <v/>
      </c>
      <c r="F126" s="32" t="str">
        <f aca="false">IF($C126="","",IF(COUNTIF(M126,"Cancelled")+COUNTIF(Q126,"Cancelled")+COUNTIF(U126,"Cancelled")+COUNTIF(Y126,"Cancelled")+COUNTIF(AC126,"Cancelled")+COUNTIF(AG126,"Cancelled")+COUNTIF(AK126,"Cancelled")&gt;0,"Cancelled",IF(E126="All Stages Closed","Completed",IF(E126="S1 Schematic",M126,IF(E126="S2 PCB Layout",Q126,IF(E126="S3 SI &amp; PI",U126,IF(E126="S4 Bare-PCB Fab",Y126,IF(E126="S5 Assembly",AC126,IF(E126="S6 Bring-up",AG126,AK126)))))))))</f>
        <v/>
      </c>
      <c r="G126" s="33" t="str">
        <f aca="false">IF($C126="","",IF(E126="All Stages Closed","",IF(E126="S1 Schematic",IF(N126="","Not added",N126),IF(E126="S2 PCB Layout",IF(R126="","Not added",R126),IF(E126="S3 SI &amp; PI",IF(V126="","Not added",V126),IF(E126="S4 Bare-PCB Fab",IF(Z126="","Not added",Z126),IF(E126="S5 Assembly",IF(AD126="","Not added",AD126),IF(E126="S6 Bring-up",IF(AH126="","Not added",AH126),IF(AL126="","Not added",AL126)))))))))</f>
        <v/>
      </c>
      <c r="H126" s="32" t="str">
        <f aca="true">IF($C126="","",IF(OR(F126="Completed",F126="Cancelled"),"",IF(NOT(ISNUMBER(G126)),"No date set",IF(TODAY()&gt;G126,TODAY()-G126&amp;" days late",G126-TODAY()&amp;" days left"))))</f>
        <v/>
      </c>
      <c r="I126" s="31" t="str">
        <f aca="false">IF($C126="","",COUNTIF(M126,"Completed")+COUNTIF(Q126,"Completed")+COUNTIF(U126,"Completed")+COUNTIF(Y126,"Completed")+COUNTIF(AC126,"Completed")+COUNTIF(AG126,"Completed")+COUNTIF(AK126,"Completed"))</f>
        <v/>
      </c>
      <c r="J126" s="31" t="str">
        <f aca="false">IF($C126="","",7-(COUNTIF(M126,"NA")+COUNTIF(Q126,"NA")+COUNTIF(U126,"NA")+COUNTIF(Y126,"NA")+COUNTIF(AC126,"NA")+COUNTIF(AG126,"NA")+COUNTIF(AK126,"NA")))</f>
        <v/>
      </c>
      <c r="K126" s="34" t="str">
        <f aca="false">IFERROR(I126/J126,"")</f>
        <v/>
      </c>
      <c r="L126" s="29"/>
      <c r="M126" s="35"/>
      <c r="N126" s="36"/>
      <c r="O126" s="36"/>
      <c r="P126" s="29"/>
      <c r="Q126" s="35"/>
      <c r="R126" s="36"/>
      <c r="S126" s="36"/>
      <c r="T126" s="29"/>
      <c r="U126" s="35"/>
      <c r="V126" s="36"/>
      <c r="W126" s="36"/>
      <c r="X126" s="29"/>
      <c r="Y126" s="35"/>
      <c r="Z126" s="36"/>
      <c r="AA126" s="36"/>
      <c r="AB126" s="29"/>
      <c r="AC126" s="35"/>
      <c r="AD126" s="36"/>
      <c r="AE126" s="36"/>
      <c r="AF126" s="29"/>
      <c r="AG126" s="35"/>
      <c r="AH126" s="36"/>
      <c r="AI126" s="36"/>
      <c r="AJ126" s="29"/>
      <c r="AK126" s="35"/>
      <c r="AL126" s="36"/>
      <c r="AM126" s="36"/>
      <c r="AN126" s="29"/>
      <c r="AO126" s="29"/>
      <c r="AP126" s="29"/>
      <c r="AQ126" s="37"/>
      <c r="AR126" s="29"/>
      <c r="AS126" s="38" t="str">
        <f aca="false">IF($C126="","",IF(OR(F126="Completed",F126="Cancelled"),"",IF(AND(OR(F126="On Hold",ISNUMBER(VALUE(LEFT(H126,2)))),AR126=""),"Reason not given","")))</f>
        <v/>
      </c>
      <c r="AT126" s="30"/>
      <c r="AU126" s="30"/>
    </row>
    <row r="127" customFormat="false" ht="19.5" hidden="false" customHeight="true" outlineLevel="0" collapsed="false">
      <c r="A127" s="28" t="str">
        <f aca="false">IF($C127="","",COUNTA($C$17:$C127))</f>
        <v/>
      </c>
      <c r="B127" s="29"/>
      <c r="C127" s="30"/>
      <c r="D127" s="29"/>
      <c r="E127" s="31" t="str">
        <f aca="false">IF($C127="","",IF(NOT(OR(M127="Completed",M127="NA",M127="Cancelled")),"S1 Schematic",IF(NOT(OR(Q127="Completed",Q127="NA",Q127="Cancelled")),"S2 PCB Layout",IF(NOT(OR(U127="Completed",U127="NA",U127="Cancelled")),"S3 SI &amp; PI",IF(NOT(OR(Y127="Completed",Y127="NA",Y127="Cancelled")),"S4 Bare-PCB Fab",IF(NOT(OR(AC127="Completed",AC127="NA",AC127="Cancelled")),"S5 Assembly",IF(NOT(OR(AG127="Completed",AG127="NA",AG127="Cancelled")),"S6 Bring-up",IF(NOT(OR(AK127="Completed",AK127="NA",AK127="Cancelled")),"S7 BOM Procurement","All Stages Closed"))))))))</f>
        <v/>
      </c>
      <c r="F127" s="32" t="str">
        <f aca="false">IF($C127="","",IF(COUNTIF(M127,"Cancelled")+COUNTIF(Q127,"Cancelled")+COUNTIF(U127,"Cancelled")+COUNTIF(Y127,"Cancelled")+COUNTIF(AC127,"Cancelled")+COUNTIF(AG127,"Cancelled")+COUNTIF(AK127,"Cancelled")&gt;0,"Cancelled",IF(E127="All Stages Closed","Completed",IF(E127="S1 Schematic",M127,IF(E127="S2 PCB Layout",Q127,IF(E127="S3 SI &amp; PI",U127,IF(E127="S4 Bare-PCB Fab",Y127,IF(E127="S5 Assembly",AC127,IF(E127="S6 Bring-up",AG127,AK127)))))))))</f>
        <v/>
      </c>
      <c r="G127" s="33" t="str">
        <f aca="false">IF($C127="","",IF(E127="All Stages Closed","",IF(E127="S1 Schematic",IF(N127="","Not added",N127),IF(E127="S2 PCB Layout",IF(R127="","Not added",R127),IF(E127="S3 SI &amp; PI",IF(V127="","Not added",V127),IF(E127="S4 Bare-PCB Fab",IF(Z127="","Not added",Z127),IF(E127="S5 Assembly",IF(AD127="","Not added",AD127),IF(E127="S6 Bring-up",IF(AH127="","Not added",AH127),IF(AL127="","Not added",AL127)))))))))</f>
        <v/>
      </c>
      <c r="H127" s="32" t="str">
        <f aca="true">IF($C127="","",IF(OR(F127="Completed",F127="Cancelled"),"",IF(NOT(ISNUMBER(G127)),"No date set",IF(TODAY()&gt;G127,TODAY()-G127&amp;" days late",G127-TODAY()&amp;" days left"))))</f>
        <v/>
      </c>
      <c r="I127" s="31" t="str">
        <f aca="false">IF($C127="","",COUNTIF(M127,"Completed")+COUNTIF(Q127,"Completed")+COUNTIF(U127,"Completed")+COUNTIF(Y127,"Completed")+COUNTIF(AC127,"Completed")+COUNTIF(AG127,"Completed")+COUNTIF(AK127,"Completed"))</f>
        <v/>
      </c>
      <c r="J127" s="31" t="str">
        <f aca="false">IF($C127="","",7-(COUNTIF(M127,"NA")+COUNTIF(Q127,"NA")+COUNTIF(U127,"NA")+COUNTIF(Y127,"NA")+COUNTIF(AC127,"NA")+COUNTIF(AG127,"NA")+COUNTIF(AK127,"NA")))</f>
        <v/>
      </c>
      <c r="K127" s="34" t="str">
        <f aca="false">IFERROR(I127/J127,"")</f>
        <v/>
      </c>
      <c r="L127" s="29"/>
      <c r="M127" s="35"/>
      <c r="N127" s="36"/>
      <c r="O127" s="36"/>
      <c r="P127" s="29"/>
      <c r="Q127" s="35"/>
      <c r="R127" s="36"/>
      <c r="S127" s="36"/>
      <c r="T127" s="29"/>
      <c r="U127" s="35"/>
      <c r="V127" s="36"/>
      <c r="W127" s="36"/>
      <c r="X127" s="29"/>
      <c r="Y127" s="35"/>
      <c r="Z127" s="36"/>
      <c r="AA127" s="36"/>
      <c r="AB127" s="29"/>
      <c r="AC127" s="35"/>
      <c r="AD127" s="36"/>
      <c r="AE127" s="36"/>
      <c r="AF127" s="29"/>
      <c r="AG127" s="35"/>
      <c r="AH127" s="36"/>
      <c r="AI127" s="36"/>
      <c r="AJ127" s="29"/>
      <c r="AK127" s="35"/>
      <c r="AL127" s="36"/>
      <c r="AM127" s="36"/>
      <c r="AN127" s="29"/>
      <c r="AO127" s="29"/>
      <c r="AP127" s="29"/>
      <c r="AQ127" s="37"/>
      <c r="AR127" s="29"/>
      <c r="AS127" s="38" t="str">
        <f aca="false">IF($C127="","",IF(OR(F127="Completed",F127="Cancelled"),"",IF(AND(OR(F127="On Hold",ISNUMBER(VALUE(LEFT(H127,2)))),AR127=""),"Reason not given","")))</f>
        <v/>
      </c>
      <c r="AT127" s="30"/>
      <c r="AU127" s="30"/>
    </row>
    <row r="128" customFormat="false" ht="19.5" hidden="false" customHeight="true" outlineLevel="0" collapsed="false">
      <c r="A128" s="28" t="str">
        <f aca="false">IF($C128="","",COUNTA($C$17:$C128))</f>
        <v/>
      </c>
      <c r="B128" s="29"/>
      <c r="C128" s="30"/>
      <c r="D128" s="29"/>
      <c r="E128" s="31" t="str">
        <f aca="false">IF($C128="","",IF(NOT(OR(M128="Completed",M128="NA",M128="Cancelled")),"S1 Schematic",IF(NOT(OR(Q128="Completed",Q128="NA",Q128="Cancelled")),"S2 PCB Layout",IF(NOT(OR(U128="Completed",U128="NA",U128="Cancelled")),"S3 SI &amp; PI",IF(NOT(OR(Y128="Completed",Y128="NA",Y128="Cancelled")),"S4 Bare-PCB Fab",IF(NOT(OR(AC128="Completed",AC128="NA",AC128="Cancelled")),"S5 Assembly",IF(NOT(OR(AG128="Completed",AG128="NA",AG128="Cancelled")),"S6 Bring-up",IF(NOT(OR(AK128="Completed",AK128="NA",AK128="Cancelled")),"S7 BOM Procurement","All Stages Closed"))))))))</f>
        <v/>
      </c>
      <c r="F128" s="32" t="str">
        <f aca="false">IF($C128="","",IF(COUNTIF(M128,"Cancelled")+COUNTIF(Q128,"Cancelled")+COUNTIF(U128,"Cancelled")+COUNTIF(Y128,"Cancelled")+COUNTIF(AC128,"Cancelled")+COUNTIF(AG128,"Cancelled")+COUNTIF(AK128,"Cancelled")&gt;0,"Cancelled",IF(E128="All Stages Closed","Completed",IF(E128="S1 Schematic",M128,IF(E128="S2 PCB Layout",Q128,IF(E128="S3 SI &amp; PI",U128,IF(E128="S4 Bare-PCB Fab",Y128,IF(E128="S5 Assembly",AC128,IF(E128="S6 Bring-up",AG128,AK128)))))))))</f>
        <v/>
      </c>
      <c r="G128" s="33" t="str">
        <f aca="false">IF($C128="","",IF(E128="All Stages Closed","",IF(E128="S1 Schematic",IF(N128="","Not added",N128),IF(E128="S2 PCB Layout",IF(R128="","Not added",R128),IF(E128="S3 SI &amp; PI",IF(V128="","Not added",V128),IF(E128="S4 Bare-PCB Fab",IF(Z128="","Not added",Z128),IF(E128="S5 Assembly",IF(AD128="","Not added",AD128),IF(E128="S6 Bring-up",IF(AH128="","Not added",AH128),IF(AL128="","Not added",AL128)))))))))</f>
        <v/>
      </c>
      <c r="H128" s="32" t="str">
        <f aca="true">IF($C128="","",IF(OR(F128="Completed",F128="Cancelled"),"",IF(NOT(ISNUMBER(G128)),"No date set",IF(TODAY()&gt;G128,TODAY()-G128&amp;" days late",G128-TODAY()&amp;" days left"))))</f>
        <v/>
      </c>
      <c r="I128" s="31" t="str">
        <f aca="false">IF($C128="","",COUNTIF(M128,"Completed")+COUNTIF(Q128,"Completed")+COUNTIF(U128,"Completed")+COUNTIF(Y128,"Completed")+COUNTIF(AC128,"Completed")+COUNTIF(AG128,"Completed")+COUNTIF(AK128,"Completed"))</f>
        <v/>
      </c>
      <c r="J128" s="31" t="str">
        <f aca="false">IF($C128="","",7-(COUNTIF(M128,"NA")+COUNTIF(Q128,"NA")+COUNTIF(U128,"NA")+COUNTIF(Y128,"NA")+COUNTIF(AC128,"NA")+COUNTIF(AG128,"NA")+COUNTIF(AK128,"NA")))</f>
        <v/>
      </c>
      <c r="K128" s="34" t="str">
        <f aca="false">IFERROR(I128/J128,"")</f>
        <v/>
      </c>
      <c r="L128" s="29"/>
      <c r="M128" s="35"/>
      <c r="N128" s="36"/>
      <c r="O128" s="36"/>
      <c r="P128" s="29"/>
      <c r="Q128" s="35"/>
      <c r="R128" s="36"/>
      <c r="S128" s="36"/>
      <c r="T128" s="29"/>
      <c r="U128" s="35"/>
      <c r="V128" s="36"/>
      <c r="W128" s="36"/>
      <c r="X128" s="29"/>
      <c r="Y128" s="35"/>
      <c r="Z128" s="36"/>
      <c r="AA128" s="36"/>
      <c r="AB128" s="29"/>
      <c r="AC128" s="35"/>
      <c r="AD128" s="36"/>
      <c r="AE128" s="36"/>
      <c r="AF128" s="29"/>
      <c r="AG128" s="35"/>
      <c r="AH128" s="36"/>
      <c r="AI128" s="36"/>
      <c r="AJ128" s="29"/>
      <c r="AK128" s="35"/>
      <c r="AL128" s="36"/>
      <c r="AM128" s="36"/>
      <c r="AN128" s="29"/>
      <c r="AO128" s="29"/>
      <c r="AP128" s="29"/>
      <c r="AQ128" s="37"/>
      <c r="AR128" s="29"/>
      <c r="AS128" s="38" t="str">
        <f aca="false">IF($C128="","",IF(OR(F128="Completed",F128="Cancelled"),"",IF(AND(OR(F128="On Hold",ISNUMBER(VALUE(LEFT(H128,2)))),AR128=""),"Reason not given","")))</f>
        <v/>
      </c>
      <c r="AT128" s="30"/>
      <c r="AU128" s="30"/>
    </row>
    <row r="129" customFormat="false" ht="19.5" hidden="false" customHeight="true" outlineLevel="0" collapsed="false">
      <c r="A129" s="28" t="str">
        <f aca="false">IF($C129="","",COUNTA($C$17:$C129))</f>
        <v/>
      </c>
      <c r="B129" s="29"/>
      <c r="C129" s="30"/>
      <c r="D129" s="29"/>
      <c r="E129" s="31" t="str">
        <f aca="false">IF($C129="","",IF(NOT(OR(M129="Completed",M129="NA",M129="Cancelled")),"S1 Schematic",IF(NOT(OR(Q129="Completed",Q129="NA",Q129="Cancelled")),"S2 PCB Layout",IF(NOT(OR(U129="Completed",U129="NA",U129="Cancelled")),"S3 SI &amp; PI",IF(NOT(OR(Y129="Completed",Y129="NA",Y129="Cancelled")),"S4 Bare-PCB Fab",IF(NOT(OR(AC129="Completed",AC129="NA",AC129="Cancelled")),"S5 Assembly",IF(NOT(OR(AG129="Completed",AG129="NA",AG129="Cancelled")),"S6 Bring-up",IF(NOT(OR(AK129="Completed",AK129="NA",AK129="Cancelled")),"S7 BOM Procurement","All Stages Closed"))))))))</f>
        <v/>
      </c>
      <c r="F129" s="32" t="str">
        <f aca="false">IF($C129="","",IF(COUNTIF(M129,"Cancelled")+COUNTIF(Q129,"Cancelled")+COUNTIF(U129,"Cancelled")+COUNTIF(Y129,"Cancelled")+COUNTIF(AC129,"Cancelled")+COUNTIF(AG129,"Cancelled")+COUNTIF(AK129,"Cancelled")&gt;0,"Cancelled",IF(E129="All Stages Closed","Completed",IF(E129="S1 Schematic",M129,IF(E129="S2 PCB Layout",Q129,IF(E129="S3 SI &amp; PI",U129,IF(E129="S4 Bare-PCB Fab",Y129,IF(E129="S5 Assembly",AC129,IF(E129="S6 Bring-up",AG129,AK129)))))))))</f>
        <v/>
      </c>
      <c r="G129" s="33" t="str">
        <f aca="false">IF($C129="","",IF(E129="All Stages Closed","",IF(E129="S1 Schematic",IF(N129="","Not added",N129),IF(E129="S2 PCB Layout",IF(R129="","Not added",R129),IF(E129="S3 SI &amp; PI",IF(V129="","Not added",V129),IF(E129="S4 Bare-PCB Fab",IF(Z129="","Not added",Z129),IF(E129="S5 Assembly",IF(AD129="","Not added",AD129),IF(E129="S6 Bring-up",IF(AH129="","Not added",AH129),IF(AL129="","Not added",AL129)))))))))</f>
        <v/>
      </c>
      <c r="H129" s="32" t="str">
        <f aca="true">IF($C129="","",IF(OR(F129="Completed",F129="Cancelled"),"",IF(NOT(ISNUMBER(G129)),"No date set",IF(TODAY()&gt;G129,TODAY()-G129&amp;" days late",G129-TODAY()&amp;" days left"))))</f>
        <v/>
      </c>
      <c r="I129" s="31" t="str">
        <f aca="false">IF($C129="","",COUNTIF(M129,"Completed")+COUNTIF(Q129,"Completed")+COUNTIF(U129,"Completed")+COUNTIF(Y129,"Completed")+COUNTIF(AC129,"Completed")+COUNTIF(AG129,"Completed")+COUNTIF(AK129,"Completed"))</f>
        <v/>
      </c>
      <c r="J129" s="31" t="str">
        <f aca="false">IF($C129="","",7-(COUNTIF(M129,"NA")+COUNTIF(Q129,"NA")+COUNTIF(U129,"NA")+COUNTIF(Y129,"NA")+COUNTIF(AC129,"NA")+COUNTIF(AG129,"NA")+COUNTIF(AK129,"NA")))</f>
        <v/>
      </c>
      <c r="K129" s="34" t="str">
        <f aca="false">IFERROR(I129/J129,"")</f>
        <v/>
      </c>
      <c r="L129" s="29"/>
      <c r="M129" s="35"/>
      <c r="N129" s="36"/>
      <c r="O129" s="36"/>
      <c r="P129" s="29"/>
      <c r="Q129" s="35"/>
      <c r="R129" s="36"/>
      <c r="S129" s="36"/>
      <c r="T129" s="29"/>
      <c r="U129" s="35"/>
      <c r="V129" s="36"/>
      <c r="W129" s="36"/>
      <c r="X129" s="29"/>
      <c r="Y129" s="35"/>
      <c r="Z129" s="36"/>
      <c r="AA129" s="36"/>
      <c r="AB129" s="29"/>
      <c r="AC129" s="35"/>
      <c r="AD129" s="36"/>
      <c r="AE129" s="36"/>
      <c r="AF129" s="29"/>
      <c r="AG129" s="35"/>
      <c r="AH129" s="36"/>
      <c r="AI129" s="36"/>
      <c r="AJ129" s="29"/>
      <c r="AK129" s="35"/>
      <c r="AL129" s="36"/>
      <c r="AM129" s="36"/>
      <c r="AN129" s="29"/>
      <c r="AO129" s="29"/>
      <c r="AP129" s="29"/>
      <c r="AQ129" s="37"/>
      <c r="AR129" s="29"/>
      <c r="AS129" s="38" t="str">
        <f aca="false">IF($C129="","",IF(OR(F129="Completed",F129="Cancelled"),"",IF(AND(OR(F129="On Hold",ISNUMBER(VALUE(LEFT(H129,2)))),AR129=""),"Reason not given","")))</f>
        <v/>
      </c>
      <c r="AT129" s="30"/>
      <c r="AU129" s="30"/>
    </row>
    <row r="130" customFormat="false" ht="19.5" hidden="false" customHeight="true" outlineLevel="0" collapsed="false">
      <c r="A130" s="28" t="str">
        <f aca="false">IF($C130="","",COUNTA($C$17:$C130))</f>
        <v/>
      </c>
      <c r="B130" s="29"/>
      <c r="C130" s="30"/>
      <c r="D130" s="29"/>
      <c r="E130" s="31" t="str">
        <f aca="false">IF($C130="","",IF(NOT(OR(M130="Completed",M130="NA",M130="Cancelled")),"S1 Schematic",IF(NOT(OR(Q130="Completed",Q130="NA",Q130="Cancelled")),"S2 PCB Layout",IF(NOT(OR(U130="Completed",U130="NA",U130="Cancelled")),"S3 SI &amp; PI",IF(NOT(OR(Y130="Completed",Y130="NA",Y130="Cancelled")),"S4 Bare-PCB Fab",IF(NOT(OR(AC130="Completed",AC130="NA",AC130="Cancelled")),"S5 Assembly",IF(NOT(OR(AG130="Completed",AG130="NA",AG130="Cancelled")),"S6 Bring-up",IF(NOT(OR(AK130="Completed",AK130="NA",AK130="Cancelled")),"S7 BOM Procurement","All Stages Closed"))))))))</f>
        <v/>
      </c>
      <c r="F130" s="32" t="str">
        <f aca="false">IF($C130="","",IF(COUNTIF(M130,"Cancelled")+COUNTIF(Q130,"Cancelled")+COUNTIF(U130,"Cancelled")+COUNTIF(Y130,"Cancelled")+COUNTIF(AC130,"Cancelled")+COUNTIF(AG130,"Cancelled")+COUNTIF(AK130,"Cancelled")&gt;0,"Cancelled",IF(E130="All Stages Closed","Completed",IF(E130="S1 Schematic",M130,IF(E130="S2 PCB Layout",Q130,IF(E130="S3 SI &amp; PI",U130,IF(E130="S4 Bare-PCB Fab",Y130,IF(E130="S5 Assembly",AC130,IF(E130="S6 Bring-up",AG130,AK130)))))))))</f>
        <v/>
      </c>
      <c r="G130" s="33" t="str">
        <f aca="false">IF($C130="","",IF(E130="All Stages Closed","",IF(E130="S1 Schematic",IF(N130="","Not added",N130),IF(E130="S2 PCB Layout",IF(R130="","Not added",R130),IF(E130="S3 SI &amp; PI",IF(V130="","Not added",V130),IF(E130="S4 Bare-PCB Fab",IF(Z130="","Not added",Z130),IF(E130="S5 Assembly",IF(AD130="","Not added",AD130),IF(E130="S6 Bring-up",IF(AH130="","Not added",AH130),IF(AL130="","Not added",AL130)))))))))</f>
        <v/>
      </c>
      <c r="H130" s="32" t="str">
        <f aca="true">IF($C130="","",IF(OR(F130="Completed",F130="Cancelled"),"",IF(NOT(ISNUMBER(G130)),"No date set",IF(TODAY()&gt;G130,TODAY()-G130&amp;" days late",G130-TODAY()&amp;" days left"))))</f>
        <v/>
      </c>
      <c r="I130" s="31" t="str">
        <f aca="false">IF($C130="","",COUNTIF(M130,"Completed")+COUNTIF(Q130,"Completed")+COUNTIF(U130,"Completed")+COUNTIF(Y130,"Completed")+COUNTIF(AC130,"Completed")+COUNTIF(AG130,"Completed")+COUNTIF(AK130,"Completed"))</f>
        <v/>
      </c>
      <c r="J130" s="31" t="str">
        <f aca="false">IF($C130="","",7-(COUNTIF(M130,"NA")+COUNTIF(Q130,"NA")+COUNTIF(U130,"NA")+COUNTIF(Y130,"NA")+COUNTIF(AC130,"NA")+COUNTIF(AG130,"NA")+COUNTIF(AK130,"NA")))</f>
        <v/>
      </c>
      <c r="K130" s="34" t="str">
        <f aca="false">IFERROR(I130/J130,"")</f>
        <v/>
      </c>
      <c r="L130" s="29"/>
      <c r="M130" s="35"/>
      <c r="N130" s="36"/>
      <c r="O130" s="36"/>
      <c r="P130" s="29"/>
      <c r="Q130" s="35"/>
      <c r="R130" s="36"/>
      <c r="S130" s="36"/>
      <c r="T130" s="29"/>
      <c r="U130" s="35"/>
      <c r="V130" s="36"/>
      <c r="W130" s="36"/>
      <c r="X130" s="29"/>
      <c r="Y130" s="35"/>
      <c r="Z130" s="36"/>
      <c r="AA130" s="36"/>
      <c r="AB130" s="29"/>
      <c r="AC130" s="35"/>
      <c r="AD130" s="36"/>
      <c r="AE130" s="36"/>
      <c r="AF130" s="29"/>
      <c r="AG130" s="35"/>
      <c r="AH130" s="36"/>
      <c r="AI130" s="36"/>
      <c r="AJ130" s="29"/>
      <c r="AK130" s="35"/>
      <c r="AL130" s="36"/>
      <c r="AM130" s="36"/>
      <c r="AN130" s="29"/>
      <c r="AO130" s="29"/>
      <c r="AP130" s="29"/>
      <c r="AQ130" s="37"/>
      <c r="AR130" s="29"/>
      <c r="AS130" s="38" t="str">
        <f aca="false">IF($C130="","",IF(OR(F130="Completed",F130="Cancelled"),"",IF(AND(OR(F130="On Hold",ISNUMBER(VALUE(LEFT(H130,2)))),AR130=""),"Reason not given","")))</f>
        <v/>
      </c>
      <c r="AT130" s="30"/>
      <c r="AU130" s="30"/>
    </row>
    <row r="131" customFormat="false" ht="19.5" hidden="false" customHeight="true" outlineLevel="0" collapsed="false">
      <c r="A131" s="28" t="str">
        <f aca="false">IF($C131="","",COUNTA($C$17:$C131))</f>
        <v/>
      </c>
      <c r="B131" s="29"/>
      <c r="C131" s="30"/>
      <c r="D131" s="29"/>
      <c r="E131" s="31" t="str">
        <f aca="false">IF($C131="","",IF(NOT(OR(M131="Completed",M131="NA",M131="Cancelled")),"S1 Schematic",IF(NOT(OR(Q131="Completed",Q131="NA",Q131="Cancelled")),"S2 PCB Layout",IF(NOT(OR(U131="Completed",U131="NA",U131="Cancelled")),"S3 SI &amp; PI",IF(NOT(OR(Y131="Completed",Y131="NA",Y131="Cancelled")),"S4 Bare-PCB Fab",IF(NOT(OR(AC131="Completed",AC131="NA",AC131="Cancelled")),"S5 Assembly",IF(NOT(OR(AG131="Completed",AG131="NA",AG131="Cancelled")),"S6 Bring-up",IF(NOT(OR(AK131="Completed",AK131="NA",AK131="Cancelled")),"S7 BOM Procurement","All Stages Closed"))))))))</f>
        <v/>
      </c>
      <c r="F131" s="32" t="str">
        <f aca="false">IF($C131="","",IF(COUNTIF(M131,"Cancelled")+COUNTIF(Q131,"Cancelled")+COUNTIF(U131,"Cancelled")+COUNTIF(Y131,"Cancelled")+COUNTIF(AC131,"Cancelled")+COUNTIF(AG131,"Cancelled")+COUNTIF(AK131,"Cancelled")&gt;0,"Cancelled",IF(E131="All Stages Closed","Completed",IF(E131="S1 Schematic",M131,IF(E131="S2 PCB Layout",Q131,IF(E131="S3 SI &amp; PI",U131,IF(E131="S4 Bare-PCB Fab",Y131,IF(E131="S5 Assembly",AC131,IF(E131="S6 Bring-up",AG131,AK131)))))))))</f>
        <v/>
      </c>
      <c r="G131" s="33" t="str">
        <f aca="false">IF($C131="","",IF(E131="All Stages Closed","",IF(E131="S1 Schematic",IF(N131="","Not added",N131),IF(E131="S2 PCB Layout",IF(R131="","Not added",R131),IF(E131="S3 SI &amp; PI",IF(V131="","Not added",V131),IF(E131="S4 Bare-PCB Fab",IF(Z131="","Not added",Z131),IF(E131="S5 Assembly",IF(AD131="","Not added",AD131),IF(E131="S6 Bring-up",IF(AH131="","Not added",AH131),IF(AL131="","Not added",AL131)))))))))</f>
        <v/>
      </c>
      <c r="H131" s="32" t="str">
        <f aca="true">IF($C131="","",IF(OR(F131="Completed",F131="Cancelled"),"",IF(NOT(ISNUMBER(G131)),"No date set",IF(TODAY()&gt;G131,TODAY()-G131&amp;" days late",G131-TODAY()&amp;" days left"))))</f>
        <v/>
      </c>
      <c r="I131" s="31" t="str">
        <f aca="false">IF($C131="","",COUNTIF(M131,"Completed")+COUNTIF(Q131,"Completed")+COUNTIF(U131,"Completed")+COUNTIF(Y131,"Completed")+COUNTIF(AC131,"Completed")+COUNTIF(AG131,"Completed")+COUNTIF(AK131,"Completed"))</f>
        <v/>
      </c>
      <c r="J131" s="31" t="str">
        <f aca="false">IF($C131="","",7-(COUNTIF(M131,"NA")+COUNTIF(Q131,"NA")+COUNTIF(U131,"NA")+COUNTIF(Y131,"NA")+COUNTIF(AC131,"NA")+COUNTIF(AG131,"NA")+COUNTIF(AK131,"NA")))</f>
        <v/>
      </c>
      <c r="K131" s="34" t="str">
        <f aca="false">IFERROR(I131/J131,"")</f>
        <v/>
      </c>
      <c r="L131" s="29"/>
      <c r="M131" s="35"/>
      <c r="N131" s="36"/>
      <c r="O131" s="36"/>
      <c r="P131" s="29"/>
      <c r="Q131" s="35"/>
      <c r="R131" s="36"/>
      <c r="S131" s="36"/>
      <c r="T131" s="29"/>
      <c r="U131" s="35"/>
      <c r="V131" s="36"/>
      <c r="W131" s="36"/>
      <c r="X131" s="29"/>
      <c r="Y131" s="35"/>
      <c r="Z131" s="36"/>
      <c r="AA131" s="36"/>
      <c r="AB131" s="29"/>
      <c r="AC131" s="35"/>
      <c r="AD131" s="36"/>
      <c r="AE131" s="36"/>
      <c r="AF131" s="29"/>
      <c r="AG131" s="35"/>
      <c r="AH131" s="36"/>
      <c r="AI131" s="36"/>
      <c r="AJ131" s="29"/>
      <c r="AK131" s="35"/>
      <c r="AL131" s="36"/>
      <c r="AM131" s="36"/>
      <c r="AN131" s="29"/>
      <c r="AO131" s="29"/>
      <c r="AP131" s="29"/>
      <c r="AQ131" s="37"/>
      <c r="AR131" s="29"/>
      <c r="AS131" s="38" t="str">
        <f aca="false">IF($C131="","",IF(OR(F131="Completed",F131="Cancelled"),"",IF(AND(OR(F131="On Hold",ISNUMBER(VALUE(LEFT(H131,2)))),AR131=""),"Reason not given","")))</f>
        <v/>
      </c>
      <c r="AT131" s="30"/>
      <c r="AU131" s="30"/>
    </row>
    <row r="132" customFormat="false" ht="19.5" hidden="false" customHeight="true" outlineLevel="0" collapsed="false">
      <c r="A132" s="28" t="str">
        <f aca="false">IF($C132="","",COUNTA($C$17:$C132))</f>
        <v/>
      </c>
      <c r="B132" s="29"/>
      <c r="C132" s="30"/>
      <c r="D132" s="29"/>
      <c r="E132" s="31" t="str">
        <f aca="false">IF($C132="","",IF(NOT(OR(M132="Completed",M132="NA",M132="Cancelled")),"S1 Schematic",IF(NOT(OR(Q132="Completed",Q132="NA",Q132="Cancelled")),"S2 PCB Layout",IF(NOT(OR(U132="Completed",U132="NA",U132="Cancelled")),"S3 SI &amp; PI",IF(NOT(OR(Y132="Completed",Y132="NA",Y132="Cancelled")),"S4 Bare-PCB Fab",IF(NOT(OR(AC132="Completed",AC132="NA",AC132="Cancelled")),"S5 Assembly",IF(NOT(OR(AG132="Completed",AG132="NA",AG132="Cancelled")),"S6 Bring-up",IF(NOT(OR(AK132="Completed",AK132="NA",AK132="Cancelled")),"S7 BOM Procurement","All Stages Closed"))))))))</f>
        <v/>
      </c>
      <c r="F132" s="32" t="str">
        <f aca="false">IF($C132="","",IF(COUNTIF(M132,"Cancelled")+COUNTIF(Q132,"Cancelled")+COUNTIF(U132,"Cancelled")+COUNTIF(Y132,"Cancelled")+COUNTIF(AC132,"Cancelled")+COUNTIF(AG132,"Cancelled")+COUNTIF(AK132,"Cancelled")&gt;0,"Cancelled",IF(E132="All Stages Closed","Completed",IF(E132="S1 Schematic",M132,IF(E132="S2 PCB Layout",Q132,IF(E132="S3 SI &amp; PI",U132,IF(E132="S4 Bare-PCB Fab",Y132,IF(E132="S5 Assembly",AC132,IF(E132="S6 Bring-up",AG132,AK132)))))))))</f>
        <v/>
      </c>
      <c r="G132" s="33" t="str">
        <f aca="false">IF($C132="","",IF(E132="All Stages Closed","",IF(E132="S1 Schematic",IF(N132="","Not added",N132),IF(E132="S2 PCB Layout",IF(R132="","Not added",R132),IF(E132="S3 SI &amp; PI",IF(V132="","Not added",V132),IF(E132="S4 Bare-PCB Fab",IF(Z132="","Not added",Z132),IF(E132="S5 Assembly",IF(AD132="","Not added",AD132),IF(E132="S6 Bring-up",IF(AH132="","Not added",AH132),IF(AL132="","Not added",AL132)))))))))</f>
        <v/>
      </c>
      <c r="H132" s="32" t="str">
        <f aca="true">IF($C132="","",IF(OR(F132="Completed",F132="Cancelled"),"",IF(NOT(ISNUMBER(G132)),"No date set",IF(TODAY()&gt;G132,TODAY()-G132&amp;" days late",G132-TODAY()&amp;" days left"))))</f>
        <v/>
      </c>
      <c r="I132" s="31" t="str">
        <f aca="false">IF($C132="","",COUNTIF(M132,"Completed")+COUNTIF(Q132,"Completed")+COUNTIF(U132,"Completed")+COUNTIF(Y132,"Completed")+COUNTIF(AC132,"Completed")+COUNTIF(AG132,"Completed")+COUNTIF(AK132,"Completed"))</f>
        <v/>
      </c>
      <c r="J132" s="31" t="str">
        <f aca="false">IF($C132="","",7-(COUNTIF(M132,"NA")+COUNTIF(Q132,"NA")+COUNTIF(U132,"NA")+COUNTIF(Y132,"NA")+COUNTIF(AC132,"NA")+COUNTIF(AG132,"NA")+COUNTIF(AK132,"NA")))</f>
        <v/>
      </c>
      <c r="K132" s="34" t="str">
        <f aca="false">IFERROR(I132/J132,"")</f>
        <v/>
      </c>
      <c r="L132" s="29"/>
      <c r="M132" s="35"/>
      <c r="N132" s="36"/>
      <c r="O132" s="36"/>
      <c r="P132" s="29"/>
      <c r="Q132" s="35"/>
      <c r="R132" s="36"/>
      <c r="S132" s="36"/>
      <c r="T132" s="29"/>
      <c r="U132" s="35"/>
      <c r="V132" s="36"/>
      <c r="W132" s="36"/>
      <c r="X132" s="29"/>
      <c r="Y132" s="35"/>
      <c r="Z132" s="36"/>
      <c r="AA132" s="36"/>
      <c r="AB132" s="29"/>
      <c r="AC132" s="35"/>
      <c r="AD132" s="36"/>
      <c r="AE132" s="36"/>
      <c r="AF132" s="29"/>
      <c r="AG132" s="35"/>
      <c r="AH132" s="36"/>
      <c r="AI132" s="36"/>
      <c r="AJ132" s="29"/>
      <c r="AK132" s="35"/>
      <c r="AL132" s="36"/>
      <c r="AM132" s="36"/>
      <c r="AN132" s="29"/>
      <c r="AO132" s="29"/>
      <c r="AP132" s="29"/>
      <c r="AQ132" s="37"/>
      <c r="AR132" s="29"/>
      <c r="AS132" s="38" t="str">
        <f aca="false">IF($C132="","",IF(OR(F132="Completed",F132="Cancelled"),"",IF(AND(OR(F132="On Hold",ISNUMBER(VALUE(LEFT(H132,2)))),AR132=""),"Reason not given","")))</f>
        <v/>
      </c>
      <c r="AT132" s="30"/>
      <c r="AU132" s="30"/>
    </row>
    <row r="133" customFormat="false" ht="19.5" hidden="false" customHeight="true" outlineLevel="0" collapsed="false">
      <c r="A133" s="28" t="str">
        <f aca="false">IF($C133="","",COUNTA($C$17:$C133))</f>
        <v/>
      </c>
      <c r="B133" s="29"/>
      <c r="C133" s="30"/>
      <c r="D133" s="29"/>
      <c r="E133" s="31" t="str">
        <f aca="false">IF($C133="","",IF(NOT(OR(M133="Completed",M133="NA",M133="Cancelled")),"S1 Schematic",IF(NOT(OR(Q133="Completed",Q133="NA",Q133="Cancelled")),"S2 PCB Layout",IF(NOT(OR(U133="Completed",U133="NA",U133="Cancelled")),"S3 SI &amp; PI",IF(NOT(OR(Y133="Completed",Y133="NA",Y133="Cancelled")),"S4 Bare-PCB Fab",IF(NOT(OR(AC133="Completed",AC133="NA",AC133="Cancelled")),"S5 Assembly",IF(NOT(OR(AG133="Completed",AG133="NA",AG133="Cancelled")),"S6 Bring-up",IF(NOT(OR(AK133="Completed",AK133="NA",AK133="Cancelled")),"S7 BOM Procurement","All Stages Closed"))))))))</f>
        <v/>
      </c>
      <c r="F133" s="32" t="str">
        <f aca="false">IF($C133="","",IF(COUNTIF(M133,"Cancelled")+COUNTIF(Q133,"Cancelled")+COUNTIF(U133,"Cancelled")+COUNTIF(Y133,"Cancelled")+COUNTIF(AC133,"Cancelled")+COUNTIF(AG133,"Cancelled")+COUNTIF(AK133,"Cancelled")&gt;0,"Cancelled",IF(E133="All Stages Closed","Completed",IF(E133="S1 Schematic",M133,IF(E133="S2 PCB Layout",Q133,IF(E133="S3 SI &amp; PI",U133,IF(E133="S4 Bare-PCB Fab",Y133,IF(E133="S5 Assembly",AC133,IF(E133="S6 Bring-up",AG133,AK133)))))))))</f>
        <v/>
      </c>
      <c r="G133" s="33" t="str">
        <f aca="false">IF($C133="","",IF(E133="All Stages Closed","",IF(E133="S1 Schematic",IF(N133="","Not added",N133),IF(E133="S2 PCB Layout",IF(R133="","Not added",R133),IF(E133="S3 SI &amp; PI",IF(V133="","Not added",V133),IF(E133="S4 Bare-PCB Fab",IF(Z133="","Not added",Z133),IF(E133="S5 Assembly",IF(AD133="","Not added",AD133),IF(E133="S6 Bring-up",IF(AH133="","Not added",AH133),IF(AL133="","Not added",AL133)))))))))</f>
        <v/>
      </c>
      <c r="H133" s="32" t="str">
        <f aca="true">IF($C133="","",IF(OR(F133="Completed",F133="Cancelled"),"",IF(NOT(ISNUMBER(G133)),"No date set",IF(TODAY()&gt;G133,TODAY()-G133&amp;" days late",G133-TODAY()&amp;" days left"))))</f>
        <v/>
      </c>
      <c r="I133" s="31" t="str">
        <f aca="false">IF($C133="","",COUNTIF(M133,"Completed")+COUNTIF(Q133,"Completed")+COUNTIF(U133,"Completed")+COUNTIF(Y133,"Completed")+COUNTIF(AC133,"Completed")+COUNTIF(AG133,"Completed")+COUNTIF(AK133,"Completed"))</f>
        <v/>
      </c>
      <c r="J133" s="31" t="str">
        <f aca="false">IF($C133="","",7-(COUNTIF(M133,"NA")+COUNTIF(Q133,"NA")+COUNTIF(U133,"NA")+COUNTIF(Y133,"NA")+COUNTIF(AC133,"NA")+COUNTIF(AG133,"NA")+COUNTIF(AK133,"NA")))</f>
        <v/>
      </c>
      <c r="K133" s="34" t="str">
        <f aca="false">IFERROR(I133/J133,"")</f>
        <v/>
      </c>
      <c r="L133" s="29"/>
      <c r="M133" s="35"/>
      <c r="N133" s="36"/>
      <c r="O133" s="36"/>
      <c r="P133" s="29"/>
      <c r="Q133" s="35"/>
      <c r="R133" s="36"/>
      <c r="S133" s="36"/>
      <c r="T133" s="29"/>
      <c r="U133" s="35"/>
      <c r="V133" s="36"/>
      <c r="W133" s="36"/>
      <c r="X133" s="29"/>
      <c r="Y133" s="35"/>
      <c r="Z133" s="36"/>
      <c r="AA133" s="36"/>
      <c r="AB133" s="29"/>
      <c r="AC133" s="35"/>
      <c r="AD133" s="36"/>
      <c r="AE133" s="36"/>
      <c r="AF133" s="29"/>
      <c r="AG133" s="35"/>
      <c r="AH133" s="36"/>
      <c r="AI133" s="36"/>
      <c r="AJ133" s="29"/>
      <c r="AK133" s="35"/>
      <c r="AL133" s="36"/>
      <c r="AM133" s="36"/>
      <c r="AN133" s="29"/>
      <c r="AO133" s="29"/>
      <c r="AP133" s="29"/>
      <c r="AQ133" s="37"/>
      <c r="AR133" s="29"/>
      <c r="AS133" s="38" t="str">
        <f aca="false">IF($C133="","",IF(OR(F133="Completed",F133="Cancelled"),"",IF(AND(OR(F133="On Hold",ISNUMBER(VALUE(LEFT(H133,2)))),AR133=""),"Reason not given","")))</f>
        <v/>
      </c>
      <c r="AT133" s="30"/>
      <c r="AU133" s="30"/>
    </row>
    <row r="134" customFormat="false" ht="19.5" hidden="false" customHeight="true" outlineLevel="0" collapsed="false">
      <c r="A134" s="28" t="str">
        <f aca="false">IF($C134="","",COUNTA($C$17:$C134))</f>
        <v/>
      </c>
      <c r="B134" s="29"/>
      <c r="C134" s="30"/>
      <c r="D134" s="29"/>
      <c r="E134" s="31" t="str">
        <f aca="false">IF($C134="","",IF(NOT(OR(M134="Completed",M134="NA",M134="Cancelled")),"S1 Schematic",IF(NOT(OR(Q134="Completed",Q134="NA",Q134="Cancelled")),"S2 PCB Layout",IF(NOT(OR(U134="Completed",U134="NA",U134="Cancelled")),"S3 SI &amp; PI",IF(NOT(OR(Y134="Completed",Y134="NA",Y134="Cancelled")),"S4 Bare-PCB Fab",IF(NOT(OR(AC134="Completed",AC134="NA",AC134="Cancelled")),"S5 Assembly",IF(NOT(OR(AG134="Completed",AG134="NA",AG134="Cancelled")),"S6 Bring-up",IF(NOT(OR(AK134="Completed",AK134="NA",AK134="Cancelled")),"S7 BOM Procurement","All Stages Closed"))))))))</f>
        <v/>
      </c>
      <c r="F134" s="32" t="str">
        <f aca="false">IF($C134="","",IF(COUNTIF(M134,"Cancelled")+COUNTIF(Q134,"Cancelled")+COUNTIF(U134,"Cancelled")+COUNTIF(Y134,"Cancelled")+COUNTIF(AC134,"Cancelled")+COUNTIF(AG134,"Cancelled")+COUNTIF(AK134,"Cancelled")&gt;0,"Cancelled",IF(E134="All Stages Closed","Completed",IF(E134="S1 Schematic",M134,IF(E134="S2 PCB Layout",Q134,IF(E134="S3 SI &amp; PI",U134,IF(E134="S4 Bare-PCB Fab",Y134,IF(E134="S5 Assembly",AC134,IF(E134="S6 Bring-up",AG134,AK134)))))))))</f>
        <v/>
      </c>
      <c r="G134" s="33" t="str">
        <f aca="false">IF($C134="","",IF(E134="All Stages Closed","",IF(E134="S1 Schematic",IF(N134="","Not added",N134),IF(E134="S2 PCB Layout",IF(R134="","Not added",R134),IF(E134="S3 SI &amp; PI",IF(V134="","Not added",V134),IF(E134="S4 Bare-PCB Fab",IF(Z134="","Not added",Z134),IF(E134="S5 Assembly",IF(AD134="","Not added",AD134),IF(E134="S6 Bring-up",IF(AH134="","Not added",AH134),IF(AL134="","Not added",AL134)))))))))</f>
        <v/>
      </c>
      <c r="H134" s="32" t="str">
        <f aca="true">IF($C134="","",IF(OR(F134="Completed",F134="Cancelled"),"",IF(NOT(ISNUMBER(G134)),"No date set",IF(TODAY()&gt;G134,TODAY()-G134&amp;" days late",G134-TODAY()&amp;" days left"))))</f>
        <v/>
      </c>
      <c r="I134" s="31" t="str">
        <f aca="false">IF($C134="","",COUNTIF(M134,"Completed")+COUNTIF(Q134,"Completed")+COUNTIF(U134,"Completed")+COUNTIF(Y134,"Completed")+COUNTIF(AC134,"Completed")+COUNTIF(AG134,"Completed")+COUNTIF(AK134,"Completed"))</f>
        <v/>
      </c>
      <c r="J134" s="31" t="str">
        <f aca="false">IF($C134="","",7-(COUNTIF(M134,"NA")+COUNTIF(Q134,"NA")+COUNTIF(U134,"NA")+COUNTIF(Y134,"NA")+COUNTIF(AC134,"NA")+COUNTIF(AG134,"NA")+COUNTIF(AK134,"NA")))</f>
        <v/>
      </c>
      <c r="K134" s="34" t="str">
        <f aca="false">IFERROR(I134/J134,"")</f>
        <v/>
      </c>
      <c r="L134" s="29"/>
      <c r="M134" s="35"/>
      <c r="N134" s="36"/>
      <c r="O134" s="36"/>
      <c r="P134" s="29"/>
      <c r="Q134" s="35"/>
      <c r="R134" s="36"/>
      <c r="S134" s="36"/>
      <c r="T134" s="29"/>
      <c r="U134" s="35"/>
      <c r="V134" s="36"/>
      <c r="W134" s="36"/>
      <c r="X134" s="29"/>
      <c r="Y134" s="35"/>
      <c r="Z134" s="36"/>
      <c r="AA134" s="36"/>
      <c r="AB134" s="29"/>
      <c r="AC134" s="35"/>
      <c r="AD134" s="36"/>
      <c r="AE134" s="36"/>
      <c r="AF134" s="29"/>
      <c r="AG134" s="35"/>
      <c r="AH134" s="36"/>
      <c r="AI134" s="36"/>
      <c r="AJ134" s="29"/>
      <c r="AK134" s="35"/>
      <c r="AL134" s="36"/>
      <c r="AM134" s="36"/>
      <c r="AN134" s="29"/>
      <c r="AO134" s="29"/>
      <c r="AP134" s="29"/>
      <c r="AQ134" s="37"/>
      <c r="AR134" s="29"/>
      <c r="AS134" s="38" t="str">
        <f aca="false">IF($C134="","",IF(OR(F134="Completed",F134="Cancelled"),"",IF(AND(OR(F134="On Hold",ISNUMBER(VALUE(LEFT(H134,2)))),AR134=""),"Reason not given","")))</f>
        <v/>
      </c>
      <c r="AT134" s="30"/>
      <c r="AU134" s="30"/>
    </row>
    <row r="135" customFormat="false" ht="19.5" hidden="false" customHeight="true" outlineLevel="0" collapsed="false">
      <c r="A135" s="28" t="str">
        <f aca="false">IF($C135="","",COUNTA($C$17:$C135))</f>
        <v/>
      </c>
      <c r="B135" s="29"/>
      <c r="C135" s="30"/>
      <c r="D135" s="29"/>
      <c r="E135" s="31" t="str">
        <f aca="false">IF($C135="","",IF(NOT(OR(M135="Completed",M135="NA",M135="Cancelled")),"S1 Schematic",IF(NOT(OR(Q135="Completed",Q135="NA",Q135="Cancelled")),"S2 PCB Layout",IF(NOT(OR(U135="Completed",U135="NA",U135="Cancelled")),"S3 SI &amp; PI",IF(NOT(OR(Y135="Completed",Y135="NA",Y135="Cancelled")),"S4 Bare-PCB Fab",IF(NOT(OR(AC135="Completed",AC135="NA",AC135="Cancelled")),"S5 Assembly",IF(NOT(OR(AG135="Completed",AG135="NA",AG135="Cancelled")),"S6 Bring-up",IF(NOT(OR(AK135="Completed",AK135="NA",AK135="Cancelled")),"S7 BOM Procurement","All Stages Closed"))))))))</f>
        <v/>
      </c>
      <c r="F135" s="32" t="str">
        <f aca="false">IF($C135="","",IF(COUNTIF(M135,"Cancelled")+COUNTIF(Q135,"Cancelled")+COUNTIF(U135,"Cancelled")+COUNTIF(Y135,"Cancelled")+COUNTIF(AC135,"Cancelled")+COUNTIF(AG135,"Cancelled")+COUNTIF(AK135,"Cancelled")&gt;0,"Cancelled",IF(E135="All Stages Closed","Completed",IF(E135="S1 Schematic",M135,IF(E135="S2 PCB Layout",Q135,IF(E135="S3 SI &amp; PI",U135,IF(E135="S4 Bare-PCB Fab",Y135,IF(E135="S5 Assembly",AC135,IF(E135="S6 Bring-up",AG135,AK135)))))))))</f>
        <v/>
      </c>
      <c r="G135" s="33" t="str">
        <f aca="false">IF($C135="","",IF(E135="All Stages Closed","",IF(E135="S1 Schematic",IF(N135="","Not added",N135),IF(E135="S2 PCB Layout",IF(R135="","Not added",R135),IF(E135="S3 SI &amp; PI",IF(V135="","Not added",V135),IF(E135="S4 Bare-PCB Fab",IF(Z135="","Not added",Z135),IF(E135="S5 Assembly",IF(AD135="","Not added",AD135),IF(E135="S6 Bring-up",IF(AH135="","Not added",AH135),IF(AL135="","Not added",AL135)))))))))</f>
        <v/>
      </c>
      <c r="H135" s="32" t="str">
        <f aca="true">IF($C135="","",IF(OR(F135="Completed",F135="Cancelled"),"",IF(NOT(ISNUMBER(G135)),"No date set",IF(TODAY()&gt;G135,TODAY()-G135&amp;" days late",G135-TODAY()&amp;" days left"))))</f>
        <v/>
      </c>
      <c r="I135" s="31" t="str">
        <f aca="false">IF($C135="","",COUNTIF(M135,"Completed")+COUNTIF(Q135,"Completed")+COUNTIF(U135,"Completed")+COUNTIF(Y135,"Completed")+COUNTIF(AC135,"Completed")+COUNTIF(AG135,"Completed")+COUNTIF(AK135,"Completed"))</f>
        <v/>
      </c>
      <c r="J135" s="31" t="str">
        <f aca="false">IF($C135="","",7-(COUNTIF(M135,"NA")+COUNTIF(Q135,"NA")+COUNTIF(U135,"NA")+COUNTIF(Y135,"NA")+COUNTIF(AC135,"NA")+COUNTIF(AG135,"NA")+COUNTIF(AK135,"NA")))</f>
        <v/>
      </c>
      <c r="K135" s="34" t="str">
        <f aca="false">IFERROR(I135/J135,"")</f>
        <v/>
      </c>
      <c r="L135" s="29"/>
      <c r="M135" s="35"/>
      <c r="N135" s="36"/>
      <c r="O135" s="36"/>
      <c r="P135" s="29"/>
      <c r="Q135" s="35"/>
      <c r="R135" s="36"/>
      <c r="S135" s="36"/>
      <c r="T135" s="29"/>
      <c r="U135" s="35"/>
      <c r="V135" s="36"/>
      <c r="W135" s="36"/>
      <c r="X135" s="29"/>
      <c r="Y135" s="35"/>
      <c r="Z135" s="36"/>
      <c r="AA135" s="36"/>
      <c r="AB135" s="29"/>
      <c r="AC135" s="35"/>
      <c r="AD135" s="36"/>
      <c r="AE135" s="36"/>
      <c r="AF135" s="29"/>
      <c r="AG135" s="35"/>
      <c r="AH135" s="36"/>
      <c r="AI135" s="36"/>
      <c r="AJ135" s="29"/>
      <c r="AK135" s="35"/>
      <c r="AL135" s="36"/>
      <c r="AM135" s="36"/>
      <c r="AN135" s="29"/>
      <c r="AO135" s="29"/>
      <c r="AP135" s="29"/>
      <c r="AQ135" s="37"/>
      <c r="AR135" s="29"/>
      <c r="AS135" s="38" t="str">
        <f aca="false">IF($C135="","",IF(OR(F135="Completed",F135="Cancelled"),"",IF(AND(OR(F135="On Hold",ISNUMBER(VALUE(LEFT(H135,2)))),AR135=""),"Reason not given","")))</f>
        <v/>
      </c>
      <c r="AT135" s="30"/>
      <c r="AU135" s="30"/>
    </row>
    <row r="136" customFormat="false" ht="19.5" hidden="false" customHeight="true" outlineLevel="0" collapsed="false">
      <c r="A136" s="28" t="str">
        <f aca="false">IF($C136="","",COUNTA($C$17:$C136))</f>
        <v/>
      </c>
      <c r="B136" s="29"/>
      <c r="C136" s="30"/>
      <c r="D136" s="29"/>
      <c r="E136" s="31" t="str">
        <f aca="false">IF($C136="","",IF(NOT(OR(M136="Completed",M136="NA",M136="Cancelled")),"S1 Schematic",IF(NOT(OR(Q136="Completed",Q136="NA",Q136="Cancelled")),"S2 PCB Layout",IF(NOT(OR(U136="Completed",U136="NA",U136="Cancelled")),"S3 SI &amp; PI",IF(NOT(OR(Y136="Completed",Y136="NA",Y136="Cancelled")),"S4 Bare-PCB Fab",IF(NOT(OR(AC136="Completed",AC136="NA",AC136="Cancelled")),"S5 Assembly",IF(NOT(OR(AG136="Completed",AG136="NA",AG136="Cancelled")),"S6 Bring-up",IF(NOT(OR(AK136="Completed",AK136="NA",AK136="Cancelled")),"S7 BOM Procurement","All Stages Closed"))))))))</f>
        <v/>
      </c>
      <c r="F136" s="32" t="str">
        <f aca="false">IF($C136="","",IF(COUNTIF(M136,"Cancelled")+COUNTIF(Q136,"Cancelled")+COUNTIF(U136,"Cancelled")+COUNTIF(Y136,"Cancelled")+COUNTIF(AC136,"Cancelled")+COUNTIF(AG136,"Cancelled")+COUNTIF(AK136,"Cancelled")&gt;0,"Cancelled",IF(E136="All Stages Closed","Completed",IF(E136="S1 Schematic",M136,IF(E136="S2 PCB Layout",Q136,IF(E136="S3 SI &amp; PI",U136,IF(E136="S4 Bare-PCB Fab",Y136,IF(E136="S5 Assembly",AC136,IF(E136="S6 Bring-up",AG136,AK136)))))))))</f>
        <v/>
      </c>
      <c r="G136" s="33" t="str">
        <f aca="false">IF($C136="","",IF(E136="All Stages Closed","",IF(E136="S1 Schematic",IF(N136="","Not added",N136),IF(E136="S2 PCB Layout",IF(R136="","Not added",R136),IF(E136="S3 SI &amp; PI",IF(V136="","Not added",V136),IF(E136="S4 Bare-PCB Fab",IF(Z136="","Not added",Z136),IF(E136="S5 Assembly",IF(AD136="","Not added",AD136),IF(E136="S6 Bring-up",IF(AH136="","Not added",AH136),IF(AL136="","Not added",AL136)))))))))</f>
        <v/>
      </c>
      <c r="H136" s="32" t="str">
        <f aca="true">IF($C136="","",IF(OR(F136="Completed",F136="Cancelled"),"",IF(NOT(ISNUMBER(G136)),"No date set",IF(TODAY()&gt;G136,TODAY()-G136&amp;" days late",G136-TODAY()&amp;" days left"))))</f>
        <v/>
      </c>
      <c r="I136" s="31" t="str">
        <f aca="false">IF($C136="","",COUNTIF(M136,"Completed")+COUNTIF(Q136,"Completed")+COUNTIF(U136,"Completed")+COUNTIF(Y136,"Completed")+COUNTIF(AC136,"Completed")+COUNTIF(AG136,"Completed")+COUNTIF(AK136,"Completed"))</f>
        <v/>
      </c>
      <c r="J136" s="31" t="str">
        <f aca="false">IF($C136="","",7-(COUNTIF(M136,"NA")+COUNTIF(Q136,"NA")+COUNTIF(U136,"NA")+COUNTIF(Y136,"NA")+COUNTIF(AC136,"NA")+COUNTIF(AG136,"NA")+COUNTIF(AK136,"NA")))</f>
        <v/>
      </c>
      <c r="K136" s="34" t="str">
        <f aca="false">IFERROR(I136/J136,"")</f>
        <v/>
      </c>
      <c r="L136" s="29"/>
      <c r="M136" s="35"/>
      <c r="N136" s="36"/>
      <c r="O136" s="36"/>
      <c r="P136" s="29"/>
      <c r="Q136" s="35"/>
      <c r="R136" s="36"/>
      <c r="S136" s="36"/>
      <c r="T136" s="29"/>
      <c r="U136" s="35"/>
      <c r="V136" s="36"/>
      <c r="W136" s="36"/>
      <c r="X136" s="29"/>
      <c r="Y136" s="35"/>
      <c r="Z136" s="36"/>
      <c r="AA136" s="36"/>
      <c r="AB136" s="29"/>
      <c r="AC136" s="35"/>
      <c r="AD136" s="36"/>
      <c r="AE136" s="36"/>
      <c r="AF136" s="29"/>
      <c r="AG136" s="35"/>
      <c r="AH136" s="36"/>
      <c r="AI136" s="36"/>
      <c r="AJ136" s="29"/>
      <c r="AK136" s="35"/>
      <c r="AL136" s="36"/>
      <c r="AM136" s="36"/>
      <c r="AN136" s="29"/>
      <c r="AO136" s="29"/>
      <c r="AP136" s="29"/>
      <c r="AQ136" s="37"/>
      <c r="AR136" s="29"/>
      <c r="AS136" s="38" t="str">
        <f aca="false">IF($C136="","",IF(OR(F136="Completed",F136="Cancelled"),"",IF(AND(OR(F136="On Hold",ISNUMBER(VALUE(LEFT(H136,2)))),AR136=""),"Reason not given","")))</f>
        <v/>
      </c>
      <c r="AT136" s="30"/>
      <c r="AU136" s="30"/>
    </row>
    <row r="137" customFormat="false" ht="19.5" hidden="false" customHeight="true" outlineLevel="0" collapsed="false">
      <c r="A137" s="28" t="str">
        <f aca="false">IF($C137="","",COUNTA($C$17:$C137))</f>
        <v/>
      </c>
      <c r="B137" s="29"/>
      <c r="C137" s="30"/>
      <c r="D137" s="29"/>
      <c r="E137" s="31" t="str">
        <f aca="false">IF($C137="","",IF(NOT(OR(M137="Completed",M137="NA",M137="Cancelled")),"S1 Schematic",IF(NOT(OR(Q137="Completed",Q137="NA",Q137="Cancelled")),"S2 PCB Layout",IF(NOT(OR(U137="Completed",U137="NA",U137="Cancelled")),"S3 SI &amp; PI",IF(NOT(OR(Y137="Completed",Y137="NA",Y137="Cancelled")),"S4 Bare-PCB Fab",IF(NOT(OR(AC137="Completed",AC137="NA",AC137="Cancelled")),"S5 Assembly",IF(NOT(OR(AG137="Completed",AG137="NA",AG137="Cancelled")),"S6 Bring-up",IF(NOT(OR(AK137="Completed",AK137="NA",AK137="Cancelled")),"S7 BOM Procurement","All Stages Closed"))))))))</f>
        <v/>
      </c>
      <c r="F137" s="32" t="str">
        <f aca="false">IF($C137="","",IF(COUNTIF(M137,"Cancelled")+COUNTIF(Q137,"Cancelled")+COUNTIF(U137,"Cancelled")+COUNTIF(Y137,"Cancelled")+COUNTIF(AC137,"Cancelled")+COUNTIF(AG137,"Cancelled")+COUNTIF(AK137,"Cancelled")&gt;0,"Cancelled",IF(E137="All Stages Closed","Completed",IF(E137="S1 Schematic",M137,IF(E137="S2 PCB Layout",Q137,IF(E137="S3 SI &amp; PI",U137,IF(E137="S4 Bare-PCB Fab",Y137,IF(E137="S5 Assembly",AC137,IF(E137="S6 Bring-up",AG137,AK137)))))))))</f>
        <v/>
      </c>
      <c r="G137" s="33" t="str">
        <f aca="false">IF($C137="","",IF(E137="All Stages Closed","",IF(E137="S1 Schematic",IF(N137="","Not added",N137),IF(E137="S2 PCB Layout",IF(R137="","Not added",R137),IF(E137="S3 SI &amp; PI",IF(V137="","Not added",V137),IF(E137="S4 Bare-PCB Fab",IF(Z137="","Not added",Z137),IF(E137="S5 Assembly",IF(AD137="","Not added",AD137),IF(E137="S6 Bring-up",IF(AH137="","Not added",AH137),IF(AL137="","Not added",AL137)))))))))</f>
        <v/>
      </c>
      <c r="H137" s="32" t="str">
        <f aca="true">IF($C137="","",IF(OR(F137="Completed",F137="Cancelled"),"",IF(NOT(ISNUMBER(G137)),"No date set",IF(TODAY()&gt;G137,TODAY()-G137&amp;" days late",G137-TODAY()&amp;" days left"))))</f>
        <v/>
      </c>
      <c r="I137" s="31" t="str">
        <f aca="false">IF($C137="","",COUNTIF(M137,"Completed")+COUNTIF(Q137,"Completed")+COUNTIF(U137,"Completed")+COUNTIF(Y137,"Completed")+COUNTIF(AC137,"Completed")+COUNTIF(AG137,"Completed")+COUNTIF(AK137,"Completed"))</f>
        <v/>
      </c>
      <c r="J137" s="31" t="str">
        <f aca="false">IF($C137="","",7-(COUNTIF(M137,"NA")+COUNTIF(Q137,"NA")+COUNTIF(U137,"NA")+COUNTIF(Y137,"NA")+COUNTIF(AC137,"NA")+COUNTIF(AG137,"NA")+COUNTIF(AK137,"NA")))</f>
        <v/>
      </c>
      <c r="K137" s="34" t="str">
        <f aca="false">IFERROR(I137/J137,"")</f>
        <v/>
      </c>
      <c r="L137" s="29"/>
      <c r="M137" s="35"/>
      <c r="N137" s="36"/>
      <c r="O137" s="36"/>
      <c r="P137" s="29"/>
      <c r="Q137" s="35"/>
      <c r="R137" s="36"/>
      <c r="S137" s="36"/>
      <c r="T137" s="29"/>
      <c r="U137" s="35"/>
      <c r="V137" s="36"/>
      <c r="W137" s="36"/>
      <c r="X137" s="29"/>
      <c r="Y137" s="35"/>
      <c r="Z137" s="36"/>
      <c r="AA137" s="36"/>
      <c r="AB137" s="29"/>
      <c r="AC137" s="35"/>
      <c r="AD137" s="36"/>
      <c r="AE137" s="36"/>
      <c r="AF137" s="29"/>
      <c r="AG137" s="35"/>
      <c r="AH137" s="36"/>
      <c r="AI137" s="36"/>
      <c r="AJ137" s="29"/>
      <c r="AK137" s="35"/>
      <c r="AL137" s="36"/>
      <c r="AM137" s="36"/>
      <c r="AN137" s="29"/>
      <c r="AO137" s="29"/>
      <c r="AP137" s="29"/>
      <c r="AQ137" s="37"/>
      <c r="AR137" s="29"/>
      <c r="AS137" s="38" t="str">
        <f aca="false">IF($C137="","",IF(OR(F137="Completed",F137="Cancelled"),"",IF(AND(OR(F137="On Hold",ISNUMBER(VALUE(LEFT(H137,2)))),AR137=""),"Reason not given","")))</f>
        <v/>
      </c>
      <c r="AT137" s="30"/>
      <c r="AU137" s="30"/>
    </row>
    <row r="138" customFormat="false" ht="19.5" hidden="false" customHeight="true" outlineLevel="0" collapsed="false">
      <c r="A138" s="28" t="str">
        <f aca="false">IF($C138="","",COUNTA($C$17:$C138))</f>
        <v/>
      </c>
      <c r="B138" s="29"/>
      <c r="C138" s="30"/>
      <c r="D138" s="29"/>
      <c r="E138" s="31" t="str">
        <f aca="false">IF($C138="","",IF(NOT(OR(M138="Completed",M138="NA",M138="Cancelled")),"S1 Schematic",IF(NOT(OR(Q138="Completed",Q138="NA",Q138="Cancelled")),"S2 PCB Layout",IF(NOT(OR(U138="Completed",U138="NA",U138="Cancelled")),"S3 SI &amp; PI",IF(NOT(OR(Y138="Completed",Y138="NA",Y138="Cancelled")),"S4 Bare-PCB Fab",IF(NOT(OR(AC138="Completed",AC138="NA",AC138="Cancelled")),"S5 Assembly",IF(NOT(OR(AG138="Completed",AG138="NA",AG138="Cancelled")),"S6 Bring-up",IF(NOT(OR(AK138="Completed",AK138="NA",AK138="Cancelled")),"S7 BOM Procurement","All Stages Closed"))))))))</f>
        <v/>
      </c>
      <c r="F138" s="32" t="str">
        <f aca="false">IF($C138="","",IF(COUNTIF(M138,"Cancelled")+COUNTIF(Q138,"Cancelled")+COUNTIF(U138,"Cancelled")+COUNTIF(Y138,"Cancelled")+COUNTIF(AC138,"Cancelled")+COUNTIF(AG138,"Cancelled")+COUNTIF(AK138,"Cancelled")&gt;0,"Cancelled",IF(E138="All Stages Closed","Completed",IF(E138="S1 Schematic",M138,IF(E138="S2 PCB Layout",Q138,IF(E138="S3 SI &amp; PI",U138,IF(E138="S4 Bare-PCB Fab",Y138,IF(E138="S5 Assembly",AC138,IF(E138="S6 Bring-up",AG138,AK138)))))))))</f>
        <v/>
      </c>
      <c r="G138" s="33" t="str">
        <f aca="false">IF($C138="","",IF(E138="All Stages Closed","",IF(E138="S1 Schematic",IF(N138="","Not added",N138),IF(E138="S2 PCB Layout",IF(R138="","Not added",R138),IF(E138="S3 SI &amp; PI",IF(V138="","Not added",V138),IF(E138="S4 Bare-PCB Fab",IF(Z138="","Not added",Z138),IF(E138="S5 Assembly",IF(AD138="","Not added",AD138),IF(E138="S6 Bring-up",IF(AH138="","Not added",AH138),IF(AL138="","Not added",AL138)))))))))</f>
        <v/>
      </c>
      <c r="H138" s="32" t="str">
        <f aca="true">IF($C138="","",IF(OR(F138="Completed",F138="Cancelled"),"",IF(NOT(ISNUMBER(G138)),"No date set",IF(TODAY()&gt;G138,TODAY()-G138&amp;" days late",G138-TODAY()&amp;" days left"))))</f>
        <v/>
      </c>
      <c r="I138" s="31" t="str">
        <f aca="false">IF($C138="","",COUNTIF(M138,"Completed")+COUNTIF(Q138,"Completed")+COUNTIF(U138,"Completed")+COUNTIF(Y138,"Completed")+COUNTIF(AC138,"Completed")+COUNTIF(AG138,"Completed")+COUNTIF(AK138,"Completed"))</f>
        <v/>
      </c>
      <c r="J138" s="31" t="str">
        <f aca="false">IF($C138="","",7-(COUNTIF(M138,"NA")+COUNTIF(Q138,"NA")+COUNTIF(U138,"NA")+COUNTIF(Y138,"NA")+COUNTIF(AC138,"NA")+COUNTIF(AG138,"NA")+COUNTIF(AK138,"NA")))</f>
        <v/>
      </c>
      <c r="K138" s="34" t="str">
        <f aca="false">IFERROR(I138/J138,"")</f>
        <v/>
      </c>
      <c r="L138" s="29"/>
      <c r="M138" s="35"/>
      <c r="N138" s="36"/>
      <c r="O138" s="36"/>
      <c r="P138" s="29"/>
      <c r="Q138" s="35"/>
      <c r="R138" s="36"/>
      <c r="S138" s="36"/>
      <c r="T138" s="29"/>
      <c r="U138" s="35"/>
      <c r="V138" s="36"/>
      <c r="W138" s="36"/>
      <c r="X138" s="29"/>
      <c r="Y138" s="35"/>
      <c r="Z138" s="36"/>
      <c r="AA138" s="36"/>
      <c r="AB138" s="29"/>
      <c r="AC138" s="35"/>
      <c r="AD138" s="36"/>
      <c r="AE138" s="36"/>
      <c r="AF138" s="29"/>
      <c r="AG138" s="35"/>
      <c r="AH138" s="36"/>
      <c r="AI138" s="36"/>
      <c r="AJ138" s="29"/>
      <c r="AK138" s="35"/>
      <c r="AL138" s="36"/>
      <c r="AM138" s="36"/>
      <c r="AN138" s="29"/>
      <c r="AO138" s="29"/>
      <c r="AP138" s="29"/>
      <c r="AQ138" s="37"/>
      <c r="AR138" s="29"/>
      <c r="AS138" s="38" t="str">
        <f aca="false">IF($C138="","",IF(OR(F138="Completed",F138="Cancelled"),"",IF(AND(OR(F138="On Hold",ISNUMBER(VALUE(LEFT(H138,2)))),AR138=""),"Reason not given","")))</f>
        <v/>
      </c>
      <c r="AT138" s="30"/>
      <c r="AU138" s="30"/>
    </row>
    <row r="139" customFormat="false" ht="19.5" hidden="false" customHeight="true" outlineLevel="0" collapsed="false">
      <c r="A139" s="28" t="str">
        <f aca="false">IF($C139="","",COUNTA($C$17:$C139))</f>
        <v/>
      </c>
      <c r="B139" s="29"/>
      <c r="C139" s="30"/>
      <c r="D139" s="29"/>
      <c r="E139" s="31" t="str">
        <f aca="false">IF($C139="","",IF(NOT(OR(M139="Completed",M139="NA",M139="Cancelled")),"S1 Schematic",IF(NOT(OR(Q139="Completed",Q139="NA",Q139="Cancelled")),"S2 PCB Layout",IF(NOT(OR(U139="Completed",U139="NA",U139="Cancelled")),"S3 SI &amp; PI",IF(NOT(OR(Y139="Completed",Y139="NA",Y139="Cancelled")),"S4 Bare-PCB Fab",IF(NOT(OR(AC139="Completed",AC139="NA",AC139="Cancelled")),"S5 Assembly",IF(NOT(OR(AG139="Completed",AG139="NA",AG139="Cancelled")),"S6 Bring-up",IF(NOT(OR(AK139="Completed",AK139="NA",AK139="Cancelled")),"S7 BOM Procurement","All Stages Closed"))))))))</f>
        <v/>
      </c>
      <c r="F139" s="32" t="str">
        <f aca="false">IF($C139="","",IF(COUNTIF(M139,"Cancelled")+COUNTIF(Q139,"Cancelled")+COUNTIF(U139,"Cancelled")+COUNTIF(Y139,"Cancelled")+COUNTIF(AC139,"Cancelled")+COUNTIF(AG139,"Cancelled")+COUNTIF(AK139,"Cancelled")&gt;0,"Cancelled",IF(E139="All Stages Closed","Completed",IF(E139="S1 Schematic",M139,IF(E139="S2 PCB Layout",Q139,IF(E139="S3 SI &amp; PI",U139,IF(E139="S4 Bare-PCB Fab",Y139,IF(E139="S5 Assembly",AC139,IF(E139="S6 Bring-up",AG139,AK139)))))))))</f>
        <v/>
      </c>
      <c r="G139" s="33" t="str">
        <f aca="false">IF($C139="","",IF(E139="All Stages Closed","",IF(E139="S1 Schematic",IF(N139="","Not added",N139),IF(E139="S2 PCB Layout",IF(R139="","Not added",R139),IF(E139="S3 SI &amp; PI",IF(V139="","Not added",V139),IF(E139="S4 Bare-PCB Fab",IF(Z139="","Not added",Z139),IF(E139="S5 Assembly",IF(AD139="","Not added",AD139),IF(E139="S6 Bring-up",IF(AH139="","Not added",AH139),IF(AL139="","Not added",AL139)))))))))</f>
        <v/>
      </c>
      <c r="H139" s="32" t="str">
        <f aca="true">IF($C139="","",IF(OR(F139="Completed",F139="Cancelled"),"",IF(NOT(ISNUMBER(G139)),"No date set",IF(TODAY()&gt;G139,TODAY()-G139&amp;" days late",G139-TODAY()&amp;" days left"))))</f>
        <v/>
      </c>
      <c r="I139" s="31" t="str">
        <f aca="false">IF($C139="","",COUNTIF(M139,"Completed")+COUNTIF(Q139,"Completed")+COUNTIF(U139,"Completed")+COUNTIF(Y139,"Completed")+COUNTIF(AC139,"Completed")+COUNTIF(AG139,"Completed")+COUNTIF(AK139,"Completed"))</f>
        <v/>
      </c>
      <c r="J139" s="31" t="str">
        <f aca="false">IF($C139="","",7-(COUNTIF(M139,"NA")+COUNTIF(Q139,"NA")+COUNTIF(U139,"NA")+COUNTIF(Y139,"NA")+COUNTIF(AC139,"NA")+COUNTIF(AG139,"NA")+COUNTIF(AK139,"NA")))</f>
        <v/>
      </c>
      <c r="K139" s="34" t="str">
        <f aca="false">IFERROR(I139/J139,"")</f>
        <v/>
      </c>
      <c r="L139" s="29"/>
      <c r="M139" s="35"/>
      <c r="N139" s="36"/>
      <c r="O139" s="36"/>
      <c r="P139" s="29"/>
      <c r="Q139" s="35"/>
      <c r="R139" s="36"/>
      <c r="S139" s="36"/>
      <c r="T139" s="29"/>
      <c r="U139" s="35"/>
      <c r="V139" s="36"/>
      <c r="W139" s="36"/>
      <c r="X139" s="29"/>
      <c r="Y139" s="35"/>
      <c r="Z139" s="36"/>
      <c r="AA139" s="36"/>
      <c r="AB139" s="29"/>
      <c r="AC139" s="35"/>
      <c r="AD139" s="36"/>
      <c r="AE139" s="36"/>
      <c r="AF139" s="29"/>
      <c r="AG139" s="35"/>
      <c r="AH139" s="36"/>
      <c r="AI139" s="36"/>
      <c r="AJ139" s="29"/>
      <c r="AK139" s="35"/>
      <c r="AL139" s="36"/>
      <c r="AM139" s="36"/>
      <c r="AN139" s="29"/>
      <c r="AO139" s="29"/>
      <c r="AP139" s="29"/>
      <c r="AQ139" s="37"/>
      <c r="AR139" s="29"/>
      <c r="AS139" s="38" t="str">
        <f aca="false">IF($C139="","",IF(OR(F139="Completed",F139="Cancelled"),"",IF(AND(OR(F139="On Hold",ISNUMBER(VALUE(LEFT(H139,2)))),AR139=""),"Reason not given","")))</f>
        <v/>
      </c>
      <c r="AT139" s="30"/>
      <c r="AU139" s="30"/>
    </row>
    <row r="140" customFormat="false" ht="19.5" hidden="false" customHeight="true" outlineLevel="0" collapsed="false">
      <c r="A140" s="28" t="str">
        <f aca="false">IF($C140="","",COUNTA($C$17:$C140))</f>
        <v/>
      </c>
      <c r="B140" s="29"/>
      <c r="C140" s="30"/>
      <c r="D140" s="29"/>
      <c r="E140" s="31" t="str">
        <f aca="false">IF($C140="","",IF(NOT(OR(M140="Completed",M140="NA",M140="Cancelled")),"S1 Schematic",IF(NOT(OR(Q140="Completed",Q140="NA",Q140="Cancelled")),"S2 PCB Layout",IF(NOT(OR(U140="Completed",U140="NA",U140="Cancelled")),"S3 SI &amp; PI",IF(NOT(OR(Y140="Completed",Y140="NA",Y140="Cancelled")),"S4 Bare-PCB Fab",IF(NOT(OR(AC140="Completed",AC140="NA",AC140="Cancelled")),"S5 Assembly",IF(NOT(OR(AG140="Completed",AG140="NA",AG140="Cancelled")),"S6 Bring-up",IF(NOT(OR(AK140="Completed",AK140="NA",AK140="Cancelled")),"S7 BOM Procurement","All Stages Closed"))))))))</f>
        <v/>
      </c>
      <c r="F140" s="32" t="str">
        <f aca="false">IF($C140="","",IF(COUNTIF(M140,"Cancelled")+COUNTIF(Q140,"Cancelled")+COUNTIF(U140,"Cancelled")+COUNTIF(Y140,"Cancelled")+COUNTIF(AC140,"Cancelled")+COUNTIF(AG140,"Cancelled")+COUNTIF(AK140,"Cancelled")&gt;0,"Cancelled",IF(E140="All Stages Closed","Completed",IF(E140="S1 Schematic",M140,IF(E140="S2 PCB Layout",Q140,IF(E140="S3 SI &amp; PI",U140,IF(E140="S4 Bare-PCB Fab",Y140,IF(E140="S5 Assembly",AC140,IF(E140="S6 Bring-up",AG140,AK140)))))))))</f>
        <v/>
      </c>
      <c r="G140" s="33" t="str">
        <f aca="false">IF($C140="","",IF(E140="All Stages Closed","",IF(E140="S1 Schematic",IF(N140="","Not added",N140),IF(E140="S2 PCB Layout",IF(R140="","Not added",R140),IF(E140="S3 SI &amp; PI",IF(V140="","Not added",V140),IF(E140="S4 Bare-PCB Fab",IF(Z140="","Not added",Z140),IF(E140="S5 Assembly",IF(AD140="","Not added",AD140),IF(E140="S6 Bring-up",IF(AH140="","Not added",AH140),IF(AL140="","Not added",AL140)))))))))</f>
        <v/>
      </c>
      <c r="H140" s="32" t="str">
        <f aca="true">IF($C140="","",IF(OR(F140="Completed",F140="Cancelled"),"",IF(NOT(ISNUMBER(G140)),"No date set",IF(TODAY()&gt;G140,TODAY()-G140&amp;" days late",G140-TODAY()&amp;" days left"))))</f>
        <v/>
      </c>
      <c r="I140" s="31" t="str">
        <f aca="false">IF($C140="","",COUNTIF(M140,"Completed")+COUNTIF(Q140,"Completed")+COUNTIF(U140,"Completed")+COUNTIF(Y140,"Completed")+COUNTIF(AC140,"Completed")+COUNTIF(AG140,"Completed")+COUNTIF(AK140,"Completed"))</f>
        <v/>
      </c>
      <c r="J140" s="31" t="str">
        <f aca="false">IF($C140="","",7-(COUNTIF(M140,"NA")+COUNTIF(Q140,"NA")+COUNTIF(U140,"NA")+COUNTIF(Y140,"NA")+COUNTIF(AC140,"NA")+COUNTIF(AG140,"NA")+COUNTIF(AK140,"NA")))</f>
        <v/>
      </c>
      <c r="K140" s="34" t="str">
        <f aca="false">IFERROR(I140/J140,"")</f>
        <v/>
      </c>
      <c r="L140" s="29"/>
      <c r="M140" s="35"/>
      <c r="N140" s="36"/>
      <c r="O140" s="36"/>
      <c r="P140" s="29"/>
      <c r="Q140" s="35"/>
      <c r="R140" s="36"/>
      <c r="S140" s="36"/>
      <c r="T140" s="29"/>
      <c r="U140" s="35"/>
      <c r="V140" s="36"/>
      <c r="W140" s="36"/>
      <c r="X140" s="29"/>
      <c r="Y140" s="35"/>
      <c r="Z140" s="36"/>
      <c r="AA140" s="36"/>
      <c r="AB140" s="29"/>
      <c r="AC140" s="35"/>
      <c r="AD140" s="36"/>
      <c r="AE140" s="36"/>
      <c r="AF140" s="29"/>
      <c r="AG140" s="35"/>
      <c r="AH140" s="36"/>
      <c r="AI140" s="36"/>
      <c r="AJ140" s="29"/>
      <c r="AK140" s="35"/>
      <c r="AL140" s="36"/>
      <c r="AM140" s="36"/>
      <c r="AN140" s="29"/>
      <c r="AO140" s="29"/>
      <c r="AP140" s="29"/>
      <c r="AQ140" s="37"/>
      <c r="AR140" s="29"/>
      <c r="AS140" s="38" t="str">
        <f aca="false">IF($C140="","",IF(OR(F140="Completed",F140="Cancelled"),"",IF(AND(OR(F140="On Hold",ISNUMBER(VALUE(LEFT(H140,2)))),AR140=""),"Reason not given","")))</f>
        <v/>
      </c>
      <c r="AT140" s="30"/>
      <c r="AU140" s="30"/>
    </row>
    <row r="141" customFormat="false" ht="19.5" hidden="false" customHeight="true" outlineLevel="0" collapsed="false">
      <c r="A141" s="28" t="str">
        <f aca="false">IF($C141="","",COUNTA($C$17:$C141))</f>
        <v/>
      </c>
      <c r="B141" s="29"/>
      <c r="C141" s="30"/>
      <c r="D141" s="29"/>
      <c r="E141" s="31" t="str">
        <f aca="false">IF($C141="","",IF(NOT(OR(M141="Completed",M141="NA",M141="Cancelled")),"S1 Schematic",IF(NOT(OR(Q141="Completed",Q141="NA",Q141="Cancelled")),"S2 PCB Layout",IF(NOT(OR(U141="Completed",U141="NA",U141="Cancelled")),"S3 SI &amp; PI",IF(NOT(OR(Y141="Completed",Y141="NA",Y141="Cancelled")),"S4 Bare-PCB Fab",IF(NOT(OR(AC141="Completed",AC141="NA",AC141="Cancelled")),"S5 Assembly",IF(NOT(OR(AG141="Completed",AG141="NA",AG141="Cancelled")),"S6 Bring-up",IF(NOT(OR(AK141="Completed",AK141="NA",AK141="Cancelled")),"S7 BOM Procurement","All Stages Closed"))))))))</f>
        <v/>
      </c>
      <c r="F141" s="32" t="str">
        <f aca="false">IF($C141="","",IF(COUNTIF(M141,"Cancelled")+COUNTIF(Q141,"Cancelled")+COUNTIF(U141,"Cancelled")+COUNTIF(Y141,"Cancelled")+COUNTIF(AC141,"Cancelled")+COUNTIF(AG141,"Cancelled")+COUNTIF(AK141,"Cancelled")&gt;0,"Cancelled",IF(E141="All Stages Closed","Completed",IF(E141="S1 Schematic",M141,IF(E141="S2 PCB Layout",Q141,IF(E141="S3 SI &amp; PI",U141,IF(E141="S4 Bare-PCB Fab",Y141,IF(E141="S5 Assembly",AC141,IF(E141="S6 Bring-up",AG141,AK141)))))))))</f>
        <v/>
      </c>
      <c r="G141" s="33" t="str">
        <f aca="false">IF($C141="","",IF(E141="All Stages Closed","",IF(E141="S1 Schematic",IF(N141="","Not added",N141),IF(E141="S2 PCB Layout",IF(R141="","Not added",R141),IF(E141="S3 SI &amp; PI",IF(V141="","Not added",V141),IF(E141="S4 Bare-PCB Fab",IF(Z141="","Not added",Z141),IF(E141="S5 Assembly",IF(AD141="","Not added",AD141),IF(E141="S6 Bring-up",IF(AH141="","Not added",AH141),IF(AL141="","Not added",AL141)))))))))</f>
        <v/>
      </c>
      <c r="H141" s="32" t="str">
        <f aca="true">IF($C141="","",IF(OR(F141="Completed",F141="Cancelled"),"",IF(NOT(ISNUMBER(G141)),"No date set",IF(TODAY()&gt;G141,TODAY()-G141&amp;" days late",G141-TODAY()&amp;" days left"))))</f>
        <v/>
      </c>
      <c r="I141" s="31" t="str">
        <f aca="false">IF($C141="","",COUNTIF(M141,"Completed")+COUNTIF(Q141,"Completed")+COUNTIF(U141,"Completed")+COUNTIF(Y141,"Completed")+COUNTIF(AC141,"Completed")+COUNTIF(AG141,"Completed")+COUNTIF(AK141,"Completed"))</f>
        <v/>
      </c>
      <c r="J141" s="31" t="str">
        <f aca="false">IF($C141="","",7-(COUNTIF(M141,"NA")+COUNTIF(Q141,"NA")+COUNTIF(U141,"NA")+COUNTIF(Y141,"NA")+COUNTIF(AC141,"NA")+COUNTIF(AG141,"NA")+COUNTIF(AK141,"NA")))</f>
        <v/>
      </c>
      <c r="K141" s="34" t="str">
        <f aca="false">IFERROR(I141/J141,"")</f>
        <v/>
      </c>
      <c r="L141" s="29"/>
      <c r="M141" s="35"/>
      <c r="N141" s="36"/>
      <c r="O141" s="36"/>
      <c r="P141" s="29"/>
      <c r="Q141" s="35"/>
      <c r="R141" s="36"/>
      <c r="S141" s="36"/>
      <c r="T141" s="29"/>
      <c r="U141" s="35"/>
      <c r="V141" s="36"/>
      <c r="W141" s="36"/>
      <c r="X141" s="29"/>
      <c r="Y141" s="35"/>
      <c r="Z141" s="36"/>
      <c r="AA141" s="36"/>
      <c r="AB141" s="29"/>
      <c r="AC141" s="35"/>
      <c r="AD141" s="36"/>
      <c r="AE141" s="36"/>
      <c r="AF141" s="29"/>
      <c r="AG141" s="35"/>
      <c r="AH141" s="36"/>
      <c r="AI141" s="36"/>
      <c r="AJ141" s="29"/>
      <c r="AK141" s="35"/>
      <c r="AL141" s="36"/>
      <c r="AM141" s="36"/>
      <c r="AN141" s="29"/>
      <c r="AO141" s="29"/>
      <c r="AP141" s="29"/>
      <c r="AQ141" s="37"/>
      <c r="AR141" s="29"/>
      <c r="AS141" s="38" t="str">
        <f aca="false">IF($C141="","",IF(OR(F141="Completed",F141="Cancelled"),"",IF(AND(OR(F141="On Hold",ISNUMBER(VALUE(LEFT(H141,2)))),AR141=""),"Reason not given","")))</f>
        <v/>
      </c>
      <c r="AT141" s="30"/>
      <c r="AU141" s="30"/>
    </row>
    <row r="142" customFormat="false" ht="19.5" hidden="false" customHeight="true" outlineLevel="0" collapsed="false">
      <c r="A142" s="28" t="str">
        <f aca="false">IF($C142="","",COUNTA($C$17:$C142))</f>
        <v/>
      </c>
      <c r="B142" s="29"/>
      <c r="C142" s="30"/>
      <c r="D142" s="29"/>
      <c r="E142" s="31" t="str">
        <f aca="false">IF($C142="","",IF(NOT(OR(M142="Completed",M142="NA",M142="Cancelled")),"S1 Schematic",IF(NOT(OR(Q142="Completed",Q142="NA",Q142="Cancelled")),"S2 PCB Layout",IF(NOT(OR(U142="Completed",U142="NA",U142="Cancelled")),"S3 SI &amp; PI",IF(NOT(OR(Y142="Completed",Y142="NA",Y142="Cancelled")),"S4 Bare-PCB Fab",IF(NOT(OR(AC142="Completed",AC142="NA",AC142="Cancelled")),"S5 Assembly",IF(NOT(OR(AG142="Completed",AG142="NA",AG142="Cancelled")),"S6 Bring-up",IF(NOT(OR(AK142="Completed",AK142="NA",AK142="Cancelled")),"S7 BOM Procurement","All Stages Closed"))))))))</f>
        <v/>
      </c>
      <c r="F142" s="32" t="str">
        <f aca="false">IF($C142="","",IF(COUNTIF(M142,"Cancelled")+COUNTIF(Q142,"Cancelled")+COUNTIF(U142,"Cancelled")+COUNTIF(Y142,"Cancelled")+COUNTIF(AC142,"Cancelled")+COUNTIF(AG142,"Cancelled")+COUNTIF(AK142,"Cancelled")&gt;0,"Cancelled",IF(E142="All Stages Closed","Completed",IF(E142="S1 Schematic",M142,IF(E142="S2 PCB Layout",Q142,IF(E142="S3 SI &amp; PI",U142,IF(E142="S4 Bare-PCB Fab",Y142,IF(E142="S5 Assembly",AC142,IF(E142="S6 Bring-up",AG142,AK142)))))))))</f>
        <v/>
      </c>
      <c r="G142" s="33" t="str">
        <f aca="false">IF($C142="","",IF(E142="All Stages Closed","",IF(E142="S1 Schematic",IF(N142="","Not added",N142),IF(E142="S2 PCB Layout",IF(R142="","Not added",R142),IF(E142="S3 SI &amp; PI",IF(V142="","Not added",V142),IF(E142="S4 Bare-PCB Fab",IF(Z142="","Not added",Z142),IF(E142="S5 Assembly",IF(AD142="","Not added",AD142),IF(E142="S6 Bring-up",IF(AH142="","Not added",AH142),IF(AL142="","Not added",AL142)))))))))</f>
        <v/>
      </c>
      <c r="H142" s="32" t="str">
        <f aca="true">IF($C142="","",IF(OR(F142="Completed",F142="Cancelled"),"",IF(NOT(ISNUMBER(G142)),"No date set",IF(TODAY()&gt;G142,TODAY()-G142&amp;" days late",G142-TODAY()&amp;" days left"))))</f>
        <v/>
      </c>
      <c r="I142" s="31" t="str">
        <f aca="false">IF($C142="","",COUNTIF(M142,"Completed")+COUNTIF(Q142,"Completed")+COUNTIF(U142,"Completed")+COUNTIF(Y142,"Completed")+COUNTIF(AC142,"Completed")+COUNTIF(AG142,"Completed")+COUNTIF(AK142,"Completed"))</f>
        <v/>
      </c>
      <c r="J142" s="31" t="str">
        <f aca="false">IF($C142="","",7-(COUNTIF(M142,"NA")+COUNTIF(Q142,"NA")+COUNTIF(U142,"NA")+COUNTIF(Y142,"NA")+COUNTIF(AC142,"NA")+COUNTIF(AG142,"NA")+COUNTIF(AK142,"NA")))</f>
        <v/>
      </c>
      <c r="K142" s="34" t="str">
        <f aca="false">IFERROR(I142/J142,"")</f>
        <v/>
      </c>
      <c r="L142" s="29"/>
      <c r="M142" s="35"/>
      <c r="N142" s="36"/>
      <c r="O142" s="36"/>
      <c r="P142" s="29"/>
      <c r="Q142" s="35"/>
      <c r="R142" s="36"/>
      <c r="S142" s="36"/>
      <c r="T142" s="29"/>
      <c r="U142" s="35"/>
      <c r="V142" s="36"/>
      <c r="W142" s="36"/>
      <c r="X142" s="29"/>
      <c r="Y142" s="35"/>
      <c r="Z142" s="36"/>
      <c r="AA142" s="36"/>
      <c r="AB142" s="29"/>
      <c r="AC142" s="35"/>
      <c r="AD142" s="36"/>
      <c r="AE142" s="36"/>
      <c r="AF142" s="29"/>
      <c r="AG142" s="35"/>
      <c r="AH142" s="36"/>
      <c r="AI142" s="36"/>
      <c r="AJ142" s="29"/>
      <c r="AK142" s="35"/>
      <c r="AL142" s="36"/>
      <c r="AM142" s="36"/>
      <c r="AN142" s="29"/>
      <c r="AO142" s="29"/>
      <c r="AP142" s="29"/>
      <c r="AQ142" s="37"/>
      <c r="AR142" s="29"/>
      <c r="AS142" s="38" t="str">
        <f aca="false">IF($C142="","",IF(OR(F142="Completed",F142="Cancelled"),"",IF(AND(OR(F142="On Hold",ISNUMBER(VALUE(LEFT(H142,2)))),AR142=""),"Reason not given","")))</f>
        <v/>
      </c>
      <c r="AT142" s="30"/>
      <c r="AU142" s="30"/>
    </row>
    <row r="143" customFormat="false" ht="19.5" hidden="false" customHeight="true" outlineLevel="0" collapsed="false">
      <c r="A143" s="28" t="str">
        <f aca="false">IF($C143="","",COUNTA($C$17:$C143))</f>
        <v/>
      </c>
      <c r="B143" s="29"/>
      <c r="C143" s="30"/>
      <c r="D143" s="29"/>
      <c r="E143" s="31" t="str">
        <f aca="false">IF($C143="","",IF(NOT(OR(M143="Completed",M143="NA",M143="Cancelled")),"S1 Schematic",IF(NOT(OR(Q143="Completed",Q143="NA",Q143="Cancelled")),"S2 PCB Layout",IF(NOT(OR(U143="Completed",U143="NA",U143="Cancelled")),"S3 SI &amp; PI",IF(NOT(OR(Y143="Completed",Y143="NA",Y143="Cancelled")),"S4 Bare-PCB Fab",IF(NOT(OR(AC143="Completed",AC143="NA",AC143="Cancelled")),"S5 Assembly",IF(NOT(OR(AG143="Completed",AG143="NA",AG143="Cancelled")),"S6 Bring-up",IF(NOT(OR(AK143="Completed",AK143="NA",AK143="Cancelled")),"S7 BOM Procurement","All Stages Closed"))))))))</f>
        <v/>
      </c>
      <c r="F143" s="32" t="str">
        <f aca="false">IF($C143="","",IF(COUNTIF(M143,"Cancelled")+COUNTIF(Q143,"Cancelled")+COUNTIF(U143,"Cancelled")+COUNTIF(Y143,"Cancelled")+COUNTIF(AC143,"Cancelled")+COUNTIF(AG143,"Cancelled")+COUNTIF(AK143,"Cancelled")&gt;0,"Cancelled",IF(E143="All Stages Closed","Completed",IF(E143="S1 Schematic",M143,IF(E143="S2 PCB Layout",Q143,IF(E143="S3 SI &amp; PI",U143,IF(E143="S4 Bare-PCB Fab",Y143,IF(E143="S5 Assembly",AC143,IF(E143="S6 Bring-up",AG143,AK143)))))))))</f>
        <v/>
      </c>
      <c r="G143" s="33" t="str">
        <f aca="false">IF($C143="","",IF(E143="All Stages Closed","",IF(E143="S1 Schematic",IF(N143="","Not added",N143),IF(E143="S2 PCB Layout",IF(R143="","Not added",R143),IF(E143="S3 SI &amp; PI",IF(V143="","Not added",V143),IF(E143="S4 Bare-PCB Fab",IF(Z143="","Not added",Z143),IF(E143="S5 Assembly",IF(AD143="","Not added",AD143),IF(E143="S6 Bring-up",IF(AH143="","Not added",AH143),IF(AL143="","Not added",AL143)))))))))</f>
        <v/>
      </c>
      <c r="H143" s="32" t="str">
        <f aca="true">IF($C143="","",IF(OR(F143="Completed",F143="Cancelled"),"",IF(NOT(ISNUMBER(G143)),"No date set",IF(TODAY()&gt;G143,TODAY()-G143&amp;" days late",G143-TODAY()&amp;" days left"))))</f>
        <v/>
      </c>
      <c r="I143" s="31" t="str">
        <f aca="false">IF($C143="","",COUNTIF(M143,"Completed")+COUNTIF(Q143,"Completed")+COUNTIF(U143,"Completed")+COUNTIF(Y143,"Completed")+COUNTIF(AC143,"Completed")+COUNTIF(AG143,"Completed")+COUNTIF(AK143,"Completed"))</f>
        <v/>
      </c>
      <c r="J143" s="31" t="str">
        <f aca="false">IF($C143="","",7-(COUNTIF(M143,"NA")+COUNTIF(Q143,"NA")+COUNTIF(U143,"NA")+COUNTIF(Y143,"NA")+COUNTIF(AC143,"NA")+COUNTIF(AG143,"NA")+COUNTIF(AK143,"NA")))</f>
        <v/>
      </c>
      <c r="K143" s="34" t="str">
        <f aca="false">IFERROR(I143/J143,"")</f>
        <v/>
      </c>
      <c r="L143" s="29"/>
      <c r="M143" s="35"/>
      <c r="N143" s="36"/>
      <c r="O143" s="36"/>
      <c r="P143" s="29"/>
      <c r="Q143" s="35"/>
      <c r="R143" s="36"/>
      <c r="S143" s="36"/>
      <c r="T143" s="29"/>
      <c r="U143" s="35"/>
      <c r="V143" s="36"/>
      <c r="W143" s="36"/>
      <c r="X143" s="29"/>
      <c r="Y143" s="35"/>
      <c r="Z143" s="36"/>
      <c r="AA143" s="36"/>
      <c r="AB143" s="29"/>
      <c r="AC143" s="35"/>
      <c r="AD143" s="36"/>
      <c r="AE143" s="36"/>
      <c r="AF143" s="29"/>
      <c r="AG143" s="35"/>
      <c r="AH143" s="36"/>
      <c r="AI143" s="36"/>
      <c r="AJ143" s="29"/>
      <c r="AK143" s="35"/>
      <c r="AL143" s="36"/>
      <c r="AM143" s="36"/>
      <c r="AN143" s="29"/>
      <c r="AO143" s="29"/>
      <c r="AP143" s="29"/>
      <c r="AQ143" s="37"/>
      <c r="AR143" s="29"/>
      <c r="AS143" s="38" t="str">
        <f aca="false">IF($C143="","",IF(OR(F143="Completed",F143="Cancelled"),"",IF(AND(OR(F143="On Hold",ISNUMBER(VALUE(LEFT(H143,2)))),AR143=""),"Reason not given","")))</f>
        <v/>
      </c>
      <c r="AT143" s="30"/>
      <c r="AU143" s="30"/>
    </row>
    <row r="144" customFormat="false" ht="19.5" hidden="false" customHeight="true" outlineLevel="0" collapsed="false">
      <c r="A144" s="28" t="str">
        <f aca="false">IF($C144="","",COUNTA($C$17:$C144))</f>
        <v/>
      </c>
      <c r="B144" s="29"/>
      <c r="C144" s="30"/>
      <c r="D144" s="29"/>
      <c r="E144" s="31" t="str">
        <f aca="false">IF($C144="","",IF(NOT(OR(M144="Completed",M144="NA",M144="Cancelled")),"S1 Schematic",IF(NOT(OR(Q144="Completed",Q144="NA",Q144="Cancelled")),"S2 PCB Layout",IF(NOT(OR(U144="Completed",U144="NA",U144="Cancelled")),"S3 SI &amp; PI",IF(NOT(OR(Y144="Completed",Y144="NA",Y144="Cancelled")),"S4 Bare-PCB Fab",IF(NOT(OR(AC144="Completed",AC144="NA",AC144="Cancelled")),"S5 Assembly",IF(NOT(OR(AG144="Completed",AG144="NA",AG144="Cancelled")),"S6 Bring-up",IF(NOT(OR(AK144="Completed",AK144="NA",AK144="Cancelled")),"S7 BOM Procurement","All Stages Closed"))))))))</f>
        <v/>
      </c>
      <c r="F144" s="32" t="str">
        <f aca="false">IF($C144="","",IF(COUNTIF(M144,"Cancelled")+COUNTIF(Q144,"Cancelled")+COUNTIF(U144,"Cancelled")+COUNTIF(Y144,"Cancelled")+COUNTIF(AC144,"Cancelled")+COUNTIF(AG144,"Cancelled")+COUNTIF(AK144,"Cancelled")&gt;0,"Cancelled",IF(E144="All Stages Closed","Completed",IF(E144="S1 Schematic",M144,IF(E144="S2 PCB Layout",Q144,IF(E144="S3 SI &amp; PI",U144,IF(E144="S4 Bare-PCB Fab",Y144,IF(E144="S5 Assembly",AC144,IF(E144="S6 Bring-up",AG144,AK144)))))))))</f>
        <v/>
      </c>
      <c r="G144" s="33" t="str">
        <f aca="false">IF($C144="","",IF(E144="All Stages Closed","",IF(E144="S1 Schematic",IF(N144="","Not added",N144),IF(E144="S2 PCB Layout",IF(R144="","Not added",R144),IF(E144="S3 SI &amp; PI",IF(V144="","Not added",V144),IF(E144="S4 Bare-PCB Fab",IF(Z144="","Not added",Z144),IF(E144="S5 Assembly",IF(AD144="","Not added",AD144),IF(E144="S6 Bring-up",IF(AH144="","Not added",AH144),IF(AL144="","Not added",AL144)))))))))</f>
        <v/>
      </c>
      <c r="H144" s="32" t="str">
        <f aca="true">IF($C144="","",IF(OR(F144="Completed",F144="Cancelled"),"",IF(NOT(ISNUMBER(G144)),"No date set",IF(TODAY()&gt;G144,TODAY()-G144&amp;" days late",G144-TODAY()&amp;" days left"))))</f>
        <v/>
      </c>
      <c r="I144" s="31" t="str">
        <f aca="false">IF($C144="","",COUNTIF(M144,"Completed")+COUNTIF(Q144,"Completed")+COUNTIF(U144,"Completed")+COUNTIF(Y144,"Completed")+COUNTIF(AC144,"Completed")+COUNTIF(AG144,"Completed")+COUNTIF(AK144,"Completed"))</f>
        <v/>
      </c>
      <c r="J144" s="31" t="str">
        <f aca="false">IF($C144="","",7-(COUNTIF(M144,"NA")+COUNTIF(Q144,"NA")+COUNTIF(U144,"NA")+COUNTIF(Y144,"NA")+COUNTIF(AC144,"NA")+COUNTIF(AG144,"NA")+COUNTIF(AK144,"NA")))</f>
        <v/>
      </c>
      <c r="K144" s="34" t="str">
        <f aca="false">IFERROR(I144/J144,"")</f>
        <v/>
      </c>
      <c r="L144" s="29"/>
      <c r="M144" s="35"/>
      <c r="N144" s="36"/>
      <c r="O144" s="36"/>
      <c r="P144" s="29"/>
      <c r="Q144" s="35"/>
      <c r="R144" s="36"/>
      <c r="S144" s="36"/>
      <c r="T144" s="29"/>
      <c r="U144" s="35"/>
      <c r="V144" s="36"/>
      <c r="W144" s="36"/>
      <c r="X144" s="29"/>
      <c r="Y144" s="35"/>
      <c r="Z144" s="36"/>
      <c r="AA144" s="36"/>
      <c r="AB144" s="29"/>
      <c r="AC144" s="35"/>
      <c r="AD144" s="36"/>
      <c r="AE144" s="36"/>
      <c r="AF144" s="29"/>
      <c r="AG144" s="35"/>
      <c r="AH144" s="36"/>
      <c r="AI144" s="36"/>
      <c r="AJ144" s="29"/>
      <c r="AK144" s="35"/>
      <c r="AL144" s="36"/>
      <c r="AM144" s="36"/>
      <c r="AN144" s="29"/>
      <c r="AO144" s="29"/>
      <c r="AP144" s="29"/>
      <c r="AQ144" s="37"/>
      <c r="AR144" s="29"/>
      <c r="AS144" s="38" t="str">
        <f aca="false">IF($C144="","",IF(OR(F144="Completed",F144="Cancelled"),"",IF(AND(OR(F144="On Hold",ISNUMBER(VALUE(LEFT(H144,2)))),AR144=""),"Reason not given","")))</f>
        <v/>
      </c>
      <c r="AT144" s="30"/>
      <c r="AU144" s="30"/>
    </row>
    <row r="145" customFormat="false" ht="19.5" hidden="false" customHeight="true" outlineLevel="0" collapsed="false">
      <c r="A145" s="28" t="str">
        <f aca="false">IF($C145="","",COUNTA($C$17:$C145))</f>
        <v/>
      </c>
      <c r="B145" s="29"/>
      <c r="C145" s="30"/>
      <c r="D145" s="29"/>
      <c r="E145" s="31" t="str">
        <f aca="false">IF($C145="","",IF(NOT(OR(M145="Completed",M145="NA",M145="Cancelled")),"S1 Schematic",IF(NOT(OR(Q145="Completed",Q145="NA",Q145="Cancelled")),"S2 PCB Layout",IF(NOT(OR(U145="Completed",U145="NA",U145="Cancelled")),"S3 SI &amp; PI",IF(NOT(OR(Y145="Completed",Y145="NA",Y145="Cancelled")),"S4 Bare-PCB Fab",IF(NOT(OR(AC145="Completed",AC145="NA",AC145="Cancelled")),"S5 Assembly",IF(NOT(OR(AG145="Completed",AG145="NA",AG145="Cancelled")),"S6 Bring-up",IF(NOT(OR(AK145="Completed",AK145="NA",AK145="Cancelled")),"S7 BOM Procurement","All Stages Closed"))))))))</f>
        <v/>
      </c>
      <c r="F145" s="32" t="str">
        <f aca="false">IF($C145="","",IF(COUNTIF(M145,"Cancelled")+COUNTIF(Q145,"Cancelled")+COUNTIF(U145,"Cancelled")+COUNTIF(Y145,"Cancelled")+COUNTIF(AC145,"Cancelled")+COUNTIF(AG145,"Cancelled")+COUNTIF(AK145,"Cancelled")&gt;0,"Cancelled",IF(E145="All Stages Closed","Completed",IF(E145="S1 Schematic",M145,IF(E145="S2 PCB Layout",Q145,IF(E145="S3 SI &amp; PI",U145,IF(E145="S4 Bare-PCB Fab",Y145,IF(E145="S5 Assembly",AC145,IF(E145="S6 Bring-up",AG145,AK145)))))))))</f>
        <v/>
      </c>
      <c r="G145" s="33" t="str">
        <f aca="false">IF($C145="","",IF(E145="All Stages Closed","",IF(E145="S1 Schematic",IF(N145="","Not added",N145),IF(E145="S2 PCB Layout",IF(R145="","Not added",R145),IF(E145="S3 SI &amp; PI",IF(V145="","Not added",V145),IF(E145="S4 Bare-PCB Fab",IF(Z145="","Not added",Z145),IF(E145="S5 Assembly",IF(AD145="","Not added",AD145),IF(E145="S6 Bring-up",IF(AH145="","Not added",AH145),IF(AL145="","Not added",AL145)))))))))</f>
        <v/>
      </c>
      <c r="H145" s="32" t="str">
        <f aca="true">IF($C145="","",IF(OR(F145="Completed",F145="Cancelled"),"",IF(NOT(ISNUMBER(G145)),"No date set",IF(TODAY()&gt;G145,TODAY()-G145&amp;" days late",G145-TODAY()&amp;" days left"))))</f>
        <v/>
      </c>
      <c r="I145" s="31" t="str">
        <f aca="false">IF($C145="","",COUNTIF(M145,"Completed")+COUNTIF(Q145,"Completed")+COUNTIF(U145,"Completed")+COUNTIF(Y145,"Completed")+COUNTIF(AC145,"Completed")+COUNTIF(AG145,"Completed")+COUNTIF(AK145,"Completed"))</f>
        <v/>
      </c>
      <c r="J145" s="31" t="str">
        <f aca="false">IF($C145="","",7-(COUNTIF(M145,"NA")+COUNTIF(Q145,"NA")+COUNTIF(U145,"NA")+COUNTIF(Y145,"NA")+COUNTIF(AC145,"NA")+COUNTIF(AG145,"NA")+COUNTIF(AK145,"NA")))</f>
        <v/>
      </c>
      <c r="K145" s="34" t="str">
        <f aca="false">IFERROR(I145/J145,"")</f>
        <v/>
      </c>
      <c r="L145" s="29"/>
      <c r="M145" s="35"/>
      <c r="N145" s="36"/>
      <c r="O145" s="36"/>
      <c r="P145" s="29"/>
      <c r="Q145" s="35"/>
      <c r="R145" s="36"/>
      <c r="S145" s="36"/>
      <c r="T145" s="29"/>
      <c r="U145" s="35"/>
      <c r="V145" s="36"/>
      <c r="W145" s="36"/>
      <c r="X145" s="29"/>
      <c r="Y145" s="35"/>
      <c r="Z145" s="36"/>
      <c r="AA145" s="36"/>
      <c r="AB145" s="29"/>
      <c r="AC145" s="35"/>
      <c r="AD145" s="36"/>
      <c r="AE145" s="36"/>
      <c r="AF145" s="29"/>
      <c r="AG145" s="35"/>
      <c r="AH145" s="36"/>
      <c r="AI145" s="36"/>
      <c r="AJ145" s="29"/>
      <c r="AK145" s="35"/>
      <c r="AL145" s="36"/>
      <c r="AM145" s="36"/>
      <c r="AN145" s="29"/>
      <c r="AO145" s="29"/>
      <c r="AP145" s="29"/>
      <c r="AQ145" s="37"/>
      <c r="AR145" s="29"/>
      <c r="AS145" s="38" t="str">
        <f aca="false">IF($C145="","",IF(OR(F145="Completed",F145="Cancelled"),"",IF(AND(OR(F145="On Hold",ISNUMBER(VALUE(LEFT(H145,2)))),AR145=""),"Reason not given","")))</f>
        <v/>
      </c>
      <c r="AT145" s="30"/>
      <c r="AU145" s="30"/>
    </row>
    <row r="146" customFormat="false" ht="19.5" hidden="false" customHeight="true" outlineLevel="0" collapsed="false">
      <c r="A146" s="28" t="str">
        <f aca="false">IF($C146="","",COUNTA($C$17:$C146))</f>
        <v/>
      </c>
      <c r="B146" s="29"/>
      <c r="C146" s="30"/>
      <c r="D146" s="29"/>
      <c r="E146" s="31" t="str">
        <f aca="false">IF($C146="","",IF(NOT(OR(M146="Completed",M146="NA",M146="Cancelled")),"S1 Schematic",IF(NOT(OR(Q146="Completed",Q146="NA",Q146="Cancelled")),"S2 PCB Layout",IF(NOT(OR(U146="Completed",U146="NA",U146="Cancelled")),"S3 SI &amp; PI",IF(NOT(OR(Y146="Completed",Y146="NA",Y146="Cancelled")),"S4 Bare-PCB Fab",IF(NOT(OR(AC146="Completed",AC146="NA",AC146="Cancelled")),"S5 Assembly",IF(NOT(OR(AG146="Completed",AG146="NA",AG146="Cancelled")),"S6 Bring-up",IF(NOT(OR(AK146="Completed",AK146="NA",AK146="Cancelled")),"S7 BOM Procurement","All Stages Closed"))))))))</f>
        <v/>
      </c>
      <c r="F146" s="32" t="str">
        <f aca="false">IF($C146="","",IF(COUNTIF(M146,"Cancelled")+COUNTIF(Q146,"Cancelled")+COUNTIF(U146,"Cancelled")+COUNTIF(Y146,"Cancelled")+COUNTIF(AC146,"Cancelled")+COUNTIF(AG146,"Cancelled")+COUNTIF(AK146,"Cancelled")&gt;0,"Cancelled",IF(E146="All Stages Closed","Completed",IF(E146="S1 Schematic",M146,IF(E146="S2 PCB Layout",Q146,IF(E146="S3 SI &amp; PI",U146,IF(E146="S4 Bare-PCB Fab",Y146,IF(E146="S5 Assembly",AC146,IF(E146="S6 Bring-up",AG146,AK146)))))))))</f>
        <v/>
      </c>
      <c r="G146" s="33" t="str">
        <f aca="false">IF($C146="","",IF(E146="All Stages Closed","",IF(E146="S1 Schematic",IF(N146="","Not added",N146),IF(E146="S2 PCB Layout",IF(R146="","Not added",R146),IF(E146="S3 SI &amp; PI",IF(V146="","Not added",V146),IF(E146="S4 Bare-PCB Fab",IF(Z146="","Not added",Z146),IF(E146="S5 Assembly",IF(AD146="","Not added",AD146),IF(E146="S6 Bring-up",IF(AH146="","Not added",AH146),IF(AL146="","Not added",AL146)))))))))</f>
        <v/>
      </c>
      <c r="H146" s="32" t="str">
        <f aca="true">IF($C146="","",IF(OR(F146="Completed",F146="Cancelled"),"",IF(NOT(ISNUMBER(G146)),"No date set",IF(TODAY()&gt;G146,TODAY()-G146&amp;" days late",G146-TODAY()&amp;" days left"))))</f>
        <v/>
      </c>
      <c r="I146" s="31" t="str">
        <f aca="false">IF($C146="","",COUNTIF(M146,"Completed")+COUNTIF(Q146,"Completed")+COUNTIF(U146,"Completed")+COUNTIF(Y146,"Completed")+COUNTIF(AC146,"Completed")+COUNTIF(AG146,"Completed")+COUNTIF(AK146,"Completed"))</f>
        <v/>
      </c>
      <c r="J146" s="31" t="str">
        <f aca="false">IF($C146="","",7-(COUNTIF(M146,"NA")+COUNTIF(Q146,"NA")+COUNTIF(U146,"NA")+COUNTIF(Y146,"NA")+COUNTIF(AC146,"NA")+COUNTIF(AG146,"NA")+COUNTIF(AK146,"NA")))</f>
        <v/>
      </c>
      <c r="K146" s="34" t="str">
        <f aca="false">IFERROR(I146/J146,"")</f>
        <v/>
      </c>
      <c r="L146" s="29"/>
      <c r="M146" s="35"/>
      <c r="N146" s="36"/>
      <c r="O146" s="36"/>
      <c r="P146" s="29"/>
      <c r="Q146" s="35"/>
      <c r="R146" s="36"/>
      <c r="S146" s="36"/>
      <c r="T146" s="29"/>
      <c r="U146" s="35"/>
      <c r="V146" s="36"/>
      <c r="W146" s="36"/>
      <c r="X146" s="29"/>
      <c r="Y146" s="35"/>
      <c r="Z146" s="36"/>
      <c r="AA146" s="36"/>
      <c r="AB146" s="29"/>
      <c r="AC146" s="35"/>
      <c r="AD146" s="36"/>
      <c r="AE146" s="36"/>
      <c r="AF146" s="29"/>
      <c r="AG146" s="35"/>
      <c r="AH146" s="36"/>
      <c r="AI146" s="36"/>
      <c r="AJ146" s="29"/>
      <c r="AK146" s="35"/>
      <c r="AL146" s="36"/>
      <c r="AM146" s="36"/>
      <c r="AN146" s="29"/>
      <c r="AO146" s="29"/>
      <c r="AP146" s="29"/>
      <c r="AQ146" s="37"/>
      <c r="AR146" s="29"/>
      <c r="AS146" s="38" t="str">
        <f aca="false">IF($C146="","",IF(OR(F146="Completed",F146="Cancelled"),"",IF(AND(OR(F146="On Hold",ISNUMBER(VALUE(LEFT(H146,2)))),AR146=""),"Reason not given","")))</f>
        <v/>
      </c>
      <c r="AT146" s="30"/>
      <c r="AU146" s="30"/>
    </row>
    <row r="147" customFormat="false" ht="19.5" hidden="false" customHeight="true" outlineLevel="0" collapsed="false">
      <c r="A147" s="28" t="str">
        <f aca="false">IF($C147="","",COUNTA($C$17:$C147))</f>
        <v/>
      </c>
      <c r="B147" s="29"/>
      <c r="C147" s="30"/>
      <c r="D147" s="29"/>
      <c r="E147" s="31" t="str">
        <f aca="false">IF($C147="","",IF(NOT(OR(M147="Completed",M147="NA",M147="Cancelled")),"S1 Schematic",IF(NOT(OR(Q147="Completed",Q147="NA",Q147="Cancelled")),"S2 PCB Layout",IF(NOT(OR(U147="Completed",U147="NA",U147="Cancelled")),"S3 SI &amp; PI",IF(NOT(OR(Y147="Completed",Y147="NA",Y147="Cancelled")),"S4 Bare-PCB Fab",IF(NOT(OR(AC147="Completed",AC147="NA",AC147="Cancelled")),"S5 Assembly",IF(NOT(OR(AG147="Completed",AG147="NA",AG147="Cancelled")),"S6 Bring-up",IF(NOT(OR(AK147="Completed",AK147="NA",AK147="Cancelled")),"S7 BOM Procurement","All Stages Closed"))))))))</f>
        <v/>
      </c>
      <c r="F147" s="32" t="str">
        <f aca="false">IF($C147="","",IF(COUNTIF(M147,"Cancelled")+COUNTIF(Q147,"Cancelled")+COUNTIF(U147,"Cancelled")+COUNTIF(Y147,"Cancelled")+COUNTIF(AC147,"Cancelled")+COUNTIF(AG147,"Cancelled")+COUNTIF(AK147,"Cancelled")&gt;0,"Cancelled",IF(E147="All Stages Closed","Completed",IF(E147="S1 Schematic",M147,IF(E147="S2 PCB Layout",Q147,IF(E147="S3 SI &amp; PI",U147,IF(E147="S4 Bare-PCB Fab",Y147,IF(E147="S5 Assembly",AC147,IF(E147="S6 Bring-up",AG147,AK147)))))))))</f>
        <v/>
      </c>
      <c r="G147" s="33" t="str">
        <f aca="false">IF($C147="","",IF(E147="All Stages Closed","",IF(E147="S1 Schematic",IF(N147="","Not added",N147),IF(E147="S2 PCB Layout",IF(R147="","Not added",R147),IF(E147="S3 SI &amp; PI",IF(V147="","Not added",V147),IF(E147="S4 Bare-PCB Fab",IF(Z147="","Not added",Z147),IF(E147="S5 Assembly",IF(AD147="","Not added",AD147),IF(E147="S6 Bring-up",IF(AH147="","Not added",AH147),IF(AL147="","Not added",AL147)))))))))</f>
        <v/>
      </c>
      <c r="H147" s="32" t="str">
        <f aca="true">IF($C147="","",IF(OR(F147="Completed",F147="Cancelled"),"",IF(NOT(ISNUMBER(G147)),"No date set",IF(TODAY()&gt;G147,TODAY()-G147&amp;" days late",G147-TODAY()&amp;" days left"))))</f>
        <v/>
      </c>
      <c r="I147" s="31" t="str">
        <f aca="false">IF($C147="","",COUNTIF(M147,"Completed")+COUNTIF(Q147,"Completed")+COUNTIF(U147,"Completed")+COUNTIF(Y147,"Completed")+COUNTIF(AC147,"Completed")+COUNTIF(AG147,"Completed")+COUNTIF(AK147,"Completed"))</f>
        <v/>
      </c>
      <c r="J147" s="31" t="str">
        <f aca="false">IF($C147="","",7-(COUNTIF(M147,"NA")+COUNTIF(Q147,"NA")+COUNTIF(U147,"NA")+COUNTIF(Y147,"NA")+COUNTIF(AC147,"NA")+COUNTIF(AG147,"NA")+COUNTIF(AK147,"NA")))</f>
        <v/>
      </c>
      <c r="K147" s="34" t="str">
        <f aca="false">IFERROR(I147/J147,"")</f>
        <v/>
      </c>
      <c r="L147" s="29"/>
      <c r="M147" s="35"/>
      <c r="N147" s="36"/>
      <c r="O147" s="36"/>
      <c r="P147" s="29"/>
      <c r="Q147" s="35"/>
      <c r="R147" s="36"/>
      <c r="S147" s="36"/>
      <c r="T147" s="29"/>
      <c r="U147" s="35"/>
      <c r="V147" s="36"/>
      <c r="W147" s="36"/>
      <c r="X147" s="29"/>
      <c r="Y147" s="35"/>
      <c r="Z147" s="36"/>
      <c r="AA147" s="36"/>
      <c r="AB147" s="29"/>
      <c r="AC147" s="35"/>
      <c r="AD147" s="36"/>
      <c r="AE147" s="36"/>
      <c r="AF147" s="29"/>
      <c r="AG147" s="35"/>
      <c r="AH147" s="36"/>
      <c r="AI147" s="36"/>
      <c r="AJ147" s="29"/>
      <c r="AK147" s="35"/>
      <c r="AL147" s="36"/>
      <c r="AM147" s="36"/>
      <c r="AN147" s="29"/>
      <c r="AO147" s="29"/>
      <c r="AP147" s="29"/>
      <c r="AQ147" s="37"/>
      <c r="AR147" s="29"/>
      <c r="AS147" s="38" t="str">
        <f aca="false">IF($C147="","",IF(OR(F147="Completed",F147="Cancelled"),"",IF(AND(OR(F147="On Hold",ISNUMBER(VALUE(LEFT(H147,2)))),AR147=""),"Reason not given","")))</f>
        <v/>
      </c>
      <c r="AT147" s="30"/>
      <c r="AU147" s="30"/>
    </row>
    <row r="148" customFormat="false" ht="19.5" hidden="false" customHeight="true" outlineLevel="0" collapsed="false">
      <c r="A148" s="28" t="str">
        <f aca="false">IF($C148="","",COUNTA($C$17:$C148))</f>
        <v/>
      </c>
      <c r="B148" s="29"/>
      <c r="C148" s="30"/>
      <c r="D148" s="29"/>
      <c r="E148" s="31" t="str">
        <f aca="false">IF($C148="","",IF(NOT(OR(M148="Completed",M148="NA",M148="Cancelled")),"S1 Schematic",IF(NOT(OR(Q148="Completed",Q148="NA",Q148="Cancelled")),"S2 PCB Layout",IF(NOT(OR(U148="Completed",U148="NA",U148="Cancelled")),"S3 SI &amp; PI",IF(NOT(OR(Y148="Completed",Y148="NA",Y148="Cancelled")),"S4 Bare-PCB Fab",IF(NOT(OR(AC148="Completed",AC148="NA",AC148="Cancelled")),"S5 Assembly",IF(NOT(OR(AG148="Completed",AG148="NA",AG148="Cancelled")),"S6 Bring-up",IF(NOT(OR(AK148="Completed",AK148="NA",AK148="Cancelled")),"S7 BOM Procurement","All Stages Closed"))))))))</f>
        <v/>
      </c>
      <c r="F148" s="32" t="str">
        <f aca="false">IF($C148="","",IF(COUNTIF(M148,"Cancelled")+COUNTIF(Q148,"Cancelled")+COUNTIF(U148,"Cancelled")+COUNTIF(Y148,"Cancelled")+COUNTIF(AC148,"Cancelled")+COUNTIF(AG148,"Cancelled")+COUNTIF(AK148,"Cancelled")&gt;0,"Cancelled",IF(E148="All Stages Closed","Completed",IF(E148="S1 Schematic",M148,IF(E148="S2 PCB Layout",Q148,IF(E148="S3 SI &amp; PI",U148,IF(E148="S4 Bare-PCB Fab",Y148,IF(E148="S5 Assembly",AC148,IF(E148="S6 Bring-up",AG148,AK148)))))))))</f>
        <v/>
      </c>
      <c r="G148" s="33" t="str">
        <f aca="false">IF($C148="","",IF(E148="All Stages Closed","",IF(E148="S1 Schematic",IF(N148="","Not added",N148),IF(E148="S2 PCB Layout",IF(R148="","Not added",R148),IF(E148="S3 SI &amp; PI",IF(V148="","Not added",V148),IF(E148="S4 Bare-PCB Fab",IF(Z148="","Not added",Z148),IF(E148="S5 Assembly",IF(AD148="","Not added",AD148),IF(E148="S6 Bring-up",IF(AH148="","Not added",AH148),IF(AL148="","Not added",AL148)))))))))</f>
        <v/>
      </c>
      <c r="H148" s="32" t="str">
        <f aca="true">IF($C148="","",IF(OR(F148="Completed",F148="Cancelled"),"",IF(NOT(ISNUMBER(G148)),"No date set",IF(TODAY()&gt;G148,TODAY()-G148&amp;" days late",G148-TODAY()&amp;" days left"))))</f>
        <v/>
      </c>
      <c r="I148" s="31" t="str">
        <f aca="false">IF($C148="","",COUNTIF(M148,"Completed")+COUNTIF(Q148,"Completed")+COUNTIF(U148,"Completed")+COUNTIF(Y148,"Completed")+COUNTIF(AC148,"Completed")+COUNTIF(AG148,"Completed")+COUNTIF(AK148,"Completed"))</f>
        <v/>
      </c>
      <c r="J148" s="31" t="str">
        <f aca="false">IF($C148="","",7-(COUNTIF(M148,"NA")+COUNTIF(Q148,"NA")+COUNTIF(U148,"NA")+COUNTIF(Y148,"NA")+COUNTIF(AC148,"NA")+COUNTIF(AG148,"NA")+COUNTIF(AK148,"NA")))</f>
        <v/>
      </c>
      <c r="K148" s="34" t="str">
        <f aca="false">IFERROR(I148/J148,"")</f>
        <v/>
      </c>
      <c r="L148" s="29"/>
      <c r="M148" s="35"/>
      <c r="N148" s="36"/>
      <c r="O148" s="36"/>
      <c r="P148" s="29"/>
      <c r="Q148" s="35"/>
      <c r="R148" s="36"/>
      <c r="S148" s="36"/>
      <c r="T148" s="29"/>
      <c r="U148" s="35"/>
      <c r="V148" s="36"/>
      <c r="W148" s="36"/>
      <c r="X148" s="29"/>
      <c r="Y148" s="35"/>
      <c r="Z148" s="36"/>
      <c r="AA148" s="36"/>
      <c r="AB148" s="29"/>
      <c r="AC148" s="35"/>
      <c r="AD148" s="36"/>
      <c r="AE148" s="36"/>
      <c r="AF148" s="29"/>
      <c r="AG148" s="35"/>
      <c r="AH148" s="36"/>
      <c r="AI148" s="36"/>
      <c r="AJ148" s="29"/>
      <c r="AK148" s="35"/>
      <c r="AL148" s="36"/>
      <c r="AM148" s="36"/>
      <c r="AN148" s="29"/>
      <c r="AO148" s="29"/>
      <c r="AP148" s="29"/>
      <c r="AQ148" s="37"/>
      <c r="AR148" s="29"/>
      <c r="AS148" s="38" t="str">
        <f aca="false">IF($C148="","",IF(OR(F148="Completed",F148="Cancelled"),"",IF(AND(OR(F148="On Hold",ISNUMBER(VALUE(LEFT(H148,2)))),AR148=""),"Reason not given","")))</f>
        <v/>
      </c>
      <c r="AT148" s="30"/>
      <c r="AU148" s="30"/>
    </row>
    <row r="149" customFormat="false" ht="19.5" hidden="false" customHeight="true" outlineLevel="0" collapsed="false">
      <c r="A149" s="28" t="str">
        <f aca="false">IF($C149="","",COUNTA($C$17:$C149))</f>
        <v/>
      </c>
      <c r="B149" s="29"/>
      <c r="C149" s="30"/>
      <c r="D149" s="29"/>
      <c r="E149" s="31" t="str">
        <f aca="false">IF($C149="","",IF(NOT(OR(M149="Completed",M149="NA",M149="Cancelled")),"S1 Schematic",IF(NOT(OR(Q149="Completed",Q149="NA",Q149="Cancelled")),"S2 PCB Layout",IF(NOT(OR(U149="Completed",U149="NA",U149="Cancelled")),"S3 SI &amp; PI",IF(NOT(OR(Y149="Completed",Y149="NA",Y149="Cancelled")),"S4 Bare-PCB Fab",IF(NOT(OR(AC149="Completed",AC149="NA",AC149="Cancelled")),"S5 Assembly",IF(NOT(OR(AG149="Completed",AG149="NA",AG149="Cancelled")),"S6 Bring-up",IF(NOT(OR(AK149="Completed",AK149="NA",AK149="Cancelled")),"S7 BOM Procurement","All Stages Closed"))))))))</f>
        <v/>
      </c>
      <c r="F149" s="32" t="str">
        <f aca="false">IF($C149="","",IF(COUNTIF(M149,"Cancelled")+COUNTIF(Q149,"Cancelled")+COUNTIF(U149,"Cancelled")+COUNTIF(Y149,"Cancelled")+COUNTIF(AC149,"Cancelled")+COUNTIF(AG149,"Cancelled")+COUNTIF(AK149,"Cancelled")&gt;0,"Cancelled",IF(E149="All Stages Closed","Completed",IF(E149="S1 Schematic",M149,IF(E149="S2 PCB Layout",Q149,IF(E149="S3 SI &amp; PI",U149,IF(E149="S4 Bare-PCB Fab",Y149,IF(E149="S5 Assembly",AC149,IF(E149="S6 Bring-up",AG149,AK149)))))))))</f>
        <v/>
      </c>
      <c r="G149" s="33" t="str">
        <f aca="false">IF($C149="","",IF(E149="All Stages Closed","",IF(E149="S1 Schematic",IF(N149="","Not added",N149),IF(E149="S2 PCB Layout",IF(R149="","Not added",R149),IF(E149="S3 SI &amp; PI",IF(V149="","Not added",V149),IF(E149="S4 Bare-PCB Fab",IF(Z149="","Not added",Z149),IF(E149="S5 Assembly",IF(AD149="","Not added",AD149),IF(E149="S6 Bring-up",IF(AH149="","Not added",AH149),IF(AL149="","Not added",AL149)))))))))</f>
        <v/>
      </c>
      <c r="H149" s="32" t="str">
        <f aca="true">IF($C149="","",IF(OR(F149="Completed",F149="Cancelled"),"",IF(NOT(ISNUMBER(G149)),"No date set",IF(TODAY()&gt;G149,TODAY()-G149&amp;" days late",G149-TODAY()&amp;" days left"))))</f>
        <v/>
      </c>
      <c r="I149" s="31" t="str">
        <f aca="false">IF($C149="","",COUNTIF(M149,"Completed")+COUNTIF(Q149,"Completed")+COUNTIF(U149,"Completed")+COUNTIF(Y149,"Completed")+COUNTIF(AC149,"Completed")+COUNTIF(AG149,"Completed")+COUNTIF(AK149,"Completed"))</f>
        <v/>
      </c>
      <c r="J149" s="31" t="str">
        <f aca="false">IF($C149="","",7-(COUNTIF(M149,"NA")+COUNTIF(Q149,"NA")+COUNTIF(U149,"NA")+COUNTIF(Y149,"NA")+COUNTIF(AC149,"NA")+COUNTIF(AG149,"NA")+COUNTIF(AK149,"NA")))</f>
        <v/>
      </c>
      <c r="K149" s="34" t="str">
        <f aca="false">IFERROR(I149/J149,"")</f>
        <v/>
      </c>
      <c r="L149" s="29"/>
      <c r="M149" s="35"/>
      <c r="N149" s="36"/>
      <c r="O149" s="36"/>
      <c r="P149" s="29"/>
      <c r="Q149" s="35"/>
      <c r="R149" s="36"/>
      <c r="S149" s="36"/>
      <c r="T149" s="29"/>
      <c r="U149" s="35"/>
      <c r="V149" s="36"/>
      <c r="W149" s="36"/>
      <c r="X149" s="29"/>
      <c r="Y149" s="35"/>
      <c r="Z149" s="36"/>
      <c r="AA149" s="36"/>
      <c r="AB149" s="29"/>
      <c r="AC149" s="35"/>
      <c r="AD149" s="36"/>
      <c r="AE149" s="36"/>
      <c r="AF149" s="29"/>
      <c r="AG149" s="35"/>
      <c r="AH149" s="36"/>
      <c r="AI149" s="36"/>
      <c r="AJ149" s="29"/>
      <c r="AK149" s="35"/>
      <c r="AL149" s="36"/>
      <c r="AM149" s="36"/>
      <c r="AN149" s="29"/>
      <c r="AO149" s="29"/>
      <c r="AP149" s="29"/>
      <c r="AQ149" s="37"/>
      <c r="AR149" s="29"/>
      <c r="AS149" s="38" t="str">
        <f aca="false">IF($C149="","",IF(OR(F149="Completed",F149="Cancelled"),"",IF(AND(OR(F149="On Hold",ISNUMBER(VALUE(LEFT(H149,2)))),AR149=""),"Reason not given","")))</f>
        <v/>
      </c>
      <c r="AT149" s="30"/>
      <c r="AU149" s="30"/>
    </row>
    <row r="150" customFormat="false" ht="19.5" hidden="false" customHeight="true" outlineLevel="0" collapsed="false">
      <c r="A150" s="28" t="str">
        <f aca="false">IF($C150="","",COUNTA($C$17:$C150))</f>
        <v/>
      </c>
      <c r="B150" s="29"/>
      <c r="C150" s="30"/>
      <c r="D150" s="29"/>
      <c r="E150" s="31" t="str">
        <f aca="false">IF($C150="","",IF(NOT(OR(M150="Completed",M150="NA",M150="Cancelled")),"S1 Schematic",IF(NOT(OR(Q150="Completed",Q150="NA",Q150="Cancelled")),"S2 PCB Layout",IF(NOT(OR(U150="Completed",U150="NA",U150="Cancelled")),"S3 SI &amp; PI",IF(NOT(OR(Y150="Completed",Y150="NA",Y150="Cancelled")),"S4 Bare-PCB Fab",IF(NOT(OR(AC150="Completed",AC150="NA",AC150="Cancelled")),"S5 Assembly",IF(NOT(OR(AG150="Completed",AG150="NA",AG150="Cancelled")),"S6 Bring-up",IF(NOT(OR(AK150="Completed",AK150="NA",AK150="Cancelled")),"S7 BOM Procurement","All Stages Closed"))))))))</f>
        <v/>
      </c>
      <c r="F150" s="32" t="str">
        <f aca="false">IF($C150="","",IF(COUNTIF(M150,"Cancelled")+COUNTIF(Q150,"Cancelled")+COUNTIF(U150,"Cancelled")+COUNTIF(Y150,"Cancelled")+COUNTIF(AC150,"Cancelled")+COUNTIF(AG150,"Cancelled")+COUNTIF(AK150,"Cancelled")&gt;0,"Cancelled",IF(E150="All Stages Closed","Completed",IF(E150="S1 Schematic",M150,IF(E150="S2 PCB Layout",Q150,IF(E150="S3 SI &amp; PI",U150,IF(E150="S4 Bare-PCB Fab",Y150,IF(E150="S5 Assembly",AC150,IF(E150="S6 Bring-up",AG150,AK150)))))))))</f>
        <v/>
      </c>
      <c r="G150" s="33" t="str">
        <f aca="false">IF($C150="","",IF(E150="All Stages Closed","",IF(E150="S1 Schematic",IF(N150="","Not added",N150),IF(E150="S2 PCB Layout",IF(R150="","Not added",R150),IF(E150="S3 SI &amp; PI",IF(V150="","Not added",V150),IF(E150="S4 Bare-PCB Fab",IF(Z150="","Not added",Z150),IF(E150="S5 Assembly",IF(AD150="","Not added",AD150),IF(E150="S6 Bring-up",IF(AH150="","Not added",AH150),IF(AL150="","Not added",AL150)))))))))</f>
        <v/>
      </c>
      <c r="H150" s="32" t="str">
        <f aca="true">IF($C150="","",IF(OR(F150="Completed",F150="Cancelled"),"",IF(NOT(ISNUMBER(G150)),"No date set",IF(TODAY()&gt;G150,TODAY()-G150&amp;" days late",G150-TODAY()&amp;" days left"))))</f>
        <v/>
      </c>
      <c r="I150" s="31" t="str">
        <f aca="false">IF($C150="","",COUNTIF(M150,"Completed")+COUNTIF(Q150,"Completed")+COUNTIF(U150,"Completed")+COUNTIF(Y150,"Completed")+COUNTIF(AC150,"Completed")+COUNTIF(AG150,"Completed")+COUNTIF(AK150,"Completed"))</f>
        <v/>
      </c>
      <c r="J150" s="31" t="str">
        <f aca="false">IF($C150="","",7-(COUNTIF(M150,"NA")+COUNTIF(Q150,"NA")+COUNTIF(U150,"NA")+COUNTIF(Y150,"NA")+COUNTIF(AC150,"NA")+COUNTIF(AG150,"NA")+COUNTIF(AK150,"NA")))</f>
        <v/>
      </c>
      <c r="K150" s="34" t="str">
        <f aca="false">IFERROR(I150/J150,"")</f>
        <v/>
      </c>
      <c r="L150" s="29"/>
      <c r="M150" s="35"/>
      <c r="N150" s="36"/>
      <c r="O150" s="36"/>
      <c r="P150" s="29"/>
      <c r="Q150" s="35"/>
      <c r="R150" s="36"/>
      <c r="S150" s="36"/>
      <c r="T150" s="29"/>
      <c r="U150" s="35"/>
      <c r="V150" s="36"/>
      <c r="W150" s="36"/>
      <c r="X150" s="29"/>
      <c r="Y150" s="35"/>
      <c r="Z150" s="36"/>
      <c r="AA150" s="36"/>
      <c r="AB150" s="29"/>
      <c r="AC150" s="35"/>
      <c r="AD150" s="36"/>
      <c r="AE150" s="36"/>
      <c r="AF150" s="29"/>
      <c r="AG150" s="35"/>
      <c r="AH150" s="36"/>
      <c r="AI150" s="36"/>
      <c r="AJ150" s="29"/>
      <c r="AK150" s="35"/>
      <c r="AL150" s="36"/>
      <c r="AM150" s="36"/>
      <c r="AN150" s="29"/>
      <c r="AO150" s="29"/>
      <c r="AP150" s="29"/>
      <c r="AQ150" s="37"/>
      <c r="AR150" s="29"/>
      <c r="AS150" s="38" t="str">
        <f aca="false">IF($C150="","",IF(OR(F150="Completed",F150="Cancelled"),"",IF(AND(OR(F150="On Hold",ISNUMBER(VALUE(LEFT(H150,2)))),AR150=""),"Reason not given","")))</f>
        <v/>
      </c>
      <c r="AT150" s="30"/>
      <c r="AU150" s="30"/>
    </row>
    <row r="151" customFormat="false" ht="19.5" hidden="false" customHeight="true" outlineLevel="0" collapsed="false">
      <c r="A151" s="28" t="str">
        <f aca="false">IF($C151="","",COUNTA($C$17:$C151))</f>
        <v/>
      </c>
      <c r="B151" s="29"/>
      <c r="C151" s="30"/>
      <c r="D151" s="29"/>
      <c r="E151" s="31" t="str">
        <f aca="false">IF($C151="","",IF(NOT(OR(M151="Completed",M151="NA",M151="Cancelled")),"S1 Schematic",IF(NOT(OR(Q151="Completed",Q151="NA",Q151="Cancelled")),"S2 PCB Layout",IF(NOT(OR(U151="Completed",U151="NA",U151="Cancelled")),"S3 SI &amp; PI",IF(NOT(OR(Y151="Completed",Y151="NA",Y151="Cancelled")),"S4 Bare-PCB Fab",IF(NOT(OR(AC151="Completed",AC151="NA",AC151="Cancelled")),"S5 Assembly",IF(NOT(OR(AG151="Completed",AG151="NA",AG151="Cancelled")),"S6 Bring-up",IF(NOT(OR(AK151="Completed",AK151="NA",AK151="Cancelled")),"S7 BOM Procurement","All Stages Closed"))))))))</f>
        <v/>
      </c>
      <c r="F151" s="32" t="str">
        <f aca="false">IF($C151="","",IF(COUNTIF(M151,"Cancelled")+COUNTIF(Q151,"Cancelled")+COUNTIF(U151,"Cancelled")+COUNTIF(Y151,"Cancelled")+COUNTIF(AC151,"Cancelled")+COUNTIF(AG151,"Cancelled")+COUNTIF(AK151,"Cancelled")&gt;0,"Cancelled",IF(E151="All Stages Closed","Completed",IF(E151="S1 Schematic",M151,IF(E151="S2 PCB Layout",Q151,IF(E151="S3 SI &amp; PI",U151,IF(E151="S4 Bare-PCB Fab",Y151,IF(E151="S5 Assembly",AC151,IF(E151="S6 Bring-up",AG151,AK151)))))))))</f>
        <v/>
      </c>
      <c r="G151" s="33" t="str">
        <f aca="false">IF($C151="","",IF(E151="All Stages Closed","",IF(E151="S1 Schematic",IF(N151="","Not added",N151),IF(E151="S2 PCB Layout",IF(R151="","Not added",R151),IF(E151="S3 SI &amp; PI",IF(V151="","Not added",V151),IF(E151="S4 Bare-PCB Fab",IF(Z151="","Not added",Z151),IF(E151="S5 Assembly",IF(AD151="","Not added",AD151),IF(E151="S6 Bring-up",IF(AH151="","Not added",AH151),IF(AL151="","Not added",AL151)))))))))</f>
        <v/>
      </c>
      <c r="H151" s="32" t="str">
        <f aca="true">IF($C151="","",IF(OR(F151="Completed",F151="Cancelled"),"",IF(NOT(ISNUMBER(G151)),"No date set",IF(TODAY()&gt;G151,TODAY()-G151&amp;" days late",G151-TODAY()&amp;" days left"))))</f>
        <v/>
      </c>
      <c r="I151" s="31" t="str">
        <f aca="false">IF($C151="","",COUNTIF(M151,"Completed")+COUNTIF(Q151,"Completed")+COUNTIF(U151,"Completed")+COUNTIF(Y151,"Completed")+COUNTIF(AC151,"Completed")+COUNTIF(AG151,"Completed")+COUNTIF(AK151,"Completed"))</f>
        <v/>
      </c>
      <c r="J151" s="31" t="str">
        <f aca="false">IF($C151="","",7-(COUNTIF(M151,"NA")+COUNTIF(Q151,"NA")+COUNTIF(U151,"NA")+COUNTIF(Y151,"NA")+COUNTIF(AC151,"NA")+COUNTIF(AG151,"NA")+COUNTIF(AK151,"NA")))</f>
        <v/>
      </c>
      <c r="K151" s="34" t="str">
        <f aca="false">IFERROR(I151/J151,"")</f>
        <v/>
      </c>
      <c r="L151" s="29"/>
      <c r="M151" s="35"/>
      <c r="N151" s="36"/>
      <c r="O151" s="36"/>
      <c r="P151" s="29"/>
      <c r="Q151" s="35"/>
      <c r="R151" s="36"/>
      <c r="S151" s="36"/>
      <c r="T151" s="29"/>
      <c r="U151" s="35"/>
      <c r="V151" s="36"/>
      <c r="W151" s="36"/>
      <c r="X151" s="29"/>
      <c r="Y151" s="35"/>
      <c r="Z151" s="36"/>
      <c r="AA151" s="36"/>
      <c r="AB151" s="29"/>
      <c r="AC151" s="35"/>
      <c r="AD151" s="36"/>
      <c r="AE151" s="36"/>
      <c r="AF151" s="29"/>
      <c r="AG151" s="35"/>
      <c r="AH151" s="36"/>
      <c r="AI151" s="36"/>
      <c r="AJ151" s="29"/>
      <c r="AK151" s="35"/>
      <c r="AL151" s="36"/>
      <c r="AM151" s="36"/>
      <c r="AN151" s="29"/>
      <c r="AO151" s="29"/>
      <c r="AP151" s="29"/>
      <c r="AQ151" s="37"/>
      <c r="AR151" s="29"/>
      <c r="AS151" s="38" t="str">
        <f aca="false">IF($C151="","",IF(OR(F151="Completed",F151="Cancelled"),"",IF(AND(OR(F151="On Hold",ISNUMBER(VALUE(LEFT(H151,2)))),AR151=""),"Reason not given","")))</f>
        <v/>
      </c>
      <c r="AT151" s="30"/>
      <c r="AU151" s="30"/>
    </row>
    <row r="152" customFormat="false" ht="19.5" hidden="false" customHeight="true" outlineLevel="0" collapsed="false">
      <c r="A152" s="28" t="str">
        <f aca="false">IF($C152="","",COUNTA($C$17:$C152))</f>
        <v/>
      </c>
      <c r="B152" s="29"/>
      <c r="C152" s="30"/>
      <c r="D152" s="29"/>
      <c r="E152" s="31" t="str">
        <f aca="false">IF($C152="","",IF(NOT(OR(M152="Completed",M152="NA",M152="Cancelled")),"S1 Schematic",IF(NOT(OR(Q152="Completed",Q152="NA",Q152="Cancelled")),"S2 PCB Layout",IF(NOT(OR(U152="Completed",U152="NA",U152="Cancelled")),"S3 SI &amp; PI",IF(NOT(OR(Y152="Completed",Y152="NA",Y152="Cancelled")),"S4 Bare-PCB Fab",IF(NOT(OR(AC152="Completed",AC152="NA",AC152="Cancelled")),"S5 Assembly",IF(NOT(OR(AG152="Completed",AG152="NA",AG152="Cancelled")),"S6 Bring-up",IF(NOT(OR(AK152="Completed",AK152="NA",AK152="Cancelled")),"S7 BOM Procurement","All Stages Closed"))))))))</f>
        <v/>
      </c>
      <c r="F152" s="32" t="str">
        <f aca="false">IF($C152="","",IF(COUNTIF(M152,"Cancelled")+COUNTIF(Q152,"Cancelled")+COUNTIF(U152,"Cancelled")+COUNTIF(Y152,"Cancelled")+COUNTIF(AC152,"Cancelled")+COUNTIF(AG152,"Cancelled")+COUNTIF(AK152,"Cancelled")&gt;0,"Cancelled",IF(E152="All Stages Closed","Completed",IF(E152="S1 Schematic",M152,IF(E152="S2 PCB Layout",Q152,IF(E152="S3 SI &amp; PI",U152,IF(E152="S4 Bare-PCB Fab",Y152,IF(E152="S5 Assembly",AC152,IF(E152="S6 Bring-up",AG152,AK152)))))))))</f>
        <v/>
      </c>
      <c r="G152" s="33" t="str">
        <f aca="false">IF($C152="","",IF(E152="All Stages Closed","",IF(E152="S1 Schematic",IF(N152="","Not added",N152),IF(E152="S2 PCB Layout",IF(R152="","Not added",R152),IF(E152="S3 SI &amp; PI",IF(V152="","Not added",V152),IF(E152="S4 Bare-PCB Fab",IF(Z152="","Not added",Z152),IF(E152="S5 Assembly",IF(AD152="","Not added",AD152),IF(E152="S6 Bring-up",IF(AH152="","Not added",AH152),IF(AL152="","Not added",AL152)))))))))</f>
        <v/>
      </c>
      <c r="H152" s="32" t="str">
        <f aca="true">IF($C152="","",IF(OR(F152="Completed",F152="Cancelled"),"",IF(NOT(ISNUMBER(G152)),"No date set",IF(TODAY()&gt;G152,TODAY()-G152&amp;" days late",G152-TODAY()&amp;" days left"))))</f>
        <v/>
      </c>
      <c r="I152" s="31" t="str">
        <f aca="false">IF($C152="","",COUNTIF(M152,"Completed")+COUNTIF(Q152,"Completed")+COUNTIF(U152,"Completed")+COUNTIF(Y152,"Completed")+COUNTIF(AC152,"Completed")+COUNTIF(AG152,"Completed")+COUNTIF(AK152,"Completed"))</f>
        <v/>
      </c>
      <c r="J152" s="31" t="str">
        <f aca="false">IF($C152="","",7-(COUNTIF(M152,"NA")+COUNTIF(Q152,"NA")+COUNTIF(U152,"NA")+COUNTIF(Y152,"NA")+COUNTIF(AC152,"NA")+COUNTIF(AG152,"NA")+COUNTIF(AK152,"NA")))</f>
        <v/>
      </c>
      <c r="K152" s="34" t="str">
        <f aca="false">IFERROR(I152/J152,"")</f>
        <v/>
      </c>
      <c r="L152" s="29"/>
      <c r="M152" s="35"/>
      <c r="N152" s="36"/>
      <c r="O152" s="36"/>
      <c r="P152" s="29"/>
      <c r="Q152" s="35"/>
      <c r="R152" s="36"/>
      <c r="S152" s="36"/>
      <c r="T152" s="29"/>
      <c r="U152" s="35"/>
      <c r="V152" s="36"/>
      <c r="W152" s="36"/>
      <c r="X152" s="29"/>
      <c r="Y152" s="35"/>
      <c r="Z152" s="36"/>
      <c r="AA152" s="36"/>
      <c r="AB152" s="29"/>
      <c r="AC152" s="35"/>
      <c r="AD152" s="36"/>
      <c r="AE152" s="36"/>
      <c r="AF152" s="29"/>
      <c r="AG152" s="35"/>
      <c r="AH152" s="36"/>
      <c r="AI152" s="36"/>
      <c r="AJ152" s="29"/>
      <c r="AK152" s="35"/>
      <c r="AL152" s="36"/>
      <c r="AM152" s="36"/>
      <c r="AN152" s="29"/>
      <c r="AO152" s="29"/>
      <c r="AP152" s="29"/>
      <c r="AQ152" s="37"/>
      <c r="AR152" s="29"/>
      <c r="AS152" s="38" t="str">
        <f aca="false">IF($C152="","",IF(OR(F152="Completed",F152="Cancelled"),"",IF(AND(OR(F152="On Hold",ISNUMBER(VALUE(LEFT(H152,2)))),AR152=""),"Reason not given","")))</f>
        <v/>
      </c>
      <c r="AT152" s="30"/>
      <c r="AU152" s="30"/>
    </row>
    <row r="153" customFormat="false" ht="19.5" hidden="false" customHeight="true" outlineLevel="0" collapsed="false">
      <c r="A153" s="28" t="str">
        <f aca="false">IF($C153="","",COUNTA($C$17:$C153))</f>
        <v/>
      </c>
      <c r="B153" s="29"/>
      <c r="C153" s="30"/>
      <c r="D153" s="29"/>
      <c r="E153" s="31" t="str">
        <f aca="false">IF($C153="","",IF(NOT(OR(M153="Completed",M153="NA",M153="Cancelled")),"S1 Schematic",IF(NOT(OR(Q153="Completed",Q153="NA",Q153="Cancelled")),"S2 PCB Layout",IF(NOT(OR(U153="Completed",U153="NA",U153="Cancelled")),"S3 SI &amp; PI",IF(NOT(OR(Y153="Completed",Y153="NA",Y153="Cancelled")),"S4 Bare-PCB Fab",IF(NOT(OR(AC153="Completed",AC153="NA",AC153="Cancelled")),"S5 Assembly",IF(NOT(OR(AG153="Completed",AG153="NA",AG153="Cancelled")),"S6 Bring-up",IF(NOT(OR(AK153="Completed",AK153="NA",AK153="Cancelled")),"S7 BOM Procurement","All Stages Closed"))))))))</f>
        <v/>
      </c>
      <c r="F153" s="32" t="str">
        <f aca="false">IF($C153="","",IF(COUNTIF(M153,"Cancelled")+COUNTIF(Q153,"Cancelled")+COUNTIF(U153,"Cancelled")+COUNTIF(Y153,"Cancelled")+COUNTIF(AC153,"Cancelled")+COUNTIF(AG153,"Cancelled")+COUNTIF(AK153,"Cancelled")&gt;0,"Cancelled",IF(E153="All Stages Closed","Completed",IF(E153="S1 Schematic",M153,IF(E153="S2 PCB Layout",Q153,IF(E153="S3 SI &amp; PI",U153,IF(E153="S4 Bare-PCB Fab",Y153,IF(E153="S5 Assembly",AC153,IF(E153="S6 Bring-up",AG153,AK153)))))))))</f>
        <v/>
      </c>
      <c r="G153" s="33" t="str">
        <f aca="false">IF($C153="","",IF(E153="All Stages Closed","",IF(E153="S1 Schematic",IF(N153="","Not added",N153),IF(E153="S2 PCB Layout",IF(R153="","Not added",R153),IF(E153="S3 SI &amp; PI",IF(V153="","Not added",V153),IF(E153="S4 Bare-PCB Fab",IF(Z153="","Not added",Z153),IF(E153="S5 Assembly",IF(AD153="","Not added",AD153),IF(E153="S6 Bring-up",IF(AH153="","Not added",AH153),IF(AL153="","Not added",AL153)))))))))</f>
        <v/>
      </c>
      <c r="H153" s="32" t="str">
        <f aca="true">IF($C153="","",IF(OR(F153="Completed",F153="Cancelled"),"",IF(NOT(ISNUMBER(G153)),"No date set",IF(TODAY()&gt;G153,TODAY()-G153&amp;" days late",G153-TODAY()&amp;" days left"))))</f>
        <v/>
      </c>
      <c r="I153" s="31" t="str">
        <f aca="false">IF($C153="","",COUNTIF(M153,"Completed")+COUNTIF(Q153,"Completed")+COUNTIF(U153,"Completed")+COUNTIF(Y153,"Completed")+COUNTIF(AC153,"Completed")+COUNTIF(AG153,"Completed")+COUNTIF(AK153,"Completed"))</f>
        <v/>
      </c>
      <c r="J153" s="31" t="str">
        <f aca="false">IF($C153="","",7-(COUNTIF(M153,"NA")+COUNTIF(Q153,"NA")+COUNTIF(U153,"NA")+COUNTIF(Y153,"NA")+COUNTIF(AC153,"NA")+COUNTIF(AG153,"NA")+COUNTIF(AK153,"NA")))</f>
        <v/>
      </c>
      <c r="K153" s="34" t="str">
        <f aca="false">IFERROR(I153/J153,"")</f>
        <v/>
      </c>
      <c r="L153" s="29"/>
      <c r="M153" s="35"/>
      <c r="N153" s="36"/>
      <c r="O153" s="36"/>
      <c r="P153" s="29"/>
      <c r="Q153" s="35"/>
      <c r="R153" s="36"/>
      <c r="S153" s="36"/>
      <c r="T153" s="29"/>
      <c r="U153" s="35"/>
      <c r="V153" s="36"/>
      <c r="W153" s="36"/>
      <c r="X153" s="29"/>
      <c r="Y153" s="35"/>
      <c r="Z153" s="36"/>
      <c r="AA153" s="36"/>
      <c r="AB153" s="29"/>
      <c r="AC153" s="35"/>
      <c r="AD153" s="36"/>
      <c r="AE153" s="36"/>
      <c r="AF153" s="29"/>
      <c r="AG153" s="35"/>
      <c r="AH153" s="36"/>
      <c r="AI153" s="36"/>
      <c r="AJ153" s="29"/>
      <c r="AK153" s="35"/>
      <c r="AL153" s="36"/>
      <c r="AM153" s="36"/>
      <c r="AN153" s="29"/>
      <c r="AO153" s="29"/>
      <c r="AP153" s="29"/>
      <c r="AQ153" s="37"/>
      <c r="AR153" s="29"/>
      <c r="AS153" s="38" t="str">
        <f aca="false">IF($C153="","",IF(OR(F153="Completed",F153="Cancelled"),"",IF(AND(OR(F153="On Hold",ISNUMBER(VALUE(LEFT(H153,2)))),AR153=""),"Reason not given","")))</f>
        <v/>
      </c>
      <c r="AT153" s="30"/>
      <c r="AU153" s="30"/>
    </row>
    <row r="154" customFormat="false" ht="19.5" hidden="false" customHeight="true" outlineLevel="0" collapsed="false">
      <c r="A154" s="28" t="str">
        <f aca="false">IF($C154="","",COUNTA($C$17:$C154))</f>
        <v/>
      </c>
      <c r="B154" s="29"/>
      <c r="C154" s="30"/>
      <c r="D154" s="29"/>
      <c r="E154" s="31" t="str">
        <f aca="false">IF($C154="","",IF(NOT(OR(M154="Completed",M154="NA",M154="Cancelled")),"S1 Schematic",IF(NOT(OR(Q154="Completed",Q154="NA",Q154="Cancelled")),"S2 PCB Layout",IF(NOT(OR(U154="Completed",U154="NA",U154="Cancelled")),"S3 SI &amp; PI",IF(NOT(OR(Y154="Completed",Y154="NA",Y154="Cancelled")),"S4 Bare-PCB Fab",IF(NOT(OR(AC154="Completed",AC154="NA",AC154="Cancelled")),"S5 Assembly",IF(NOT(OR(AG154="Completed",AG154="NA",AG154="Cancelled")),"S6 Bring-up",IF(NOT(OR(AK154="Completed",AK154="NA",AK154="Cancelled")),"S7 BOM Procurement","All Stages Closed"))))))))</f>
        <v/>
      </c>
      <c r="F154" s="32" t="str">
        <f aca="false">IF($C154="","",IF(COUNTIF(M154,"Cancelled")+COUNTIF(Q154,"Cancelled")+COUNTIF(U154,"Cancelled")+COUNTIF(Y154,"Cancelled")+COUNTIF(AC154,"Cancelled")+COUNTIF(AG154,"Cancelled")+COUNTIF(AK154,"Cancelled")&gt;0,"Cancelled",IF(E154="All Stages Closed","Completed",IF(E154="S1 Schematic",M154,IF(E154="S2 PCB Layout",Q154,IF(E154="S3 SI &amp; PI",U154,IF(E154="S4 Bare-PCB Fab",Y154,IF(E154="S5 Assembly",AC154,IF(E154="S6 Bring-up",AG154,AK154)))))))))</f>
        <v/>
      </c>
      <c r="G154" s="33" t="str">
        <f aca="false">IF($C154="","",IF(E154="All Stages Closed","",IF(E154="S1 Schematic",IF(N154="","Not added",N154),IF(E154="S2 PCB Layout",IF(R154="","Not added",R154),IF(E154="S3 SI &amp; PI",IF(V154="","Not added",V154),IF(E154="S4 Bare-PCB Fab",IF(Z154="","Not added",Z154),IF(E154="S5 Assembly",IF(AD154="","Not added",AD154),IF(E154="S6 Bring-up",IF(AH154="","Not added",AH154),IF(AL154="","Not added",AL154)))))))))</f>
        <v/>
      </c>
      <c r="H154" s="32" t="str">
        <f aca="true">IF($C154="","",IF(OR(F154="Completed",F154="Cancelled"),"",IF(NOT(ISNUMBER(G154)),"No date set",IF(TODAY()&gt;G154,TODAY()-G154&amp;" days late",G154-TODAY()&amp;" days left"))))</f>
        <v/>
      </c>
      <c r="I154" s="31" t="str">
        <f aca="false">IF($C154="","",COUNTIF(M154,"Completed")+COUNTIF(Q154,"Completed")+COUNTIF(U154,"Completed")+COUNTIF(Y154,"Completed")+COUNTIF(AC154,"Completed")+COUNTIF(AG154,"Completed")+COUNTIF(AK154,"Completed"))</f>
        <v/>
      </c>
      <c r="J154" s="31" t="str">
        <f aca="false">IF($C154="","",7-(COUNTIF(M154,"NA")+COUNTIF(Q154,"NA")+COUNTIF(U154,"NA")+COUNTIF(Y154,"NA")+COUNTIF(AC154,"NA")+COUNTIF(AG154,"NA")+COUNTIF(AK154,"NA")))</f>
        <v/>
      </c>
      <c r="K154" s="34" t="str">
        <f aca="false">IFERROR(I154/J154,"")</f>
        <v/>
      </c>
      <c r="L154" s="29"/>
      <c r="M154" s="35"/>
      <c r="N154" s="36"/>
      <c r="O154" s="36"/>
      <c r="P154" s="29"/>
      <c r="Q154" s="35"/>
      <c r="R154" s="36"/>
      <c r="S154" s="36"/>
      <c r="T154" s="29"/>
      <c r="U154" s="35"/>
      <c r="V154" s="36"/>
      <c r="W154" s="36"/>
      <c r="X154" s="29"/>
      <c r="Y154" s="35"/>
      <c r="Z154" s="36"/>
      <c r="AA154" s="36"/>
      <c r="AB154" s="29"/>
      <c r="AC154" s="35"/>
      <c r="AD154" s="36"/>
      <c r="AE154" s="36"/>
      <c r="AF154" s="29"/>
      <c r="AG154" s="35"/>
      <c r="AH154" s="36"/>
      <c r="AI154" s="36"/>
      <c r="AJ154" s="29"/>
      <c r="AK154" s="35"/>
      <c r="AL154" s="36"/>
      <c r="AM154" s="36"/>
      <c r="AN154" s="29"/>
      <c r="AO154" s="29"/>
      <c r="AP154" s="29"/>
      <c r="AQ154" s="37"/>
      <c r="AR154" s="29"/>
      <c r="AS154" s="38" t="str">
        <f aca="false">IF($C154="","",IF(OR(F154="Completed",F154="Cancelled"),"",IF(AND(OR(F154="On Hold",ISNUMBER(VALUE(LEFT(H154,2)))),AR154=""),"Reason not given","")))</f>
        <v/>
      </c>
      <c r="AT154" s="30"/>
      <c r="AU154" s="30"/>
    </row>
    <row r="155" customFormat="false" ht="19.5" hidden="false" customHeight="true" outlineLevel="0" collapsed="false">
      <c r="A155" s="28" t="str">
        <f aca="false">IF($C155="","",COUNTA($C$17:$C155))</f>
        <v/>
      </c>
      <c r="B155" s="29"/>
      <c r="C155" s="30"/>
      <c r="D155" s="29"/>
      <c r="E155" s="31" t="str">
        <f aca="false">IF($C155="","",IF(NOT(OR(M155="Completed",M155="NA",M155="Cancelled")),"S1 Schematic",IF(NOT(OR(Q155="Completed",Q155="NA",Q155="Cancelled")),"S2 PCB Layout",IF(NOT(OR(U155="Completed",U155="NA",U155="Cancelled")),"S3 SI &amp; PI",IF(NOT(OR(Y155="Completed",Y155="NA",Y155="Cancelled")),"S4 Bare-PCB Fab",IF(NOT(OR(AC155="Completed",AC155="NA",AC155="Cancelled")),"S5 Assembly",IF(NOT(OR(AG155="Completed",AG155="NA",AG155="Cancelled")),"S6 Bring-up",IF(NOT(OR(AK155="Completed",AK155="NA",AK155="Cancelled")),"S7 BOM Procurement","All Stages Closed"))))))))</f>
        <v/>
      </c>
      <c r="F155" s="32" t="str">
        <f aca="false">IF($C155="","",IF(COUNTIF(M155,"Cancelled")+COUNTIF(Q155,"Cancelled")+COUNTIF(U155,"Cancelled")+COUNTIF(Y155,"Cancelled")+COUNTIF(AC155,"Cancelled")+COUNTIF(AG155,"Cancelled")+COUNTIF(AK155,"Cancelled")&gt;0,"Cancelled",IF(E155="All Stages Closed","Completed",IF(E155="S1 Schematic",M155,IF(E155="S2 PCB Layout",Q155,IF(E155="S3 SI &amp; PI",U155,IF(E155="S4 Bare-PCB Fab",Y155,IF(E155="S5 Assembly",AC155,IF(E155="S6 Bring-up",AG155,AK155)))))))))</f>
        <v/>
      </c>
      <c r="G155" s="33" t="str">
        <f aca="false">IF($C155="","",IF(E155="All Stages Closed","",IF(E155="S1 Schematic",IF(N155="","Not added",N155),IF(E155="S2 PCB Layout",IF(R155="","Not added",R155),IF(E155="S3 SI &amp; PI",IF(V155="","Not added",V155),IF(E155="S4 Bare-PCB Fab",IF(Z155="","Not added",Z155),IF(E155="S5 Assembly",IF(AD155="","Not added",AD155),IF(E155="S6 Bring-up",IF(AH155="","Not added",AH155),IF(AL155="","Not added",AL155)))))))))</f>
        <v/>
      </c>
      <c r="H155" s="32" t="str">
        <f aca="true">IF($C155="","",IF(OR(F155="Completed",F155="Cancelled"),"",IF(NOT(ISNUMBER(G155)),"No date set",IF(TODAY()&gt;G155,TODAY()-G155&amp;" days late",G155-TODAY()&amp;" days left"))))</f>
        <v/>
      </c>
      <c r="I155" s="31" t="str">
        <f aca="false">IF($C155="","",COUNTIF(M155,"Completed")+COUNTIF(Q155,"Completed")+COUNTIF(U155,"Completed")+COUNTIF(Y155,"Completed")+COUNTIF(AC155,"Completed")+COUNTIF(AG155,"Completed")+COUNTIF(AK155,"Completed"))</f>
        <v/>
      </c>
      <c r="J155" s="31" t="str">
        <f aca="false">IF($C155="","",7-(COUNTIF(M155,"NA")+COUNTIF(Q155,"NA")+COUNTIF(U155,"NA")+COUNTIF(Y155,"NA")+COUNTIF(AC155,"NA")+COUNTIF(AG155,"NA")+COUNTIF(AK155,"NA")))</f>
        <v/>
      </c>
      <c r="K155" s="34" t="str">
        <f aca="false">IFERROR(I155/J155,"")</f>
        <v/>
      </c>
      <c r="L155" s="29"/>
      <c r="M155" s="35"/>
      <c r="N155" s="36"/>
      <c r="O155" s="36"/>
      <c r="P155" s="29"/>
      <c r="Q155" s="35"/>
      <c r="R155" s="36"/>
      <c r="S155" s="36"/>
      <c r="T155" s="29"/>
      <c r="U155" s="35"/>
      <c r="V155" s="36"/>
      <c r="W155" s="36"/>
      <c r="X155" s="29"/>
      <c r="Y155" s="35"/>
      <c r="Z155" s="36"/>
      <c r="AA155" s="36"/>
      <c r="AB155" s="29"/>
      <c r="AC155" s="35"/>
      <c r="AD155" s="36"/>
      <c r="AE155" s="36"/>
      <c r="AF155" s="29"/>
      <c r="AG155" s="35"/>
      <c r="AH155" s="36"/>
      <c r="AI155" s="36"/>
      <c r="AJ155" s="29"/>
      <c r="AK155" s="35"/>
      <c r="AL155" s="36"/>
      <c r="AM155" s="36"/>
      <c r="AN155" s="29"/>
      <c r="AO155" s="29"/>
      <c r="AP155" s="29"/>
      <c r="AQ155" s="37"/>
      <c r="AR155" s="29"/>
      <c r="AS155" s="38" t="str">
        <f aca="false">IF($C155="","",IF(OR(F155="Completed",F155="Cancelled"),"",IF(AND(OR(F155="On Hold",ISNUMBER(VALUE(LEFT(H155,2)))),AR155=""),"Reason not given","")))</f>
        <v/>
      </c>
      <c r="AT155" s="30"/>
      <c r="AU155" s="30"/>
    </row>
    <row r="156" customFormat="false" ht="19.5" hidden="false" customHeight="true" outlineLevel="0" collapsed="false">
      <c r="A156" s="28" t="str">
        <f aca="false">IF($C156="","",COUNTA($C$17:$C156))</f>
        <v/>
      </c>
      <c r="B156" s="29"/>
      <c r="C156" s="30"/>
      <c r="D156" s="29"/>
      <c r="E156" s="31" t="str">
        <f aca="false">IF($C156="","",IF(NOT(OR(M156="Completed",M156="NA",M156="Cancelled")),"S1 Schematic",IF(NOT(OR(Q156="Completed",Q156="NA",Q156="Cancelled")),"S2 PCB Layout",IF(NOT(OR(U156="Completed",U156="NA",U156="Cancelled")),"S3 SI &amp; PI",IF(NOT(OR(Y156="Completed",Y156="NA",Y156="Cancelled")),"S4 Bare-PCB Fab",IF(NOT(OR(AC156="Completed",AC156="NA",AC156="Cancelled")),"S5 Assembly",IF(NOT(OR(AG156="Completed",AG156="NA",AG156="Cancelled")),"S6 Bring-up",IF(NOT(OR(AK156="Completed",AK156="NA",AK156="Cancelled")),"S7 BOM Procurement","All Stages Closed"))))))))</f>
        <v/>
      </c>
      <c r="F156" s="32" t="str">
        <f aca="false">IF($C156="","",IF(COUNTIF(M156,"Cancelled")+COUNTIF(Q156,"Cancelled")+COUNTIF(U156,"Cancelled")+COUNTIF(Y156,"Cancelled")+COUNTIF(AC156,"Cancelled")+COUNTIF(AG156,"Cancelled")+COUNTIF(AK156,"Cancelled")&gt;0,"Cancelled",IF(E156="All Stages Closed","Completed",IF(E156="S1 Schematic",M156,IF(E156="S2 PCB Layout",Q156,IF(E156="S3 SI &amp; PI",U156,IF(E156="S4 Bare-PCB Fab",Y156,IF(E156="S5 Assembly",AC156,IF(E156="S6 Bring-up",AG156,AK156)))))))))</f>
        <v/>
      </c>
      <c r="G156" s="33" t="str">
        <f aca="false">IF($C156="","",IF(E156="All Stages Closed","",IF(E156="S1 Schematic",IF(N156="","Not added",N156),IF(E156="S2 PCB Layout",IF(R156="","Not added",R156),IF(E156="S3 SI &amp; PI",IF(V156="","Not added",V156),IF(E156="S4 Bare-PCB Fab",IF(Z156="","Not added",Z156),IF(E156="S5 Assembly",IF(AD156="","Not added",AD156),IF(E156="S6 Bring-up",IF(AH156="","Not added",AH156),IF(AL156="","Not added",AL156)))))))))</f>
        <v/>
      </c>
      <c r="H156" s="32" t="str">
        <f aca="true">IF($C156="","",IF(OR(F156="Completed",F156="Cancelled"),"",IF(NOT(ISNUMBER(G156)),"No date set",IF(TODAY()&gt;G156,TODAY()-G156&amp;" days late",G156-TODAY()&amp;" days left"))))</f>
        <v/>
      </c>
      <c r="I156" s="31" t="str">
        <f aca="false">IF($C156="","",COUNTIF(M156,"Completed")+COUNTIF(Q156,"Completed")+COUNTIF(U156,"Completed")+COUNTIF(Y156,"Completed")+COUNTIF(AC156,"Completed")+COUNTIF(AG156,"Completed")+COUNTIF(AK156,"Completed"))</f>
        <v/>
      </c>
      <c r="J156" s="31" t="str">
        <f aca="false">IF($C156="","",7-(COUNTIF(M156,"NA")+COUNTIF(Q156,"NA")+COUNTIF(U156,"NA")+COUNTIF(Y156,"NA")+COUNTIF(AC156,"NA")+COUNTIF(AG156,"NA")+COUNTIF(AK156,"NA")))</f>
        <v/>
      </c>
      <c r="K156" s="34" t="str">
        <f aca="false">IFERROR(I156/J156,"")</f>
        <v/>
      </c>
      <c r="L156" s="29"/>
      <c r="M156" s="35"/>
      <c r="N156" s="36"/>
      <c r="O156" s="36"/>
      <c r="P156" s="29"/>
      <c r="Q156" s="35"/>
      <c r="R156" s="36"/>
      <c r="S156" s="36"/>
      <c r="T156" s="29"/>
      <c r="U156" s="35"/>
      <c r="V156" s="36"/>
      <c r="W156" s="36"/>
      <c r="X156" s="29"/>
      <c r="Y156" s="35"/>
      <c r="Z156" s="36"/>
      <c r="AA156" s="36"/>
      <c r="AB156" s="29"/>
      <c r="AC156" s="35"/>
      <c r="AD156" s="36"/>
      <c r="AE156" s="36"/>
      <c r="AF156" s="29"/>
      <c r="AG156" s="35"/>
      <c r="AH156" s="36"/>
      <c r="AI156" s="36"/>
      <c r="AJ156" s="29"/>
      <c r="AK156" s="35"/>
      <c r="AL156" s="36"/>
      <c r="AM156" s="36"/>
      <c r="AN156" s="29"/>
      <c r="AO156" s="29"/>
      <c r="AP156" s="29"/>
      <c r="AQ156" s="37"/>
      <c r="AR156" s="29"/>
      <c r="AS156" s="38" t="str">
        <f aca="false">IF($C156="","",IF(OR(F156="Completed",F156="Cancelled"),"",IF(AND(OR(F156="On Hold",ISNUMBER(VALUE(LEFT(H156,2)))),AR156=""),"Reason not given","")))</f>
        <v/>
      </c>
      <c r="AT156" s="30"/>
      <c r="AU156" s="30"/>
    </row>
    <row r="157" customFormat="false" ht="19.5" hidden="false" customHeight="true" outlineLevel="0" collapsed="false">
      <c r="A157" s="28" t="str">
        <f aca="false">IF($C157="","",COUNTA($C$17:$C157))</f>
        <v/>
      </c>
      <c r="B157" s="29"/>
      <c r="C157" s="30"/>
      <c r="D157" s="29"/>
      <c r="E157" s="31" t="str">
        <f aca="false">IF($C157="","",IF(NOT(OR(M157="Completed",M157="NA",M157="Cancelled")),"S1 Schematic",IF(NOT(OR(Q157="Completed",Q157="NA",Q157="Cancelled")),"S2 PCB Layout",IF(NOT(OR(U157="Completed",U157="NA",U157="Cancelled")),"S3 SI &amp; PI",IF(NOT(OR(Y157="Completed",Y157="NA",Y157="Cancelled")),"S4 Bare-PCB Fab",IF(NOT(OR(AC157="Completed",AC157="NA",AC157="Cancelled")),"S5 Assembly",IF(NOT(OR(AG157="Completed",AG157="NA",AG157="Cancelled")),"S6 Bring-up",IF(NOT(OR(AK157="Completed",AK157="NA",AK157="Cancelled")),"S7 BOM Procurement","All Stages Closed"))))))))</f>
        <v/>
      </c>
      <c r="F157" s="32" t="str">
        <f aca="false">IF($C157="","",IF(COUNTIF(M157,"Cancelled")+COUNTIF(Q157,"Cancelled")+COUNTIF(U157,"Cancelled")+COUNTIF(Y157,"Cancelled")+COUNTIF(AC157,"Cancelled")+COUNTIF(AG157,"Cancelled")+COUNTIF(AK157,"Cancelled")&gt;0,"Cancelled",IF(E157="All Stages Closed","Completed",IF(E157="S1 Schematic",M157,IF(E157="S2 PCB Layout",Q157,IF(E157="S3 SI &amp; PI",U157,IF(E157="S4 Bare-PCB Fab",Y157,IF(E157="S5 Assembly",AC157,IF(E157="S6 Bring-up",AG157,AK157)))))))))</f>
        <v/>
      </c>
      <c r="G157" s="33" t="str">
        <f aca="false">IF($C157="","",IF(E157="All Stages Closed","",IF(E157="S1 Schematic",IF(N157="","Not added",N157),IF(E157="S2 PCB Layout",IF(R157="","Not added",R157),IF(E157="S3 SI &amp; PI",IF(V157="","Not added",V157),IF(E157="S4 Bare-PCB Fab",IF(Z157="","Not added",Z157),IF(E157="S5 Assembly",IF(AD157="","Not added",AD157),IF(E157="S6 Bring-up",IF(AH157="","Not added",AH157),IF(AL157="","Not added",AL157)))))))))</f>
        <v/>
      </c>
      <c r="H157" s="32" t="str">
        <f aca="true">IF($C157="","",IF(OR(F157="Completed",F157="Cancelled"),"",IF(NOT(ISNUMBER(G157)),"No date set",IF(TODAY()&gt;G157,TODAY()-G157&amp;" days late",G157-TODAY()&amp;" days left"))))</f>
        <v/>
      </c>
      <c r="I157" s="31" t="str">
        <f aca="false">IF($C157="","",COUNTIF(M157,"Completed")+COUNTIF(Q157,"Completed")+COUNTIF(U157,"Completed")+COUNTIF(Y157,"Completed")+COUNTIF(AC157,"Completed")+COUNTIF(AG157,"Completed")+COUNTIF(AK157,"Completed"))</f>
        <v/>
      </c>
      <c r="J157" s="31" t="str">
        <f aca="false">IF($C157="","",7-(COUNTIF(M157,"NA")+COUNTIF(Q157,"NA")+COUNTIF(U157,"NA")+COUNTIF(Y157,"NA")+COUNTIF(AC157,"NA")+COUNTIF(AG157,"NA")+COUNTIF(AK157,"NA")))</f>
        <v/>
      </c>
      <c r="K157" s="34" t="str">
        <f aca="false">IFERROR(I157/J157,"")</f>
        <v/>
      </c>
      <c r="L157" s="29"/>
      <c r="M157" s="35"/>
      <c r="N157" s="36"/>
      <c r="O157" s="36"/>
      <c r="P157" s="29"/>
      <c r="Q157" s="35"/>
      <c r="R157" s="36"/>
      <c r="S157" s="36"/>
      <c r="T157" s="29"/>
      <c r="U157" s="35"/>
      <c r="V157" s="36"/>
      <c r="W157" s="36"/>
      <c r="X157" s="29"/>
      <c r="Y157" s="35"/>
      <c r="Z157" s="36"/>
      <c r="AA157" s="36"/>
      <c r="AB157" s="29"/>
      <c r="AC157" s="35"/>
      <c r="AD157" s="36"/>
      <c r="AE157" s="36"/>
      <c r="AF157" s="29"/>
      <c r="AG157" s="35"/>
      <c r="AH157" s="36"/>
      <c r="AI157" s="36"/>
      <c r="AJ157" s="29"/>
      <c r="AK157" s="35"/>
      <c r="AL157" s="36"/>
      <c r="AM157" s="36"/>
      <c r="AN157" s="29"/>
      <c r="AO157" s="29"/>
      <c r="AP157" s="29"/>
      <c r="AQ157" s="37"/>
      <c r="AR157" s="29"/>
      <c r="AS157" s="38" t="str">
        <f aca="false">IF($C157="","",IF(OR(F157="Completed",F157="Cancelled"),"",IF(AND(OR(F157="On Hold",ISNUMBER(VALUE(LEFT(H157,2)))),AR157=""),"Reason not given","")))</f>
        <v/>
      </c>
      <c r="AT157" s="30"/>
      <c r="AU157" s="30"/>
    </row>
    <row r="158" customFormat="false" ht="19.5" hidden="false" customHeight="true" outlineLevel="0" collapsed="false">
      <c r="A158" s="28" t="str">
        <f aca="false">IF($C158="","",COUNTA($C$17:$C158))</f>
        <v/>
      </c>
      <c r="B158" s="29"/>
      <c r="C158" s="30"/>
      <c r="D158" s="29"/>
      <c r="E158" s="31" t="str">
        <f aca="false">IF($C158="","",IF(NOT(OR(M158="Completed",M158="NA",M158="Cancelled")),"S1 Schematic",IF(NOT(OR(Q158="Completed",Q158="NA",Q158="Cancelled")),"S2 PCB Layout",IF(NOT(OR(U158="Completed",U158="NA",U158="Cancelled")),"S3 SI &amp; PI",IF(NOT(OR(Y158="Completed",Y158="NA",Y158="Cancelled")),"S4 Bare-PCB Fab",IF(NOT(OR(AC158="Completed",AC158="NA",AC158="Cancelled")),"S5 Assembly",IF(NOT(OR(AG158="Completed",AG158="NA",AG158="Cancelled")),"S6 Bring-up",IF(NOT(OR(AK158="Completed",AK158="NA",AK158="Cancelled")),"S7 BOM Procurement","All Stages Closed"))))))))</f>
        <v/>
      </c>
      <c r="F158" s="32" t="str">
        <f aca="false">IF($C158="","",IF(COUNTIF(M158,"Cancelled")+COUNTIF(Q158,"Cancelled")+COUNTIF(U158,"Cancelled")+COUNTIF(Y158,"Cancelled")+COUNTIF(AC158,"Cancelled")+COUNTIF(AG158,"Cancelled")+COUNTIF(AK158,"Cancelled")&gt;0,"Cancelled",IF(E158="All Stages Closed","Completed",IF(E158="S1 Schematic",M158,IF(E158="S2 PCB Layout",Q158,IF(E158="S3 SI &amp; PI",U158,IF(E158="S4 Bare-PCB Fab",Y158,IF(E158="S5 Assembly",AC158,IF(E158="S6 Bring-up",AG158,AK158)))))))))</f>
        <v/>
      </c>
      <c r="G158" s="33" t="str">
        <f aca="false">IF($C158="","",IF(E158="All Stages Closed","",IF(E158="S1 Schematic",IF(N158="","Not added",N158),IF(E158="S2 PCB Layout",IF(R158="","Not added",R158),IF(E158="S3 SI &amp; PI",IF(V158="","Not added",V158),IF(E158="S4 Bare-PCB Fab",IF(Z158="","Not added",Z158),IF(E158="S5 Assembly",IF(AD158="","Not added",AD158),IF(E158="S6 Bring-up",IF(AH158="","Not added",AH158),IF(AL158="","Not added",AL158)))))))))</f>
        <v/>
      </c>
      <c r="H158" s="32" t="str">
        <f aca="true">IF($C158="","",IF(OR(F158="Completed",F158="Cancelled"),"",IF(NOT(ISNUMBER(G158)),"No date set",IF(TODAY()&gt;G158,TODAY()-G158&amp;" days late",G158-TODAY()&amp;" days left"))))</f>
        <v/>
      </c>
      <c r="I158" s="31" t="str">
        <f aca="false">IF($C158="","",COUNTIF(M158,"Completed")+COUNTIF(Q158,"Completed")+COUNTIF(U158,"Completed")+COUNTIF(Y158,"Completed")+COUNTIF(AC158,"Completed")+COUNTIF(AG158,"Completed")+COUNTIF(AK158,"Completed"))</f>
        <v/>
      </c>
      <c r="J158" s="31" t="str">
        <f aca="false">IF($C158="","",7-(COUNTIF(M158,"NA")+COUNTIF(Q158,"NA")+COUNTIF(U158,"NA")+COUNTIF(Y158,"NA")+COUNTIF(AC158,"NA")+COUNTIF(AG158,"NA")+COUNTIF(AK158,"NA")))</f>
        <v/>
      </c>
      <c r="K158" s="34" t="str">
        <f aca="false">IFERROR(I158/J158,"")</f>
        <v/>
      </c>
      <c r="L158" s="29"/>
      <c r="M158" s="35"/>
      <c r="N158" s="36"/>
      <c r="O158" s="36"/>
      <c r="P158" s="29"/>
      <c r="Q158" s="35"/>
      <c r="R158" s="36"/>
      <c r="S158" s="36"/>
      <c r="T158" s="29"/>
      <c r="U158" s="35"/>
      <c r="V158" s="36"/>
      <c r="W158" s="36"/>
      <c r="X158" s="29"/>
      <c r="Y158" s="35"/>
      <c r="Z158" s="36"/>
      <c r="AA158" s="36"/>
      <c r="AB158" s="29"/>
      <c r="AC158" s="35"/>
      <c r="AD158" s="36"/>
      <c r="AE158" s="36"/>
      <c r="AF158" s="29"/>
      <c r="AG158" s="35"/>
      <c r="AH158" s="36"/>
      <c r="AI158" s="36"/>
      <c r="AJ158" s="29"/>
      <c r="AK158" s="35"/>
      <c r="AL158" s="36"/>
      <c r="AM158" s="36"/>
      <c r="AN158" s="29"/>
      <c r="AO158" s="29"/>
      <c r="AP158" s="29"/>
      <c r="AQ158" s="37"/>
      <c r="AR158" s="29"/>
      <c r="AS158" s="38" t="str">
        <f aca="false">IF($C158="","",IF(OR(F158="Completed",F158="Cancelled"),"",IF(AND(OR(F158="On Hold",ISNUMBER(VALUE(LEFT(H158,2)))),AR158=""),"Reason not given","")))</f>
        <v/>
      </c>
      <c r="AT158" s="30"/>
      <c r="AU158" s="30"/>
    </row>
    <row r="159" customFormat="false" ht="19.5" hidden="false" customHeight="true" outlineLevel="0" collapsed="false">
      <c r="A159" s="28" t="str">
        <f aca="false">IF($C159="","",COUNTA($C$17:$C159))</f>
        <v/>
      </c>
      <c r="B159" s="29"/>
      <c r="C159" s="30"/>
      <c r="D159" s="29"/>
      <c r="E159" s="31" t="str">
        <f aca="false">IF($C159="","",IF(NOT(OR(M159="Completed",M159="NA",M159="Cancelled")),"S1 Schematic",IF(NOT(OR(Q159="Completed",Q159="NA",Q159="Cancelled")),"S2 PCB Layout",IF(NOT(OR(U159="Completed",U159="NA",U159="Cancelled")),"S3 SI &amp; PI",IF(NOT(OR(Y159="Completed",Y159="NA",Y159="Cancelled")),"S4 Bare-PCB Fab",IF(NOT(OR(AC159="Completed",AC159="NA",AC159="Cancelled")),"S5 Assembly",IF(NOT(OR(AG159="Completed",AG159="NA",AG159="Cancelled")),"S6 Bring-up",IF(NOT(OR(AK159="Completed",AK159="NA",AK159="Cancelled")),"S7 BOM Procurement","All Stages Closed"))))))))</f>
        <v/>
      </c>
      <c r="F159" s="32" t="str">
        <f aca="false">IF($C159="","",IF(COUNTIF(M159,"Cancelled")+COUNTIF(Q159,"Cancelled")+COUNTIF(U159,"Cancelled")+COUNTIF(Y159,"Cancelled")+COUNTIF(AC159,"Cancelled")+COUNTIF(AG159,"Cancelled")+COUNTIF(AK159,"Cancelled")&gt;0,"Cancelled",IF(E159="All Stages Closed","Completed",IF(E159="S1 Schematic",M159,IF(E159="S2 PCB Layout",Q159,IF(E159="S3 SI &amp; PI",U159,IF(E159="S4 Bare-PCB Fab",Y159,IF(E159="S5 Assembly",AC159,IF(E159="S6 Bring-up",AG159,AK159)))))))))</f>
        <v/>
      </c>
      <c r="G159" s="33" t="str">
        <f aca="false">IF($C159="","",IF(E159="All Stages Closed","",IF(E159="S1 Schematic",IF(N159="","Not added",N159),IF(E159="S2 PCB Layout",IF(R159="","Not added",R159),IF(E159="S3 SI &amp; PI",IF(V159="","Not added",V159),IF(E159="S4 Bare-PCB Fab",IF(Z159="","Not added",Z159),IF(E159="S5 Assembly",IF(AD159="","Not added",AD159),IF(E159="S6 Bring-up",IF(AH159="","Not added",AH159),IF(AL159="","Not added",AL159)))))))))</f>
        <v/>
      </c>
      <c r="H159" s="32" t="str">
        <f aca="true">IF($C159="","",IF(OR(F159="Completed",F159="Cancelled"),"",IF(NOT(ISNUMBER(G159)),"No date set",IF(TODAY()&gt;G159,TODAY()-G159&amp;" days late",G159-TODAY()&amp;" days left"))))</f>
        <v/>
      </c>
      <c r="I159" s="31" t="str">
        <f aca="false">IF($C159="","",COUNTIF(M159,"Completed")+COUNTIF(Q159,"Completed")+COUNTIF(U159,"Completed")+COUNTIF(Y159,"Completed")+COUNTIF(AC159,"Completed")+COUNTIF(AG159,"Completed")+COUNTIF(AK159,"Completed"))</f>
        <v/>
      </c>
      <c r="J159" s="31" t="str">
        <f aca="false">IF($C159="","",7-(COUNTIF(M159,"NA")+COUNTIF(Q159,"NA")+COUNTIF(U159,"NA")+COUNTIF(Y159,"NA")+COUNTIF(AC159,"NA")+COUNTIF(AG159,"NA")+COUNTIF(AK159,"NA")))</f>
        <v/>
      </c>
      <c r="K159" s="34" t="str">
        <f aca="false">IFERROR(I159/J159,"")</f>
        <v/>
      </c>
      <c r="L159" s="29"/>
      <c r="M159" s="35"/>
      <c r="N159" s="36"/>
      <c r="O159" s="36"/>
      <c r="P159" s="29"/>
      <c r="Q159" s="35"/>
      <c r="R159" s="36"/>
      <c r="S159" s="36"/>
      <c r="T159" s="29"/>
      <c r="U159" s="35"/>
      <c r="V159" s="36"/>
      <c r="W159" s="36"/>
      <c r="X159" s="29"/>
      <c r="Y159" s="35"/>
      <c r="Z159" s="36"/>
      <c r="AA159" s="36"/>
      <c r="AB159" s="29"/>
      <c r="AC159" s="35"/>
      <c r="AD159" s="36"/>
      <c r="AE159" s="36"/>
      <c r="AF159" s="29"/>
      <c r="AG159" s="35"/>
      <c r="AH159" s="36"/>
      <c r="AI159" s="36"/>
      <c r="AJ159" s="29"/>
      <c r="AK159" s="35"/>
      <c r="AL159" s="36"/>
      <c r="AM159" s="36"/>
      <c r="AN159" s="29"/>
      <c r="AO159" s="29"/>
      <c r="AP159" s="29"/>
      <c r="AQ159" s="37"/>
      <c r="AR159" s="29"/>
      <c r="AS159" s="38" t="str">
        <f aca="false">IF($C159="","",IF(OR(F159="Completed",F159="Cancelled"),"",IF(AND(OR(F159="On Hold",ISNUMBER(VALUE(LEFT(H159,2)))),AR159=""),"Reason not given","")))</f>
        <v/>
      </c>
      <c r="AT159" s="30"/>
      <c r="AU159" s="30"/>
    </row>
    <row r="160" customFormat="false" ht="19.5" hidden="false" customHeight="true" outlineLevel="0" collapsed="false">
      <c r="A160" s="28" t="str">
        <f aca="false">IF($C160="","",COUNTA($C$17:$C160))</f>
        <v/>
      </c>
      <c r="B160" s="29"/>
      <c r="C160" s="30"/>
      <c r="D160" s="29"/>
      <c r="E160" s="31" t="str">
        <f aca="false">IF($C160="","",IF(NOT(OR(M160="Completed",M160="NA",M160="Cancelled")),"S1 Schematic",IF(NOT(OR(Q160="Completed",Q160="NA",Q160="Cancelled")),"S2 PCB Layout",IF(NOT(OR(U160="Completed",U160="NA",U160="Cancelled")),"S3 SI &amp; PI",IF(NOT(OR(Y160="Completed",Y160="NA",Y160="Cancelled")),"S4 Bare-PCB Fab",IF(NOT(OR(AC160="Completed",AC160="NA",AC160="Cancelled")),"S5 Assembly",IF(NOT(OR(AG160="Completed",AG160="NA",AG160="Cancelled")),"S6 Bring-up",IF(NOT(OR(AK160="Completed",AK160="NA",AK160="Cancelled")),"S7 BOM Procurement","All Stages Closed"))))))))</f>
        <v/>
      </c>
      <c r="F160" s="32" t="str">
        <f aca="false">IF($C160="","",IF(COUNTIF(M160,"Cancelled")+COUNTIF(Q160,"Cancelled")+COUNTIF(U160,"Cancelled")+COUNTIF(Y160,"Cancelled")+COUNTIF(AC160,"Cancelled")+COUNTIF(AG160,"Cancelled")+COUNTIF(AK160,"Cancelled")&gt;0,"Cancelled",IF(E160="All Stages Closed","Completed",IF(E160="S1 Schematic",M160,IF(E160="S2 PCB Layout",Q160,IF(E160="S3 SI &amp; PI",U160,IF(E160="S4 Bare-PCB Fab",Y160,IF(E160="S5 Assembly",AC160,IF(E160="S6 Bring-up",AG160,AK160)))))))))</f>
        <v/>
      </c>
      <c r="G160" s="33" t="str">
        <f aca="false">IF($C160="","",IF(E160="All Stages Closed","",IF(E160="S1 Schematic",IF(N160="","Not added",N160),IF(E160="S2 PCB Layout",IF(R160="","Not added",R160),IF(E160="S3 SI &amp; PI",IF(V160="","Not added",V160),IF(E160="S4 Bare-PCB Fab",IF(Z160="","Not added",Z160),IF(E160="S5 Assembly",IF(AD160="","Not added",AD160),IF(E160="S6 Bring-up",IF(AH160="","Not added",AH160),IF(AL160="","Not added",AL160)))))))))</f>
        <v/>
      </c>
      <c r="H160" s="32" t="str">
        <f aca="true">IF($C160="","",IF(OR(F160="Completed",F160="Cancelled"),"",IF(NOT(ISNUMBER(G160)),"No date set",IF(TODAY()&gt;G160,TODAY()-G160&amp;" days late",G160-TODAY()&amp;" days left"))))</f>
        <v/>
      </c>
      <c r="I160" s="31" t="str">
        <f aca="false">IF($C160="","",COUNTIF(M160,"Completed")+COUNTIF(Q160,"Completed")+COUNTIF(U160,"Completed")+COUNTIF(Y160,"Completed")+COUNTIF(AC160,"Completed")+COUNTIF(AG160,"Completed")+COUNTIF(AK160,"Completed"))</f>
        <v/>
      </c>
      <c r="J160" s="31" t="str">
        <f aca="false">IF($C160="","",7-(COUNTIF(M160,"NA")+COUNTIF(Q160,"NA")+COUNTIF(U160,"NA")+COUNTIF(Y160,"NA")+COUNTIF(AC160,"NA")+COUNTIF(AG160,"NA")+COUNTIF(AK160,"NA")))</f>
        <v/>
      </c>
      <c r="K160" s="34" t="str">
        <f aca="false">IFERROR(I160/J160,"")</f>
        <v/>
      </c>
      <c r="L160" s="29"/>
      <c r="M160" s="35"/>
      <c r="N160" s="36"/>
      <c r="O160" s="36"/>
      <c r="P160" s="29"/>
      <c r="Q160" s="35"/>
      <c r="R160" s="36"/>
      <c r="S160" s="36"/>
      <c r="T160" s="29"/>
      <c r="U160" s="35"/>
      <c r="V160" s="36"/>
      <c r="W160" s="36"/>
      <c r="X160" s="29"/>
      <c r="Y160" s="35"/>
      <c r="Z160" s="36"/>
      <c r="AA160" s="36"/>
      <c r="AB160" s="29"/>
      <c r="AC160" s="35"/>
      <c r="AD160" s="36"/>
      <c r="AE160" s="36"/>
      <c r="AF160" s="29"/>
      <c r="AG160" s="35"/>
      <c r="AH160" s="36"/>
      <c r="AI160" s="36"/>
      <c r="AJ160" s="29"/>
      <c r="AK160" s="35"/>
      <c r="AL160" s="36"/>
      <c r="AM160" s="36"/>
      <c r="AN160" s="29"/>
      <c r="AO160" s="29"/>
      <c r="AP160" s="29"/>
      <c r="AQ160" s="37"/>
      <c r="AR160" s="29"/>
      <c r="AS160" s="38" t="str">
        <f aca="false">IF($C160="","",IF(OR(F160="Completed",F160="Cancelled"),"",IF(AND(OR(F160="On Hold",ISNUMBER(VALUE(LEFT(H160,2)))),AR160=""),"Reason not given","")))</f>
        <v/>
      </c>
      <c r="AT160" s="30"/>
      <c r="AU160" s="30"/>
    </row>
    <row r="161" customFormat="false" ht="19.5" hidden="false" customHeight="true" outlineLevel="0" collapsed="false">
      <c r="A161" s="28" t="str">
        <f aca="false">IF($C161="","",COUNTA($C$17:$C161))</f>
        <v/>
      </c>
      <c r="B161" s="29"/>
      <c r="C161" s="30"/>
      <c r="D161" s="29"/>
      <c r="E161" s="31" t="str">
        <f aca="false">IF($C161="","",IF(NOT(OR(M161="Completed",M161="NA",M161="Cancelled")),"S1 Schematic",IF(NOT(OR(Q161="Completed",Q161="NA",Q161="Cancelled")),"S2 PCB Layout",IF(NOT(OR(U161="Completed",U161="NA",U161="Cancelled")),"S3 SI &amp; PI",IF(NOT(OR(Y161="Completed",Y161="NA",Y161="Cancelled")),"S4 Bare-PCB Fab",IF(NOT(OR(AC161="Completed",AC161="NA",AC161="Cancelled")),"S5 Assembly",IF(NOT(OR(AG161="Completed",AG161="NA",AG161="Cancelled")),"S6 Bring-up",IF(NOT(OR(AK161="Completed",AK161="NA",AK161="Cancelled")),"S7 BOM Procurement","All Stages Closed"))))))))</f>
        <v/>
      </c>
      <c r="F161" s="32" t="str">
        <f aca="false">IF($C161="","",IF(COUNTIF(M161,"Cancelled")+COUNTIF(Q161,"Cancelled")+COUNTIF(U161,"Cancelled")+COUNTIF(Y161,"Cancelled")+COUNTIF(AC161,"Cancelled")+COUNTIF(AG161,"Cancelled")+COUNTIF(AK161,"Cancelled")&gt;0,"Cancelled",IF(E161="All Stages Closed","Completed",IF(E161="S1 Schematic",M161,IF(E161="S2 PCB Layout",Q161,IF(E161="S3 SI &amp; PI",U161,IF(E161="S4 Bare-PCB Fab",Y161,IF(E161="S5 Assembly",AC161,IF(E161="S6 Bring-up",AG161,AK161)))))))))</f>
        <v/>
      </c>
      <c r="G161" s="33" t="str">
        <f aca="false">IF($C161="","",IF(E161="All Stages Closed","",IF(E161="S1 Schematic",IF(N161="","Not added",N161),IF(E161="S2 PCB Layout",IF(R161="","Not added",R161),IF(E161="S3 SI &amp; PI",IF(V161="","Not added",V161),IF(E161="S4 Bare-PCB Fab",IF(Z161="","Not added",Z161),IF(E161="S5 Assembly",IF(AD161="","Not added",AD161),IF(E161="S6 Bring-up",IF(AH161="","Not added",AH161),IF(AL161="","Not added",AL161)))))))))</f>
        <v/>
      </c>
      <c r="H161" s="32" t="str">
        <f aca="true">IF($C161="","",IF(OR(F161="Completed",F161="Cancelled"),"",IF(NOT(ISNUMBER(G161)),"No date set",IF(TODAY()&gt;G161,TODAY()-G161&amp;" days late",G161-TODAY()&amp;" days left"))))</f>
        <v/>
      </c>
      <c r="I161" s="31" t="str">
        <f aca="false">IF($C161="","",COUNTIF(M161,"Completed")+COUNTIF(Q161,"Completed")+COUNTIF(U161,"Completed")+COUNTIF(Y161,"Completed")+COUNTIF(AC161,"Completed")+COUNTIF(AG161,"Completed")+COUNTIF(AK161,"Completed"))</f>
        <v/>
      </c>
      <c r="J161" s="31" t="str">
        <f aca="false">IF($C161="","",7-(COUNTIF(M161,"NA")+COUNTIF(Q161,"NA")+COUNTIF(U161,"NA")+COUNTIF(Y161,"NA")+COUNTIF(AC161,"NA")+COUNTIF(AG161,"NA")+COUNTIF(AK161,"NA")))</f>
        <v/>
      </c>
      <c r="K161" s="34" t="str">
        <f aca="false">IFERROR(I161/J161,"")</f>
        <v/>
      </c>
      <c r="L161" s="29"/>
      <c r="M161" s="35"/>
      <c r="N161" s="36"/>
      <c r="O161" s="36"/>
      <c r="P161" s="29"/>
      <c r="Q161" s="35"/>
      <c r="R161" s="36"/>
      <c r="S161" s="36"/>
      <c r="T161" s="29"/>
      <c r="U161" s="35"/>
      <c r="V161" s="36"/>
      <c r="W161" s="36"/>
      <c r="X161" s="29"/>
      <c r="Y161" s="35"/>
      <c r="Z161" s="36"/>
      <c r="AA161" s="36"/>
      <c r="AB161" s="29"/>
      <c r="AC161" s="35"/>
      <c r="AD161" s="36"/>
      <c r="AE161" s="36"/>
      <c r="AF161" s="29"/>
      <c r="AG161" s="35"/>
      <c r="AH161" s="36"/>
      <c r="AI161" s="36"/>
      <c r="AJ161" s="29"/>
      <c r="AK161" s="35"/>
      <c r="AL161" s="36"/>
      <c r="AM161" s="36"/>
      <c r="AN161" s="29"/>
      <c r="AO161" s="29"/>
      <c r="AP161" s="29"/>
      <c r="AQ161" s="37"/>
      <c r="AR161" s="29"/>
      <c r="AS161" s="38" t="str">
        <f aca="false">IF($C161="","",IF(OR(F161="Completed",F161="Cancelled"),"",IF(AND(OR(F161="On Hold",ISNUMBER(VALUE(LEFT(H161,2)))),AR161=""),"Reason not given","")))</f>
        <v/>
      </c>
      <c r="AT161" s="30"/>
      <c r="AU161" s="30"/>
    </row>
    <row r="162" customFormat="false" ht="19.5" hidden="false" customHeight="true" outlineLevel="0" collapsed="false">
      <c r="A162" s="28" t="str">
        <f aca="false">IF($C162="","",COUNTA($C$17:$C162))</f>
        <v/>
      </c>
      <c r="B162" s="29"/>
      <c r="C162" s="30"/>
      <c r="D162" s="29"/>
      <c r="E162" s="31" t="str">
        <f aca="false">IF($C162="","",IF(NOT(OR(M162="Completed",M162="NA",M162="Cancelled")),"S1 Schematic",IF(NOT(OR(Q162="Completed",Q162="NA",Q162="Cancelled")),"S2 PCB Layout",IF(NOT(OR(U162="Completed",U162="NA",U162="Cancelled")),"S3 SI &amp; PI",IF(NOT(OR(Y162="Completed",Y162="NA",Y162="Cancelled")),"S4 Bare-PCB Fab",IF(NOT(OR(AC162="Completed",AC162="NA",AC162="Cancelled")),"S5 Assembly",IF(NOT(OR(AG162="Completed",AG162="NA",AG162="Cancelled")),"S6 Bring-up",IF(NOT(OR(AK162="Completed",AK162="NA",AK162="Cancelled")),"S7 BOM Procurement","All Stages Closed"))))))))</f>
        <v/>
      </c>
      <c r="F162" s="32" t="str">
        <f aca="false">IF($C162="","",IF(COUNTIF(M162,"Cancelled")+COUNTIF(Q162,"Cancelled")+COUNTIF(U162,"Cancelled")+COUNTIF(Y162,"Cancelled")+COUNTIF(AC162,"Cancelled")+COUNTIF(AG162,"Cancelled")+COUNTIF(AK162,"Cancelled")&gt;0,"Cancelled",IF(E162="All Stages Closed","Completed",IF(E162="S1 Schematic",M162,IF(E162="S2 PCB Layout",Q162,IF(E162="S3 SI &amp; PI",U162,IF(E162="S4 Bare-PCB Fab",Y162,IF(E162="S5 Assembly",AC162,IF(E162="S6 Bring-up",AG162,AK162)))))))))</f>
        <v/>
      </c>
      <c r="G162" s="33" t="str">
        <f aca="false">IF($C162="","",IF(E162="All Stages Closed","",IF(E162="S1 Schematic",IF(N162="","Not added",N162),IF(E162="S2 PCB Layout",IF(R162="","Not added",R162),IF(E162="S3 SI &amp; PI",IF(V162="","Not added",V162),IF(E162="S4 Bare-PCB Fab",IF(Z162="","Not added",Z162),IF(E162="S5 Assembly",IF(AD162="","Not added",AD162),IF(E162="S6 Bring-up",IF(AH162="","Not added",AH162),IF(AL162="","Not added",AL162)))))))))</f>
        <v/>
      </c>
      <c r="H162" s="32" t="str">
        <f aca="true">IF($C162="","",IF(OR(F162="Completed",F162="Cancelled"),"",IF(NOT(ISNUMBER(G162)),"No date set",IF(TODAY()&gt;G162,TODAY()-G162&amp;" days late",G162-TODAY()&amp;" days left"))))</f>
        <v/>
      </c>
      <c r="I162" s="31" t="str">
        <f aca="false">IF($C162="","",COUNTIF(M162,"Completed")+COUNTIF(Q162,"Completed")+COUNTIF(U162,"Completed")+COUNTIF(Y162,"Completed")+COUNTIF(AC162,"Completed")+COUNTIF(AG162,"Completed")+COUNTIF(AK162,"Completed"))</f>
        <v/>
      </c>
      <c r="J162" s="31" t="str">
        <f aca="false">IF($C162="","",7-(COUNTIF(M162,"NA")+COUNTIF(Q162,"NA")+COUNTIF(U162,"NA")+COUNTIF(Y162,"NA")+COUNTIF(AC162,"NA")+COUNTIF(AG162,"NA")+COUNTIF(AK162,"NA")))</f>
        <v/>
      </c>
      <c r="K162" s="34" t="str">
        <f aca="false">IFERROR(I162/J162,"")</f>
        <v/>
      </c>
      <c r="L162" s="29"/>
      <c r="M162" s="35"/>
      <c r="N162" s="36"/>
      <c r="O162" s="36"/>
      <c r="P162" s="29"/>
      <c r="Q162" s="35"/>
      <c r="R162" s="36"/>
      <c r="S162" s="36"/>
      <c r="T162" s="29"/>
      <c r="U162" s="35"/>
      <c r="V162" s="36"/>
      <c r="W162" s="36"/>
      <c r="X162" s="29"/>
      <c r="Y162" s="35"/>
      <c r="Z162" s="36"/>
      <c r="AA162" s="36"/>
      <c r="AB162" s="29"/>
      <c r="AC162" s="35"/>
      <c r="AD162" s="36"/>
      <c r="AE162" s="36"/>
      <c r="AF162" s="29"/>
      <c r="AG162" s="35"/>
      <c r="AH162" s="36"/>
      <c r="AI162" s="36"/>
      <c r="AJ162" s="29"/>
      <c r="AK162" s="35"/>
      <c r="AL162" s="36"/>
      <c r="AM162" s="36"/>
      <c r="AN162" s="29"/>
      <c r="AO162" s="29"/>
      <c r="AP162" s="29"/>
      <c r="AQ162" s="37"/>
      <c r="AR162" s="29"/>
      <c r="AS162" s="38" t="str">
        <f aca="false">IF($C162="","",IF(OR(F162="Completed",F162="Cancelled"),"",IF(AND(OR(F162="On Hold",ISNUMBER(VALUE(LEFT(H162,2)))),AR162=""),"Reason not given","")))</f>
        <v/>
      </c>
      <c r="AT162" s="30"/>
      <c r="AU162" s="30"/>
    </row>
    <row r="163" customFormat="false" ht="19.5" hidden="false" customHeight="true" outlineLevel="0" collapsed="false">
      <c r="A163" s="28" t="str">
        <f aca="false">IF($C163="","",COUNTA($C$17:$C163))</f>
        <v/>
      </c>
      <c r="B163" s="29"/>
      <c r="C163" s="30"/>
      <c r="D163" s="29"/>
      <c r="E163" s="31" t="str">
        <f aca="false">IF($C163="","",IF(NOT(OR(M163="Completed",M163="NA",M163="Cancelled")),"S1 Schematic",IF(NOT(OR(Q163="Completed",Q163="NA",Q163="Cancelled")),"S2 PCB Layout",IF(NOT(OR(U163="Completed",U163="NA",U163="Cancelled")),"S3 SI &amp; PI",IF(NOT(OR(Y163="Completed",Y163="NA",Y163="Cancelled")),"S4 Bare-PCB Fab",IF(NOT(OR(AC163="Completed",AC163="NA",AC163="Cancelled")),"S5 Assembly",IF(NOT(OR(AG163="Completed",AG163="NA",AG163="Cancelled")),"S6 Bring-up",IF(NOT(OR(AK163="Completed",AK163="NA",AK163="Cancelled")),"S7 BOM Procurement","All Stages Closed"))))))))</f>
        <v/>
      </c>
      <c r="F163" s="32" t="str">
        <f aca="false">IF($C163="","",IF(COUNTIF(M163,"Cancelled")+COUNTIF(Q163,"Cancelled")+COUNTIF(U163,"Cancelled")+COUNTIF(Y163,"Cancelled")+COUNTIF(AC163,"Cancelled")+COUNTIF(AG163,"Cancelled")+COUNTIF(AK163,"Cancelled")&gt;0,"Cancelled",IF(E163="All Stages Closed","Completed",IF(E163="S1 Schematic",M163,IF(E163="S2 PCB Layout",Q163,IF(E163="S3 SI &amp; PI",U163,IF(E163="S4 Bare-PCB Fab",Y163,IF(E163="S5 Assembly",AC163,IF(E163="S6 Bring-up",AG163,AK163)))))))))</f>
        <v/>
      </c>
      <c r="G163" s="33" t="str">
        <f aca="false">IF($C163="","",IF(E163="All Stages Closed","",IF(E163="S1 Schematic",IF(N163="","Not added",N163),IF(E163="S2 PCB Layout",IF(R163="","Not added",R163),IF(E163="S3 SI &amp; PI",IF(V163="","Not added",V163),IF(E163="S4 Bare-PCB Fab",IF(Z163="","Not added",Z163),IF(E163="S5 Assembly",IF(AD163="","Not added",AD163),IF(E163="S6 Bring-up",IF(AH163="","Not added",AH163),IF(AL163="","Not added",AL163)))))))))</f>
        <v/>
      </c>
      <c r="H163" s="32" t="str">
        <f aca="true">IF($C163="","",IF(OR(F163="Completed",F163="Cancelled"),"",IF(NOT(ISNUMBER(G163)),"No date set",IF(TODAY()&gt;G163,TODAY()-G163&amp;" days late",G163-TODAY()&amp;" days left"))))</f>
        <v/>
      </c>
      <c r="I163" s="31" t="str">
        <f aca="false">IF($C163="","",COUNTIF(M163,"Completed")+COUNTIF(Q163,"Completed")+COUNTIF(U163,"Completed")+COUNTIF(Y163,"Completed")+COUNTIF(AC163,"Completed")+COUNTIF(AG163,"Completed")+COUNTIF(AK163,"Completed"))</f>
        <v/>
      </c>
      <c r="J163" s="31" t="str">
        <f aca="false">IF($C163="","",7-(COUNTIF(M163,"NA")+COUNTIF(Q163,"NA")+COUNTIF(U163,"NA")+COUNTIF(Y163,"NA")+COUNTIF(AC163,"NA")+COUNTIF(AG163,"NA")+COUNTIF(AK163,"NA")))</f>
        <v/>
      </c>
      <c r="K163" s="34" t="str">
        <f aca="false">IFERROR(I163/J163,"")</f>
        <v/>
      </c>
      <c r="L163" s="29"/>
      <c r="M163" s="35"/>
      <c r="N163" s="36"/>
      <c r="O163" s="36"/>
      <c r="P163" s="29"/>
      <c r="Q163" s="35"/>
      <c r="R163" s="36"/>
      <c r="S163" s="36"/>
      <c r="T163" s="29"/>
      <c r="U163" s="35"/>
      <c r="V163" s="36"/>
      <c r="W163" s="36"/>
      <c r="X163" s="29"/>
      <c r="Y163" s="35"/>
      <c r="Z163" s="36"/>
      <c r="AA163" s="36"/>
      <c r="AB163" s="29"/>
      <c r="AC163" s="35"/>
      <c r="AD163" s="36"/>
      <c r="AE163" s="36"/>
      <c r="AF163" s="29"/>
      <c r="AG163" s="35"/>
      <c r="AH163" s="36"/>
      <c r="AI163" s="36"/>
      <c r="AJ163" s="29"/>
      <c r="AK163" s="35"/>
      <c r="AL163" s="36"/>
      <c r="AM163" s="36"/>
      <c r="AN163" s="29"/>
      <c r="AO163" s="29"/>
      <c r="AP163" s="29"/>
      <c r="AQ163" s="37"/>
      <c r="AR163" s="29"/>
      <c r="AS163" s="38" t="str">
        <f aca="false">IF($C163="","",IF(OR(F163="Completed",F163="Cancelled"),"",IF(AND(OR(F163="On Hold",ISNUMBER(VALUE(LEFT(H163,2)))),AR163=""),"Reason not given","")))</f>
        <v/>
      </c>
      <c r="AT163" s="30"/>
      <c r="AU163" s="30"/>
    </row>
    <row r="164" customFormat="false" ht="19.5" hidden="false" customHeight="true" outlineLevel="0" collapsed="false">
      <c r="A164" s="28" t="str">
        <f aca="false">IF($C164="","",COUNTA($C$17:$C164))</f>
        <v/>
      </c>
      <c r="B164" s="29"/>
      <c r="C164" s="30"/>
      <c r="D164" s="29"/>
      <c r="E164" s="31" t="str">
        <f aca="false">IF($C164="","",IF(NOT(OR(M164="Completed",M164="NA",M164="Cancelled")),"S1 Schematic",IF(NOT(OR(Q164="Completed",Q164="NA",Q164="Cancelled")),"S2 PCB Layout",IF(NOT(OR(U164="Completed",U164="NA",U164="Cancelled")),"S3 SI &amp; PI",IF(NOT(OR(Y164="Completed",Y164="NA",Y164="Cancelled")),"S4 Bare-PCB Fab",IF(NOT(OR(AC164="Completed",AC164="NA",AC164="Cancelled")),"S5 Assembly",IF(NOT(OR(AG164="Completed",AG164="NA",AG164="Cancelled")),"S6 Bring-up",IF(NOT(OR(AK164="Completed",AK164="NA",AK164="Cancelled")),"S7 BOM Procurement","All Stages Closed"))))))))</f>
        <v/>
      </c>
      <c r="F164" s="32" t="str">
        <f aca="false">IF($C164="","",IF(COUNTIF(M164,"Cancelled")+COUNTIF(Q164,"Cancelled")+COUNTIF(U164,"Cancelled")+COUNTIF(Y164,"Cancelled")+COUNTIF(AC164,"Cancelled")+COUNTIF(AG164,"Cancelled")+COUNTIF(AK164,"Cancelled")&gt;0,"Cancelled",IF(E164="All Stages Closed","Completed",IF(E164="S1 Schematic",M164,IF(E164="S2 PCB Layout",Q164,IF(E164="S3 SI &amp; PI",U164,IF(E164="S4 Bare-PCB Fab",Y164,IF(E164="S5 Assembly",AC164,IF(E164="S6 Bring-up",AG164,AK164)))))))))</f>
        <v/>
      </c>
      <c r="G164" s="33" t="str">
        <f aca="false">IF($C164="","",IF(E164="All Stages Closed","",IF(E164="S1 Schematic",IF(N164="","Not added",N164),IF(E164="S2 PCB Layout",IF(R164="","Not added",R164),IF(E164="S3 SI &amp; PI",IF(V164="","Not added",V164),IF(E164="S4 Bare-PCB Fab",IF(Z164="","Not added",Z164),IF(E164="S5 Assembly",IF(AD164="","Not added",AD164),IF(E164="S6 Bring-up",IF(AH164="","Not added",AH164),IF(AL164="","Not added",AL164)))))))))</f>
        <v/>
      </c>
      <c r="H164" s="32" t="str">
        <f aca="true">IF($C164="","",IF(OR(F164="Completed",F164="Cancelled"),"",IF(NOT(ISNUMBER(G164)),"No date set",IF(TODAY()&gt;G164,TODAY()-G164&amp;" days late",G164-TODAY()&amp;" days left"))))</f>
        <v/>
      </c>
      <c r="I164" s="31" t="str">
        <f aca="false">IF($C164="","",COUNTIF(M164,"Completed")+COUNTIF(Q164,"Completed")+COUNTIF(U164,"Completed")+COUNTIF(Y164,"Completed")+COUNTIF(AC164,"Completed")+COUNTIF(AG164,"Completed")+COUNTIF(AK164,"Completed"))</f>
        <v/>
      </c>
      <c r="J164" s="31" t="str">
        <f aca="false">IF($C164="","",7-(COUNTIF(M164,"NA")+COUNTIF(Q164,"NA")+COUNTIF(U164,"NA")+COUNTIF(Y164,"NA")+COUNTIF(AC164,"NA")+COUNTIF(AG164,"NA")+COUNTIF(AK164,"NA")))</f>
        <v/>
      </c>
      <c r="K164" s="34" t="str">
        <f aca="false">IFERROR(I164/J164,"")</f>
        <v/>
      </c>
      <c r="L164" s="29"/>
      <c r="M164" s="35"/>
      <c r="N164" s="36"/>
      <c r="O164" s="36"/>
      <c r="P164" s="29"/>
      <c r="Q164" s="35"/>
      <c r="R164" s="36"/>
      <c r="S164" s="36"/>
      <c r="T164" s="29"/>
      <c r="U164" s="35"/>
      <c r="V164" s="36"/>
      <c r="W164" s="36"/>
      <c r="X164" s="29"/>
      <c r="Y164" s="35"/>
      <c r="Z164" s="36"/>
      <c r="AA164" s="36"/>
      <c r="AB164" s="29"/>
      <c r="AC164" s="35"/>
      <c r="AD164" s="36"/>
      <c r="AE164" s="36"/>
      <c r="AF164" s="29"/>
      <c r="AG164" s="35"/>
      <c r="AH164" s="36"/>
      <c r="AI164" s="36"/>
      <c r="AJ164" s="29"/>
      <c r="AK164" s="35"/>
      <c r="AL164" s="36"/>
      <c r="AM164" s="36"/>
      <c r="AN164" s="29"/>
      <c r="AO164" s="29"/>
      <c r="AP164" s="29"/>
      <c r="AQ164" s="37"/>
      <c r="AR164" s="29"/>
      <c r="AS164" s="38" t="str">
        <f aca="false">IF($C164="","",IF(OR(F164="Completed",F164="Cancelled"),"",IF(AND(OR(F164="On Hold",ISNUMBER(VALUE(LEFT(H164,2)))),AR164=""),"Reason not given","")))</f>
        <v/>
      </c>
      <c r="AT164" s="30"/>
      <c r="AU164" s="30"/>
    </row>
    <row r="165" customFormat="false" ht="19.5" hidden="false" customHeight="true" outlineLevel="0" collapsed="false">
      <c r="A165" s="28" t="str">
        <f aca="false">IF($C165="","",COUNTA($C$17:$C165))</f>
        <v/>
      </c>
      <c r="B165" s="29"/>
      <c r="C165" s="30"/>
      <c r="D165" s="29"/>
      <c r="E165" s="31" t="str">
        <f aca="false">IF($C165="","",IF(NOT(OR(M165="Completed",M165="NA",M165="Cancelled")),"S1 Schematic",IF(NOT(OR(Q165="Completed",Q165="NA",Q165="Cancelled")),"S2 PCB Layout",IF(NOT(OR(U165="Completed",U165="NA",U165="Cancelled")),"S3 SI &amp; PI",IF(NOT(OR(Y165="Completed",Y165="NA",Y165="Cancelled")),"S4 Bare-PCB Fab",IF(NOT(OR(AC165="Completed",AC165="NA",AC165="Cancelled")),"S5 Assembly",IF(NOT(OR(AG165="Completed",AG165="NA",AG165="Cancelled")),"S6 Bring-up",IF(NOT(OR(AK165="Completed",AK165="NA",AK165="Cancelled")),"S7 BOM Procurement","All Stages Closed"))))))))</f>
        <v/>
      </c>
      <c r="F165" s="32" t="str">
        <f aca="false">IF($C165="","",IF(COUNTIF(M165,"Cancelled")+COUNTIF(Q165,"Cancelled")+COUNTIF(U165,"Cancelled")+COUNTIF(Y165,"Cancelled")+COUNTIF(AC165,"Cancelled")+COUNTIF(AG165,"Cancelled")+COUNTIF(AK165,"Cancelled")&gt;0,"Cancelled",IF(E165="All Stages Closed","Completed",IF(E165="S1 Schematic",M165,IF(E165="S2 PCB Layout",Q165,IF(E165="S3 SI &amp; PI",U165,IF(E165="S4 Bare-PCB Fab",Y165,IF(E165="S5 Assembly",AC165,IF(E165="S6 Bring-up",AG165,AK165)))))))))</f>
        <v/>
      </c>
      <c r="G165" s="33" t="str">
        <f aca="false">IF($C165="","",IF(E165="All Stages Closed","",IF(E165="S1 Schematic",IF(N165="","Not added",N165),IF(E165="S2 PCB Layout",IF(R165="","Not added",R165),IF(E165="S3 SI &amp; PI",IF(V165="","Not added",V165),IF(E165="S4 Bare-PCB Fab",IF(Z165="","Not added",Z165),IF(E165="S5 Assembly",IF(AD165="","Not added",AD165),IF(E165="S6 Bring-up",IF(AH165="","Not added",AH165),IF(AL165="","Not added",AL165)))))))))</f>
        <v/>
      </c>
      <c r="H165" s="32" t="str">
        <f aca="true">IF($C165="","",IF(OR(F165="Completed",F165="Cancelled"),"",IF(NOT(ISNUMBER(G165)),"No date set",IF(TODAY()&gt;G165,TODAY()-G165&amp;" days late",G165-TODAY()&amp;" days left"))))</f>
        <v/>
      </c>
      <c r="I165" s="31" t="str">
        <f aca="false">IF($C165="","",COUNTIF(M165,"Completed")+COUNTIF(Q165,"Completed")+COUNTIF(U165,"Completed")+COUNTIF(Y165,"Completed")+COUNTIF(AC165,"Completed")+COUNTIF(AG165,"Completed")+COUNTIF(AK165,"Completed"))</f>
        <v/>
      </c>
      <c r="J165" s="31" t="str">
        <f aca="false">IF($C165="","",7-(COUNTIF(M165,"NA")+COUNTIF(Q165,"NA")+COUNTIF(U165,"NA")+COUNTIF(Y165,"NA")+COUNTIF(AC165,"NA")+COUNTIF(AG165,"NA")+COUNTIF(AK165,"NA")))</f>
        <v/>
      </c>
      <c r="K165" s="34" t="str">
        <f aca="false">IFERROR(I165/J165,"")</f>
        <v/>
      </c>
      <c r="L165" s="29"/>
      <c r="M165" s="35"/>
      <c r="N165" s="36"/>
      <c r="O165" s="36"/>
      <c r="P165" s="29"/>
      <c r="Q165" s="35"/>
      <c r="R165" s="36"/>
      <c r="S165" s="36"/>
      <c r="T165" s="29"/>
      <c r="U165" s="35"/>
      <c r="V165" s="36"/>
      <c r="W165" s="36"/>
      <c r="X165" s="29"/>
      <c r="Y165" s="35"/>
      <c r="Z165" s="36"/>
      <c r="AA165" s="36"/>
      <c r="AB165" s="29"/>
      <c r="AC165" s="35"/>
      <c r="AD165" s="36"/>
      <c r="AE165" s="36"/>
      <c r="AF165" s="29"/>
      <c r="AG165" s="35"/>
      <c r="AH165" s="36"/>
      <c r="AI165" s="36"/>
      <c r="AJ165" s="29"/>
      <c r="AK165" s="35"/>
      <c r="AL165" s="36"/>
      <c r="AM165" s="36"/>
      <c r="AN165" s="29"/>
      <c r="AO165" s="29"/>
      <c r="AP165" s="29"/>
      <c r="AQ165" s="37"/>
      <c r="AR165" s="29"/>
      <c r="AS165" s="38" t="str">
        <f aca="false">IF($C165="","",IF(OR(F165="Completed",F165="Cancelled"),"",IF(AND(OR(F165="On Hold",ISNUMBER(VALUE(LEFT(H165,2)))),AR165=""),"Reason not given","")))</f>
        <v/>
      </c>
      <c r="AT165" s="30"/>
      <c r="AU165" s="30"/>
    </row>
    <row r="166" customFormat="false" ht="19.5" hidden="false" customHeight="true" outlineLevel="0" collapsed="false">
      <c r="A166" s="28" t="str">
        <f aca="false">IF($C166="","",COUNTA($C$17:$C166))</f>
        <v/>
      </c>
      <c r="B166" s="29"/>
      <c r="C166" s="30"/>
      <c r="D166" s="29"/>
      <c r="E166" s="31" t="str">
        <f aca="false">IF($C166="","",IF(NOT(OR(M166="Completed",M166="NA",M166="Cancelled")),"S1 Schematic",IF(NOT(OR(Q166="Completed",Q166="NA",Q166="Cancelled")),"S2 PCB Layout",IF(NOT(OR(U166="Completed",U166="NA",U166="Cancelled")),"S3 SI &amp; PI",IF(NOT(OR(Y166="Completed",Y166="NA",Y166="Cancelled")),"S4 Bare-PCB Fab",IF(NOT(OR(AC166="Completed",AC166="NA",AC166="Cancelled")),"S5 Assembly",IF(NOT(OR(AG166="Completed",AG166="NA",AG166="Cancelled")),"S6 Bring-up",IF(NOT(OR(AK166="Completed",AK166="NA",AK166="Cancelled")),"S7 BOM Procurement","All Stages Closed"))))))))</f>
        <v/>
      </c>
      <c r="F166" s="32" t="str">
        <f aca="false">IF($C166="","",IF(COUNTIF(M166,"Cancelled")+COUNTIF(Q166,"Cancelled")+COUNTIF(U166,"Cancelled")+COUNTIF(Y166,"Cancelled")+COUNTIF(AC166,"Cancelled")+COUNTIF(AG166,"Cancelled")+COUNTIF(AK166,"Cancelled")&gt;0,"Cancelled",IF(E166="All Stages Closed","Completed",IF(E166="S1 Schematic",M166,IF(E166="S2 PCB Layout",Q166,IF(E166="S3 SI &amp; PI",U166,IF(E166="S4 Bare-PCB Fab",Y166,IF(E166="S5 Assembly",AC166,IF(E166="S6 Bring-up",AG166,AK166)))))))))</f>
        <v/>
      </c>
      <c r="G166" s="33" t="str">
        <f aca="false">IF($C166="","",IF(E166="All Stages Closed","",IF(E166="S1 Schematic",IF(N166="","Not added",N166),IF(E166="S2 PCB Layout",IF(R166="","Not added",R166),IF(E166="S3 SI &amp; PI",IF(V166="","Not added",V166),IF(E166="S4 Bare-PCB Fab",IF(Z166="","Not added",Z166),IF(E166="S5 Assembly",IF(AD166="","Not added",AD166),IF(E166="S6 Bring-up",IF(AH166="","Not added",AH166),IF(AL166="","Not added",AL166)))))))))</f>
        <v/>
      </c>
      <c r="H166" s="32" t="str">
        <f aca="true">IF($C166="","",IF(OR(F166="Completed",F166="Cancelled"),"",IF(NOT(ISNUMBER(G166)),"No date set",IF(TODAY()&gt;G166,TODAY()-G166&amp;" days late",G166-TODAY()&amp;" days left"))))</f>
        <v/>
      </c>
      <c r="I166" s="31" t="str">
        <f aca="false">IF($C166="","",COUNTIF(M166,"Completed")+COUNTIF(Q166,"Completed")+COUNTIF(U166,"Completed")+COUNTIF(Y166,"Completed")+COUNTIF(AC166,"Completed")+COUNTIF(AG166,"Completed")+COUNTIF(AK166,"Completed"))</f>
        <v/>
      </c>
      <c r="J166" s="31" t="str">
        <f aca="false">IF($C166="","",7-(COUNTIF(M166,"NA")+COUNTIF(Q166,"NA")+COUNTIF(U166,"NA")+COUNTIF(Y166,"NA")+COUNTIF(AC166,"NA")+COUNTIF(AG166,"NA")+COUNTIF(AK166,"NA")))</f>
        <v/>
      </c>
      <c r="K166" s="34" t="str">
        <f aca="false">IFERROR(I166/J166,"")</f>
        <v/>
      </c>
      <c r="L166" s="29"/>
      <c r="M166" s="35"/>
      <c r="N166" s="36"/>
      <c r="O166" s="36"/>
      <c r="P166" s="29"/>
      <c r="Q166" s="35"/>
      <c r="R166" s="36"/>
      <c r="S166" s="36"/>
      <c r="T166" s="29"/>
      <c r="U166" s="35"/>
      <c r="V166" s="36"/>
      <c r="W166" s="36"/>
      <c r="X166" s="29"/>
      <c r="Y166" s="35"/>
      <c r="Z166" s="36"/>
      <c r="AA166" s="36"/>
      <c r="AB166" s="29"/>
      <c r="AC166" s="35"/>
      <c r="AD166" s="36"/>
      <c r="AE166" s="36"/>
      <c r="AF166" s="29"/>
      <c r="AG166" s="35"/>
      <c r="AH166" s="36"/>
      <c r="AI166" s="36"/>
      <c r="AJ166" s="29"/>
      <c r="AK166" s="35"/>
      <c r="AL166" s="36"/>
      <c r="AM166" s="36"/>
      <c r="AN166" s="29"/>
      <c r="AO166" s="29"/>
      <c r="AP166" s="29"/>
      <c r="AQ166" s="37"/>
      <c r="AR166" s="29"/>
      <c r="AS166" s="38" t="str">
        <f aca="false">IF($C166="","",IF(OR(F166="Completed",F166="Cancelled"),"",IF(AND(OR(F166="On Hold",ISNUMBER(VALUE(LEFT(H166,2)))),AR166=""),"Reason not given","")))</f>
        <v/>
      </c>
      <c r="AT166" s="30"/>
      <c r="AU166" s="30"/>
    </row>
    <row r="167" customFormat="false" ht="19.5" hidden="false" customHeight="true" outlineLevel="0" collapsed="false">
      <c r="A167" s="28" t="str">
        <f aca="false">IF($C167="","",COUNTA($C$17:$C167))</f>
        <v/>
      </c>
      <c r="B167" s="29"/>
      <c r="C167" s="30"/>
      <c r="D167" s="29"/>
      <c r="E167" s="31" t="str">
        <f aca="false">IF($C167="","",IF(NOT(OR(M167="Completed",M167="NA",M167="Cancelled")),"S1 Schematic",IF(NOT(OR(Q167="Completed",Q167="NA",Q167="Cancelled")),"S2 PCB Layout",IF(NOT(OR(U167="Completed",U167="NA",U167="Cancelled")),"S3 SI &amp; PI",IF(NOT(OR(Y167="Completed",Y167="NA",Y167="Cancelled")),"S4 Bare-PCB Fab",IF(NOT(OR(AC167="Completed",AC167="NA",AC167="Cancelled")),"S5 Assembly",IF(NOT(OR(AG167="Completed",AG167="NA",AG167="Cancelled")),"S6 Bring-up",IF(NOT(OR(AK167="Completed",AK167="NA",AK167="Cancelled")),"S7 BOM Procurement","All Stages Closed"))))))))</f>
        <v/>
      </c>
      <c r="F167" s="32" t="str">
        <f aca="false">IF($C167="","",IF(COUNTIF(M167,"Cancelled")+COUNTIF(Q167,"Cancelled")+COUNTIF(U167,"Cancelled")+COUNTIF(Y167,"Cancelled")+COUNTIF(AC167,"Cancelled")+COUNTIF(AG167,"Cancelled")+COUNTIF(AK167,"Cancelled")&gt;0,"Cancelled",IF(E167="All Stages Closed","Completed",IF(E167="S1 Schematic",M167,IF(E167="S2 PCB Layout",Q167,IF(E167="S3 SI &amp; PI",U167,IF(E167="S4 Bare-PCB Fab",Y167,IF(E167="S5 Assembly",AC167,IF(E167="S6 Bring-up",AG167,AK167)))))))))</f>
        <v/>
      </c>
      <c r="G167" s="33" t="str">
        <f aca="false">IF($C167="","",IF(E167="All Stages Closed","",IF(E167="S1 Schematic",IF(N167="","Not added",N167),IF(E167="S2 PCB Layout",IF(R167="","Not added",R167),IF(E167="S3 SI &amp; PI",IF(V167="","Not added",V167),IF(E167="S4 Bare-PCB Fab",IF(Z167="","Not added",Z167),IF(E167="S5 Assembly",IF(AD167="","Not added",AD167),IF(E167="S6 Bring-up",IF(AH167="","Not added",AH167),IF(AL167="","Not added",AL167)))))))))</f>
        <v/>
      </c>
      <c r="H167" s="32" t="str">
        <f aca="true">IF($C167="","",IF(OR(F167="Completed",F167="Cancelled"),"",IF(NOT(ISNUMBER(G167)),"No date set",IF(TODAY()&gt;G167,TODAY()-G167&amp;" days late",G167-TODAY()&amp;" days left"))))</f>
        <v/>
      </c>
      <c r="I167" s="31" t="str">
        <f aca="false">IF($C167="","",COUNTIF(M167,"Completed")+COUNTIF(Q167,"Completed")+COUNTIF(U167,"Completed")+COUNTIF(Y167,"Completed")+COUNTIF(AC167,"Completed")+COUNTIF(AG167,"Completed")+COUNTIF(AK167,"Completed"))</f>
        <v/>
      </c>
      <c r="J167" s="31" t="str">
        <f aca="false">IF($C167="","",7-(COUNTIF(M167,"NA")+COUNTIF(Q167,"NA")+COUNTIF(U167,"NA")+COUNTIF(Y167,"NA")+COUNTIF(AC167,"NA")+COUNTIF(AG167,"NA")+COUNTIF(AK167,"NA")))</f>
        <v/>
      </c>
      <c r="K167" s="34" t="str">
        <f aca="false">IFERROR(I167/J167,"")</f>
        <v/>
      </c>
      <c r="L167" s="29"/>
      <c r="M167" s="35"/>
      <c r="N167" s="36"/>
      <c r="O167" s="36"/>
      <c r="P167" s="29"/>
      <c r="Q167" s="35"/>
      <c r="R167" s="36"/>
      <c r="S167" s="36"/>
      <c r="T167" s="29"/>
      <c r="U167" s="35"/>
      <c r="V167" s="36"/>
      <c r="W167" s="36"/>
      <c r="X167" s="29"/>
      <c r="Y167" s="35"/>
      <c r="Z167" s="36"/>
      <c r="AA167" s="36"/>
      <c r="AB167" s="29"/>
      <c r="AC167" s="35"/>
      <c r="AD167" s="36"/>
      <c r="AE167" s="36"/>
      <c r="AF167" s="29"/>
      <c r="AG167" s="35"/>
      <c r="AH167" s="36"/>
      <c r="AI167" s="36"/>
      <c r="AJ167" s="29"/>
      <c r="AK167" s="35"/>
      <c r="AL167" s="36"/>
      <c r="AM167" s="36"/>
      <c r="AN167" s="29"/>
      <c r="AO167" s="29"/>
      <c r="AP167" s="29"/>
      <c r="AQ167" s="37"/>
      <c r="AR167" s="29"/>
      <c r="AS167" s="38" t="str">
        <f aca="false">IF($C167="","",IF(OR(F167="Completed",F167="Cancelled"),"",IF(AND(OR(F167="On Hold",ISNUMBER(VALUE(LEFT(H167,2)))),AR167=""),"Reason not given","")))</f>
        <v/>
      </c>
      <c r="AT167" s="30"/>
      <c r="AU167" s="30"/>
    </row>
    <row r="168" customFormat="false" ht="19.5" hidden="false" customHeight="true" outlineLevel="0" collapsed="false">
      <c r="A168" s="28" t="str">
        <f aca="false">IF($C168="","",COUNTA($C$17:$C168))</f>
        <v/>
      </c>
      <c r="B168" s="29"/>
      <c r="C168" s="30"/>
      <c r="D168" s="29"/>
      <c r="E168" s="31" t="str">
        <f aca="false">IF($C168="","",IF(NOT(OR(M168="Completed",M168="NA",M168="Cancelled")),"S1 Schematic",IF(NOT(OR(Q168="Completed",Q168="NA",Q168="Cancelled")),"S2 PCB Layout",IF(NOT(OR(U168="Completed",U168="NA",U168="Cancelled")),"S3 SI &amp; PI",IF(NOT(OR(Y168="Completed",Y168="NA",Y168="Cancelled")),"S4 Bare-PCB Fab",IF(NOT(OR(AC168="Completed",AC168="NA",AC168="Cancelled")),"S5 Assembly",IF(NOT(OR(AG168="Completed",AG168="NA",AG168="Cancelled")),"S6 Bring-up",IF(NOT(OR(AK168="Completed",AK168="NA",AK168="Cancelled")),"S7 BOM Procurement","All Stages Closed"))))))))</f>
        <v/>
      </c>
      <c r="F168" s="32" t="str">
        <f aca="false">IF($C168="","",IF(COUNTIF(M168,"Cancelled")+COUNTIF(Q168,"Cancelled")+COUNTIF(U168,"Cancelled")+COUNTIF(Y168,"Cancelled")+COUNTIF(AC168,"Cancelled")+COUNTIF(AG168,"Cancelled")+COUNTIF(AK168,"Cancelled")&gt;0,"Cancelled",IF(E168="All Stages Closed","Completed",IF(E168="S1 Schematic",M168,IF(E168="S2 PCB Layout",Q168,IF(E168="S3 SI &amp; PI",U168,IF(E168="S4 Bare-PCB Fab",Y168,IF(E168="S5 Assembly",AC168,IF(E168="S6 Bring-up",AG168,AK168)))))))))</f>
        <v/>
      </c>
      <c r="G168" s="33" t="str">
        <f aca="false">IF($C168="","",IF(E168="All Stages Closed","",IF(E168="S1 Schematic",IF(N168="","Not added",N168),IF(E168="S2 PCB Layout",IF(R168="","Not added",R168),IF(E168="S3 SI &amp; PI",IF(V168="","Not added",V168),IF(E168="S4 Bare-PCB Fab",IF(Z168="","Not added",Z168),IF(E168="S5 Assembly",IF(AD168="","Not added",AD168),IF(E168="S6 Bring-up",IF(AH168="","Not added",AH168),IF(AL168="","Not added",AL168)))))))))</f>
        <v/>
      </c>
      <c r="H168" s="32" t="str">
        <f aca="true">IF($C168="","",IF(OR(F168="Completed",F168="Cancelled"),"",IF(NOT(ISNUMBER(G168)),"No date set",IF(TODAY()&gt;G168,TODAY()-G168&amp;" days late",G168-TODAY()&amp;" days left"))))</f>
        <v/>
      </c>
      <c r="I168" s="31" t="str">
        <f aca="false">IF($C168="","",COUNTIF(M168,"Completed")+COUNTIF(Q168,"Completed")+COUNTIF(U168,"Completed")+COUNTIF(Y168,"Completed")+COUNTIF(AC168,"Completed")+COUNTIF(AG168,"Completed")+COUNTIF(AK168,"Completed"))</f>
        <v/>
      </c>
      <c r="J168" s="31" t="str">
        <f aca="false">IF($C168="","",7-(COUNTIF(M168,"NA")+COUNTIF(Q168,"NA")+COUNTIF(U168,"NA")+COUNTIF(Y168,"NA")+COUNTIF(AC168,"NA")+COUNTIF(AG168,"NA")+COUNTIF(AK168,"NA")))</f>
        <v/>
      </c>
      <c r="K168" s="34" t="str">
        <f aca="false">IFERROR(I168/J168,"")</f>
        <v/>
      </c>
      <c r="L168" s="29"/>
      <c r="M168" s="35"/>
      <c r="N168" s="36"/>
      <c r="O168" s="36"/>
      <c r="P168" s="29"/>
      <c r="Q168" s="35"/>
      <c r="R168" s="36"/>
      <c r="S168" s="36"/>
      <c r="T168" s="29"/>
      <c r="U168" s="35"/>
      <c r="V168" s="36"/>
      <c r="W168" s="36"/>
      <c r="X168" s="29"/>
      <c r="Y168" s="35"/>
      <c r="Z168" s="36"/>
      <c r="AA168" s="36"/>
      <c r="AB168" s="29"/>
      <c r="AC168" s="35"/>
      <c r="AD168" s="36"/>
      <c r="AE168" s="36"/>
      <c r="AF168" s="29"/>
      <c r="AG168" s="35"/>
      <c r="AH168" s="36"/>
      <c r="AI168" s="36"/>
      <c r="AJ168" s="29"/>
      <c r="AK168" s="35"/>
      <c r="AL168" s="36"/>
      <c r="AM168" s="36"/>
      <c r="AN168" s="29"/>
      <c r="AO168" s="29"/>
      <c r="AP168" s="29"/>
      <c r="AQ168" s="37"/>
      <c r="AR168" s="29"/>
      <c r="AS168" s="38" t="str">
        <f aca="false">IF($C168="","",IF(OR(F168="Completed",F168="Cancelled"),"",IF(AND(OR(F168="On Hold",ISNUMBER(VALUE(LEFT(H168,2)))),AR168=""),"Reason not given","")))</f>
        <v/>
      </c>
      <c r="AT168" s="30"/>
      <c r="AU168" s="30"/>
    </row>
    <row r="169" customFormat="false" ht="19.5" hidden="false" customHeight="true" outlineLevel="0" collapsed="false">
      <c r="A169" s="28" t="str">
        <f aca="false">IF($C169="","",COUNTA($C$17:$C169))</f>
        <v/>
      </c>
      <c r="B169" s="29"/>
      <c r="C169" s="30"/>
      <c r="D169" s="29"/>
      <c r="E169" s="31" t="str">
        <f aca="false">IF($C169="","",IF(NOT(OR(M169="Completed",M169="NA",M169="Cancelled")),"S1 Schematic",IF(NOT(OR(Q169="Completed",Q169="NA",Q169="Cancelled")),"S2 PCB Layout",IF(NOT(OR(U169="Completed",U169="NA",U169="Cancelled")),"S3 SI &amp; PI",IF(NOT(OR(Y169="Completed",Y169="NA",Y169="Cancelled")),"S4 Bare-PCB Fab",IF(NOT(OR(AC169="Completed",AC169="NA",AC169="Cancelled")),"S5 Assembly",IF(NOT(OR(AG169="Completed",AG169="NA",AG169="Cancelled")),"S6 Bring-up",IF(NOT(OR(AK169="Completed",AK169="NA",AK169="Cancelled")),"S7 BOM Procurement","All Stages Closed"))))))))</f>
        <v/>
      </c>
      <c r="F169" s="32" t="str">
        <f aca="false">IF($C169="","",IF(COUNTIF(M169,"Cancelled")+COUNTIF(Q169,"Cancelled")+COUNTIF(U169,"Cancelled")+COUNTIF(Y169,"Cancelled")+COUNTIF(AC169,"Cancelled")+COUNTIF(AG169,"Cancelled")+COUNTIF(AK169,"Cancelled")&gt;0,"Cancelled",IF(E169="All Stages Closed","Completed",IF(E169="S1 Schematic",M169,IF(E169="S2 PCB Layout",Q169,IF(E169="S3 SI &amp; PI",U169,IF(E169="S4 Bare-PCB Fab",Y169,IF(E169="S5 Assembly",AC169,IF(E169="S6 Bring-up",AG169,AK169)))))))))</f>
        <v/>
      </c>
      <c r="G169" s="33" t="str">
        <f aca="false">IF($C169="","",IF(E169="All Stages Closed","",IF(E169="S1 Schematic",IF(N169="","Not added",N169),IF(E169="S2 PCB Layout",IF(R169="","Not added",R169),IF(E169="S3 SI &amp; PI",IF(V169="","Not added",V169),IF(E169="S4 Bare-PCB Fab",IF(Z169="","Not added",Z169),IF(E169="S5 Assembly",IF(AD169="","Not added",AD169),IF(E169="S6 Bring-up",IF(AH169="","Not added",AH169),IF(AL169="","Not added",AL169)))))))))</f>
        <v/>
      </c>
      <c r="H169" s="32" t="str">
        <f aca="true">IF($C169="","",IF(OR(F169="Completed",F169="Cancelled"),"",IF(NOT(ISNUMBER(G169)),"No date set",IF(TODAY()&gt;G169,TODAY()-G169&amp;" days late",G169-TODAY()&amp;" days left"))))</f>
        <v/>
      </c>
      <c r="I169" s="31" t="str">
        <f aca="false">IF($C169="","",COUNTIF(M169,"Completed")+COUNTIF(Q169,"Completed")+COUNTIF(U169,"Completed")+COUNTIF(Y169,"Completed")+COUNTIF(AC169,"Completed")+COUNTIF(AG169,"Completed")+COUNTIF(AK169,"Completed"))</f>
        <v/>
      </c>
      <c r="J169" s="31" t="str">
        <f aca="false">IF($C169="","",7-(COUNTIF(M169,"NA")+COUNTIF(Q169,"NA")+COUNTIF(U169,"NA")+COUNTIF(Y169,"NA")+COUNTIF(AC169,"NA")+COUNTIF(AG169,"NA")+COUNTIF(AK169,"NA")))</f>
        <v/>
      </c>
      <c r="K169" s="34" t="str">
        <f aca="false">IFERROR(I169/J169,"")</f>
        <v/>
      </c>
      <c r="L169" s="29"/>
      <c r="M169" s="35"/>
      <c r="N169" s="36"/>
      <c r="O169" s="36"/>
      <c r="P169" s="29"/>
      <c r="Q169" s="35"/>
      <c r="R169" s="36"/>
      <c r="S169" s="36"/>
      <c r="T169" s="29"/>
      <c r="U169" s="35"/>
      <c r="V169" s="36"/>
      <c r="W169" s="36"/>
      <c r="X169" s="29"/>
      <c r="Y169" s="35"/>
      <c r="Z169" s="36"/>
      <c r="AA169" s="36"/>
      <c r="AB169" s="29"/>
      <c r="AC169" s="35"/>
      <c r="AD169" s="36"/>
      <c r="AE169" s="36"/>
      <c r="AF169" s="29"/>
      <c r="AG169" s="35"/>
      <c r="AH169" s="36"/>
      <c r="AI169" s="36"/>
      <c r="AJ169" s="29"/>
      <c r="AK169" s="35"/>
      <c r="AL169" s="36"/>
      <c r="AM169" s="36"/>
      <c r="AN169" s="29"/>
      <c r="AO169" s="29"/>
      <c r="AP169" s="29"/>
      <c r="AQ169" s="37"/>
      <c r="AR169" s="29"/>
      <c r="AS169" s="38" t="str">
        <f aca="false">IF($C169="","",IF(OR(F169="Completed",F169="Cancelled"),"",IF(AND(OR(F169="On Hold",ISNUMBER(VALUE(LEFT(H169,2)))),AR169=""),"Reason not given","")))</f>
        <v/>
      </c>
      <c r="AT169" s="30"/>
      <c r="AU169" s="30"/>
    </row>
    <row r="170" customFormat="false" ht="19.5" hidden="false" customHeight="true" outlineLevel="0" collapsed="false">
      <c r="A170" s="28" t="str">
        <f aca="false">IF($C170="","",COUNTA($C$17:$C170))</f>
        <v/>
      </c>
      <c r="B170" s="29"/>
      <c r="C170" s="30"/>
      <c r="D170" s="29"/>
      <c r="E170" s="31" t="str">
        <f aca="false">IF($C170="","",IF(NOT(OR(M170="Completed",M170="NA",M170="Cancelled")),"S1 Schematic",IF(NOT(OR(Q170="Completed",Q170="NA",Q170="Cancelled")),"S2 PCB Layout",IF(NOT(OR(U170="Completed",U170="NA",U170="Cancelled")),"S3 SI &amp; PI",IF(NOT(OR(Y170="Completed",Y170="NA",Y170="Cancelled")),"S4 Bare-PCB Fab",IF(NOT(OR(AC170="Completed",AC170="NA",AC170="Cancelled")),"S5 Assembly",IF(NOT(OR(AG170="Completed",AG170="NA",AG170="Cancelled")),"S6 Bring-up",IF(NOT(OR(AK170="Completed",AK170="NA",AK170="Cancelled")),"S7 BOM Procurement","All Stages Closed"))))))))</f>
        <v/>
      </c>
      <c r="F170" s="32" t="str">
        <f aca="false">IF($C170="","",IF(COUNTIF(M170,"Cancelled")+COUNTIF(Q170,"Cancelled")+COUNTIF(U170,"Cancelled")+COUNTIF(Y170,"Cancelled")+COUNTIF(AC170,"Cancelled")+COUNTIF(AG170,"Cancelled")+COUNTIF(AK170,"Cancelled")&gt;0,"Cancelled",IF(E170="All Stages Closed","Completed",IF(E170="S1 Schematic",M170,IF(E170="S2 PCB Layout",Q170,IF(E170="S3 SI &amp; PI",U170,IF(E170="S4 Bare-PCB Fab",Y170,IF(E170="S5 Assembly",AC170,IF(E170="S6 Bring-up",AG170,AK170)))))))))</f>
        <v/>
      </c>
      <c r="G170" s="33" t="str">
        <f aca="false">IF($C170="","",IF(E170="All Stages Closed","",IF(E170="S1 Schematic",IF(N170="","Not added",N170),IF(E170="S2 PCB Layout",IF(R170="","Not added",R170),IF(E170="S3 SI &amp; PI",IF(V170="","Not added",V170),IF(E170="S4 Bare-PCB Fab",IF(Z170="","Not added",Z170),IF(E170="S5 Assembly",IF(AD170="","Not added",AD170),IF(E170="S6 Bring-up",IF(AH170="","Not added",AH170),IF(AL170="","Not added",AL170)))))))))</f>
        <v/>
      </c>
      <c r="H170" s="32" t="str">
        <f aca="true">IF($C170="","",IF(OR(F170="Completed",F170="Cancelled"),"",IF(NOT(ISNUMBER(G170)),"No date set",IF(TODAY()&gt;G170,TODAY()-G170&amp;" days late",G170-TODAY()&amp;" days left"))))</f>
        <v/>
      </c>
      <c r="I170" s="31" t="str">
        <f aca="false">IF($C170="","",COUNTIF(M170,"Completed")+COUNTIF(Q170,"Completed")+COUNTIF(U170,"Completed")+COUNTIF(Y170,"Completed")+COUNTIF(AC170,"Completed")+COUNTIF(AG170,"Completed")+COUNTIF(AK170,"Completed"))</f>
        <v/>
      </c>
      <c r="J170" s="31" t="str">
        <f aca="false">IF($C170="","",7-(COUNTIF(M170,"NA")+COUNTIF(Q170,"NA")+COUNTIF(U170,"NA")+COUNTIF(Y170,"NA")+COUNTIF(AC170,"NA")+COUNTIF(AG170,"NA")+COUNTIF(AK170,"NA")))</f>
        <v/>
      </c>
      <c r="K170" s="34" t="str">
        <f aca="false">IFERROR(I170/J170,"")</f>
        <v/>
      </c>
      <c r="L170" s="29"/>
      <c r="M170" s="35"/>
      <c r="N170" s="36"/>
      <c r="O170" s="36"/>
      <c r="P170" s="29"/>
      <c r="Q170" s="35"/>
      <c r="R170" s="36"/>
      <c r="S170" s="36"/>
      <c r="T170" s="29"/>
      <c r="U170" s="35"/>
      <c r="V170" s="36"/>
      <c r="W170" s="36"/>
      <c r="X170" s="29"/>
      <c r="Y170" s="35"/>
      <c r="Z170" s="36"/>
      <c r="AA170" s="36"/>
      <c r="AB170" s="29"/>
      <c r="AC170" s="35"/>
      <c r="AD170" s="36"/>
      <c r="AE170" s="36"/>
      <c r="AF170" s="29"/>
      <c r="AG170" s="35"/>
      <c r="AH170" s="36"/>
      <c r="AI170" s="36"/>
      <c r="AJ170" s="29"/>
      <c r="AK170" s="35"/>
      <c r="AL170" s="36"/>
      <c r="AM170" s="36"/>
      <c r="AN170" s="29"/>
      <c r="AO170" s="29"/>
      <c r="AP170" s="29"/>
      <c r="AQ170" s="37"/>
      <c r="AR170" s="29"/>
      <c r="AS170" s="38" t="str">
        <f aca="false">IF($C170="","",IF(OR(F170="Completed",F170="Cancelled"),"",IF(AND(OR(F170="On Hold",ISNUMBER(VALUE(LEFT(H170,2)))),AR170=""),"Reason not given","")))</f>
        <v/>
      </c>
      <c r="AT170" s="30"/>
      <c r="AU170" s="30"/>
    </row>
    <row r="171" customFormat="false" ht="19.5" hidden="false" customHeight="true" outlineLevel="0" collapsed="false">
      <c r="A171" s="28" t="str">
        <f aca="false">IF($C171="","",COUNTA($C$17:$C171))</f>
        <v/>
      </c>
      <c r="B171" s="29"/>
      <c r="C171" s="30"/>
      <c r="D171" s="29"/>
      <c r="E171" s="31" t="str">
        <f aca="false">IF($C171="","",IF(NOT(OR(M171="Completed",M171="NA",M171="Cancelled")),"S1 Schematic",IF(NOT(OR(Q171="Completed",Q171="NA",Q171="Cancelled")),"S2 PCB Layout",IF(NOT(OR(U171="Completed",U171="NA",U171="Cancelled")),"S3 SI &amp; PI",IF(NOT(OR(Y171="Completed",Y171="NA",Y171="Cancelled")),"S4 Bare-PCB Fab",IF(NOT(OR(AC171="Completed",AC171="NA",AC171="Cancelled")),"S5 Assembly",IF(NOT(OR(AG171="Completed",AG171="NA",AG171="Cancelled")),"S6 Bring-up",IF(NOT(OR(AK171="Completed",AK171="NA",AK171="Cancelled")),"S7 BOM Procurement","All Stages Closed"))))))))</f>
        <v/>
      </c>
      <c r="F171" s="32" t="str">
        <f aca="false">IF($C171="","",IF(COUNTIF(M171,"Cancelled")+COUNTIF(Q171,"Cancelled")+COUNTIF(U171,"Cancelled")+COUNTIF(Y171,"Cancelled")+COUNTIF(AC171,"Cancelled")+COUNTIF(AG171,"Cancelled")+COUNTIF(AK171,"Cancelled")&gt;0,"Cancelled",IF(E171="All Stages Closed","Completed",IF(E171="S1 Schematic",M171,IF(E171="S2 PCB Layout",Q171,IF(E171="S3 SI &amp; PI",U171,IF(E171="S4 Bare-PCB Fab",Y171,IF(E171="S5 Assembly",AC171,IF(E171="S6 Bring-up",AG171,AK171)))))))))</f>
        <v/>
      </c>
      <c r="G171" s="33" t="str">
        <f aca="false">IF($C171="","",IF(E171="All Stages Closed","",IF(E171="S1 Schematic",IF(N171="","Not added",N171),IF(E171="S2 PCB Layout",IF(R171="","Not added",R171),IF(E171="S3 SI &amp; PI",IF(V171="","Not added",V171),IF(E171="S4 Bare-PCB Fab",IF(Z171="","Not added",Z171),IF(E171="S5 Assembly",IF(AD171="","Not added",AD171),IF(E171="S6 Bring-up",IF(AH171="","Not added",AH171),IF(AL171="","Not added",AL171)))))))))</f>
        <v/>
      </c>
      <c r="H171" s="32" t="str">
        <f aca="true">IF($C171="","",IF(OR(F171="Completed",F171="Cancelled"),"",IF(NOT(ISNUMBER(G171)),"No date set",IF(TODAY()&gt;G171,TODAY()-G171&amp;" days late",G171-TODAY()&amp;" days left"))))</f>
        <v/>
      </c>
      <c r="I171" s="31" t="str">
        <f aca="false">IF($C171="","",COUNTIF(M171,"Completed")+COUNTIF(Q171,"Completed")+COUNTIF(U171,"Completed")+COUNTIF(Y171,"Completed")+COUNTIF(AC171,"Completed")+COUNTIF(AG171,"Completed")+COUNTIF(AK171,"Completed"))</f>
        <v/>
      </c>
      <c r="J171" s="31" t="str">
        <f aca="false">IF($C171="","",7-(COUNTIF(M171,"NA")+COUNTIF(Q171,"NA")+COUNTIF(U171,"NA")+COUNTIF(Y171,"NA")+COUNTIF(AC171,"NA")+COUNTIF(AG171,"NA")+COUNTIF(AK171,"NA")))</f>
        <v/>
      </c>
      <c r="K171" s="34" t="str">
        <f aca="false">IFERROR(I171/J171,"")</f>
        <v/>
      </c>
      <c r="L171" s="29"/>
      <c r="M171" s="35"/>
      <c r="N171" s="36"/>
      <c r="O171" s="36"/>
      <c r="P171" s="29"/>
      <c r="Q171" s="35"/>
      <c r="R171" s="36"/>
      <c r="S171" s="36"/>
      <c r="T171" s="29"/>
      <c r="U171" s="35"/>
      <c r="V171" s="36"/>
      <c r="W171" s="36"/>
      <c r="X171" s="29"/>
      <c r="Y171" s="35"/>
      <c r="Z171" s="36"/>
      <c r="AA171" s="36"/>
      <c r="AB171" s="29"/>
      <c r="AC171" s="35"/>
      <c r="AD171" s="36"/>
      <c r="AE171" s="36"/>
      <c r="AF171" s="29"/>
      <c r="AG171" s="35"/>
      <c r="AH171" s="36"/>
      <c r="AI171" s="36"/>
      <c r="AJ171" s="29"/>
      <c r="AK171" s="35"/>
      <c r="AL171" s="36"/>
      <c r="AM171" s="36"/>
      <c r="AN171" s="29"/>
      <c r="AO171" s="29"/>
      <c r="AP171" s="29"/>
      <c r="AQ171" s="37"/>
      <c r="AR171" s="29"/>
      <c r="AS171" s="38" t="str">
        <f aca="false">IF($C171="","",IF(OR(F171="Completed",F171="Cancelled"),"",IF(AND(OR(F171="On Hold",ISNUMBER(VALUE(LEFT(H171,2)))),AR171=""),"Reason not given","")))</f>
        <v/>
      </c>
      <c r="AT171" s="30"/>
      <c r="AU171" s="30"/>
    </row>
    <row r="172" customFormat="false" ht="19.5" hidden="false" customHeight="true" outlineLevel="0" collapsed="false">
      <c r="A172" s="28" t="str">
        <f aca="false">IF($C172="","",COUNTA($C$17:$C172))</f>
        <v/>
      </c>
      <c r="B172" s="29"/>
      <c r="C172" s="30"/>
      <c r="D172" s="29"/>
      <c r="E172" s="31" t="str">
        <f aca="false">IF($C172="","",IF(NOT(OR(M172="Completed",M172="NA",M172="Cancelled")),"S1 Schematic",IF(NOT(OR(Q172="Completed",Q172="NA",Q172="Cancelled")),"S2 PCB Layout",IF(NOT(OR(U172="Completed",U172="NA",U172="Cancelled")),"S3 SI &amp; PI",IF(NOT(OR(Y172="Completed",Y172="NA",Y172="Cancelled")),"S4 Bare-PCB Fab",IF(NOT(OR(AC172="Completed",AC172="NA",AC172="Cancelled")),"S5 Assembly",IF(NOT(OR(AG172="Completed",AG172="NA",AG172="Cancelled")),"S6 Bring-up",IF(NOT(OR(AK172="Completed",AK172="NA",AK172="Cancelled")),"S7 BOM Procurement","All Stages Closed"))))))))</f>
        <v/>
      </c>
      <c r="F172" s="32" t="str">
        <f aca="false">IF($C172="","",IF(COUNTIF(M172,"Cancelled")+COUNTIF(Q172,"Cancelled")+COUNTIF(U172,"Cancelled")+COUNTIF(Y172,"Cancelled")+COUNTIF(AC172,"Cancelled")+COUNTIF(AG172,"Cancelled")+COUNTIF(AK172,"Cancelled")&gt;0,"Cancelled",IF(E172="All Stages Closed","Completed",IF(E172="S1 Schematic",M172,IF(E172="S2 PCB Layout",Q172,IF(E172="S3 SI &amp; PI",U172,IF(E172="S4 Bare-PCB Fab",Y172,IF(E172="S5 Assembly",AC172,IF(E172="S6 Bring-up",AG172,AK172)))))))))</f>
        <v/>
      </c>
      <c r="G172" s="33" t="str">
        <f aca="false">IF($C172="","",IF(E172="All Stages Closed","",IF(E172="S1 Schematic",IF(N172="","Not added",N172),IF(E172="S2 PCB Layout",IF(R172="","Not added",R172),IF(E172="S3 SI &amp; PI",IF(V172="","Not added",V172),IF(E172="S4 Bare-PCB Fab",IF(Z172="","Not added",Z172),IF(E172="S5 Assembly",IF(AD172="","Not added",AD172),IF(E172="S6 Bring-up",IF(AH172="","Not added",AH172),IF(AL172="","Not added",AL172)))))))))</f>
        <v/>
      </c>
      <c r="H172" s="32" t="str">
        <f aca="true">IF($C172="","",IF(OR(F172="Completed",F172="Cancelled"),"",IF(NOT(ISNUMBER(G172)),"No date set",IF(TODAY()&gt;G172,TODAY()-G172&amp;" days late",G172-TODAY()&amp;" days left"))))</f>
        <v/>
      </c>
      <c r="I172" s="31" t="str">
        <f aca="false">IF($C172="","",COUNTIF(M172,"Completed")+COUNTIF(Q172,"Completed")+COUNTIF(U172,"Completed")+COUNTIF(Y172,"Completed")+COUNTIF(AC172,"Completed")+COUNTIF(AG172,"Completed")+COUNTIF(AK172,"Completed"))</f>
        <v/>
      </c>
      <c r="J172" s="31" t="str">
        <f aca="false">IF($C172="","",7-(COUNTIF(M172,"NA")+COUNTIF(Q172,"NA")+COUNTIF(U172,"NA")+COUNTIF(Y172,"NA")+COUNTIF(AC172,"NA")+COUNTIF(AG172,"NA")+COUNTIF(AK172,"NA")))</f>
        <v/>
      </c>
      <c r="K172" s="34" t="str">
        <f aca="false">IFERROR(I172/J172,"")</f>
        <v/>
      </c>
      <c r="L172" s="29"/>
      <c r="M172" s="35"/>
      <c r="N172" s="36"/>
      <c r="O172" s="36"/>
      <c r="P172" s="29"/>
      <c r="Q172" s="35"/>
      <c r="R172" s="36"/>
      <c r="S172" s="36"/>
      <c r="T172" s="29"/>
      <c r="U172" s="35"/>
      <c r="V172" s="36"/>
      <c r="W172" s="36"/>
      <c r="X172" s="29"/>
      <c r="Y172" s="35"/>
      <c r="Z172" s="36"/>
      <c r="AA172" s="36"/>
      <c r="AB172" s="29"/>
      <c r="AC172" s="35"/>
      <c r="AD172" s="36"/>
      <c r="AE172" s="36"/>
      <c r="AF172" s="29"/>
      <c r="AG172" s="35"/>
      <c r="AH172" s="36"/>
      <c r="AI172" s="36"/>
      <c r="AJ172" s="29"/>
      <c r="AK172" s="35"/>
      <c r="AL172" s="36"/>
      <c r="AM172" s="36"/>
      <c r="AN172" s="29"/>
      <c r="AO172" s="29"/>
      <c r="AP172" s="29"/>
      <c r="AQ172" s="37"/>
      <c r="AR172" s="29"/>
      <c r="AS172" s="38" t="str">
        <f aca="false">IF($C172="","",IF(OR(F172="Completed",F172="Cancelled"),"",IF(AND(OR(F172="On Hold",ISNUMBER(VALUE(LEFT(H172,2)))),AR172=""),"Reason not given","")))</f>
        <v/>
      </c>
      <c r="AT172" s="30"/>
      <c r="AU172" s="30"/>
    </row>
    <row r="173" customFormat="false" ht="19.5" hidden="false" customHeight="true" outlineLevel="0" collapsed="false">
      <c r="A173" s="28" t="str">
        <f aca="false">IF($C173="","",COUNTA($C$17:$C173))</f>
        <v/>
      </c>
      <c r="B173" s="29"/>
      <c r="C173" s="30"/>
      <c r="D173" s="29"/>
      <c r="E173" s="31" t="str">
        <f aca="false">IF($C173="","",IF(NOT(OR(M173="Completed",M173="NA",M173="Cancelled")),"S1 Schematic",IF(NOT(OR(Q173="Completed",Q173="NA",Q173="Cancelled")),"S2 PCB Layout",IF(NOT(OR(U173="Completed",U173="NA",U173="Cancelled")),"S3 SI &amp; PI",IF(NOT(OR(Y173="Completed",Y173="NA",Y173="Cancelled")),"S4 Bare-PCB Fab",IF(NOT(OR(AC173="Completed",AC173="NA",AC173="Cancelled")),"S5 Assembly",IF(NOT(OR(AG173="Completed",AG173="NA",AG173="Cancelled")),"S6 Bring-up",IF(NOT(OR(AK173="Completed",AK173="NA",AK173="Cancelled")),"S7 BOM Procurement","All Stages Closed"))))))))</f>
        <v/>
      </c>
      <c r="F173" s="32" t="str">
        <f aca="false">IF($C173="","",IF(COUNTIF(M173,"Cancelled")+COUNTIF(Q173,"Cancelled")+COUNTIF(U173,"Cancelled")+COUNTIF(Y173,"Cancelled")+COUNTIF(AC173,"Cancelled")+COUNTIF(AG173,"Cancelled")+COUNTIF(AK173,"Cancelled")&gt;0,"Cancelled",IF(E173="All Stages Closed","Completed",IF(E173="S1 Schematic",M173,IF(E173="S2 PCB Layout",Q173,IF(E173="S3 SI &amp; PI",U173,IF(E173="S4 Bare-PCB Fab",Y173,IF(E173="S5 Assembly",AC173,IF(E173="S6 Bring-up",AG173,AK173)))))))))</f>
        <v/>
      </c>
      <c r="G173" s="33" t="str">
        <f aca="false">IF($C173="","",IF(E173="All Stages Closed","",IF(E173="S1 Schematic",IF(N173="","Not added",N173),IF(E173="S2 PCB Layout",IF(R173="","Not added",R173),IF(E173="S3 SI &amp; PI",IF(V173="","Not added",V173),IF(E173="S4 Bare-PCB Fab",IF(Z173="","Not added",Z173),IF(E173="S5 Assembly",IF(AD173="","Not added",AD173),IF(E173="S6 Bring-up",IF(AH173="","Not added",AH173),IF(AL173="","Not added",AL173)))))))))</f>
        <v/>
      </c>
      <c r="H173" s="32" t="str">
        <f aca="true">IF($C173="","",IF(OR(F173="Completed",F173="Cancelled"),"",IF(NOT(ISNUMBER(G173)),"No date set",IF(TODAY()&gt;G173,TODAY()-G173&amp;" days late",G173-TODAY()&amp;" days left"))))</f>
        <v/>
      </c>
      <c r="I173" s="31" t="str">
        <f aca="false">IF($C173="","",COUNTIF(M173,"Completed")+COUNTIF(Q173,"Completed")+COUNTIF(U173,"Completed")+COUNTIF(Y173,"Completed")+COUNTIF(AC173,"Completed")+COUNTIF(AG173,"Completed")+COUNTIF(AK173,"Completed"))</f>
        <v/>
      </c>
      <c r="J173" s="31" t="str">
        <f aca="false">IF($C173="","",7-(COUNTIF(M173,"NA")+COUNTIF(Q173,"NA")+COUNTIF(U173,"NA")+COUNTIF(Y173,"NA")+COUNTIF(AC173,"NA")+COUNTIF(AG173,"NA")+COUNTIF(AK173,"NA")))</f>
        <v/>
      </c>
      <c r="K173" s="34" t="str">
        <f aca="false">IFERROR(I173/J173,"")</f>
        <v/>
      </c>
      <c r="L173" s="29"/>
      <c r="M173" s="35"/>
      <c r="N173" s="36"/>
      <c r="O173" s="36"/>
      <c r="P173" s="29"/>
      <c r="Q173" s="35"/>
      <c r="R173" s="36"/>
      <c r="S173" s="36"/>
      <c r="T173" s="29"/>
      <c r="U173" s="35"/>
      <c r="V173" s="36"/>
      <c r="W173" s="36"/>
      <c r="X173" s="29"/>
      <c r="Y173" s="35"/>
      <c r="Z173" s="36"/>
      <c r="AA173" s="36"/>
      <c r="AB173" s="29"/>
      <c r="AC173" s="35"/>
      <c r="AD173" s="36"/>
      <c r="AE173" s="36"/>
      <c r="AF173" s="29"/>
      <c r="AG173" s="35"/>
      <c r="AH173" s="36"/>
      <c r="AI173" s="36"/>
      <c r="AJ173" s="29"/>
      <c r="AK173" s="35"/>
      <c r="AL173" s="36"/>
      <c r="AM173" s="36"/>
      <c r="AN173" s="29"/>
      <c r="AO173" s="29"/>
      <c r="AP173" s="29"/>
      <c r="AQ173" s="37"/>
      <c r="AR173" s="29"/>
      <c r="AS173" s="38" t="str">
        <f aca="false">IF($C173="","",IF(OR(F173="Completed",F173="Cancelled"),"",IF(AND(OR(F173="On Hold",ISNUMBER(VALUE(LEFT(H173,2)))),AR173=""),"Reason not given","")))</f>
        <v/>
      </c>
      <c r="AT173" s="30"/>
      <c r="AU173" s="30"/>
    </row>
    <row r="174" customFormat="false" ht="19.5" hidden="false" customHeight="true" outlineLevel="0" collapsed="false">
      <c r="A174" s="28" t="str">
        <f aca="false">IF($C174="","",COUNTA($C$17:$C174))</f>
        <v/>
      </c>
      <c r="B174" s="29"/>
      <c r="C174" s="30"/>
      <c r="D174" s="29"/>
      <c r="E174" s="31" t="str">
        <f aca="false">IF($C174="","",IF(NOT(OR(M174="Completed",M174="NA",M174="Cancelled")),"S1 Schematic",IF(NOT(OR(Q174="Completed",Q174="NA",Q174="Cancelled")),"S2 PCB Layout",IF(NOT(OR(U174="Completed",U174="NA",U174="Cancelled")),"S3 SI &amp; PI",IF(NOT(OR(Y174="Completed",Y174="NA",Y174="Cancelled")),"S4 Bare-PCB Fab",IF(NOT(OR(AC174="Completed",AC174="NA",AC174="Cancelled")),"S5 Assembly",IF(NOT(OR(AG174="Completed",AG174="NA",AG174="Cancelled")),"S6 Bring-up",IF(NOT(OR(AK174="Completed",AK174="NA",AK174="Cancelled")),"S7 BOM Procurement","All Stages Closed"))))))))</f>
        <v/>
      </c>
      <c r="F174" s="32" t="str">
        <f aca="false">IF($C174="","",IF(COUNTIF(M174,"Cancelled")+COUNTIF(Q174,"Cancelled")+COUNTIF(U174,"Cancelled")+COUNTIF(Y174,"Cancelled")+COUNTIF(AC174,"Cancelled")+COUNTIF(AG174,"Cancelled")+COUNTIF(AK174,"Cancelled")&gt;0,"Cancelled",IF(E174="All Stages Closed","Completed",IF(E174="S1 Schematic",M174,IF(E174="S2 PCB Layout",Q174,IF(E174="S3 SI &amp; PI",U174,IF(E174="S4 Bare-PCB Fab",Y174,IF(E174="S5 Assembly",AC174,IF(E174="S6 Bring-up",AG174,AK174)))))))))</f>
        <v/>
      </c>
      <c r="G174" s="33" t="str">
        <f aca="false">IF($C174="","",IF(E174="All Stages Closed","",IF(E174="S1 Schematic",IF(N174="","Not added",N174),IF(E174="S2 PCB Layout",IF(R174="","Not added",R174),IF(E174="S3 SI &amp; PI",IF(V174="","Not added",V174),IF(E174="S4 Bare-PCB Fab",IF(Z174="","Not added",Z174),IF(E174="S5 Assembly",IF(AD174="","Not added",AD174),IF(E174="S6 Bring-up",IF(AH174="","Not added",AH174),IF(AL174="","Not added",AL174)))))))))</f>
        <v/>
      </c>
      <c r="H174" s="32" t="str">
        <f aca="true">IF($C174="","",IF(OR(F174="Completed",F174="Cancelled"),"",IF(NOT(ISNUMBER(G174)),"No date set",IF(TODAY()&gt;G174,TODAY()-G174&amp;" days late",G174-TODAY()&amp;" days left"))))</f>
        <v/>
      </c>
      <c r="I174" s="31" t="str">
        <f aca="false">IF($C174="","",COUNTIF(M174,"Completed")+COUNTIF(Q174,"Completed")+COUNTIF(U174,"Completed")+COUNTIF(Y174,"Completed")+COUNTIF(AC174,"Completed")+COUNTIF(AG174,"Completed")+COUNTIF(AK174,"Completed"))</f>
        <v/>
      </c>
      <c r="J174" s="31" t="str">
        <f aca="false">IF($C174="","",7-(COUNTIF(M174,"NA")+COUNTIF(Q174,"NA")+COUNTIF(U174,"NA")+COUNTIF(Y174,"NA")+COUNTIF(AC174,"NA")+COUNTIF(AG174,"NA")+COUNTIF(AK174,"NA")))</f>
        <v/>
      </c>
      <c r="K174" s="34" t="str">
        <f aca="false">IFERROR(I174/J174,"")</f>
        <v/>
      </c>
      <c r="L174" s="29"/>
      <c r="M174" s="35"/>
      <c r="N174" s="36"/>
      <c r="O174" s="36"/>
      <c r="P174" s="29"/>
      <c r="Q174" s="35"/>
      <c r="R174" s="36"/>
      <c r="S174" s="36"/>
      <c r="T174" s="29"/>
      <c r="U174" s="35"/>
      <c r="V174" s="36"/>
      <c r="W174" s="36"/>
      <c r="X174" s="29"/>
      <c r="Y174" s="35"/>
      <c r="Z174" s="36"/>
      <c r="AA174" s="36"/>
      <c r="AB174" s="29"/>
      <c r="AC174" s="35"/>
      <c r="AD174" s="36"/>
      <c r="AE174" s="36"/>
      <c r="AF174" s="29"/>
      <c r="AG174" s="35"/>
      <c r="AH174" s="36"/>
      <c r="AI174" s="36"/>
      <c r="AJ174" s="29"/>
      <c r="AK174" s="35"/>
      <c r="AL174" s="36"/>
      <c r="AM174" s="36"/>
      <c r="AN174" s="29"/>
      <c r="AO174" s="29"/>
      <c r="AP174" s="29"/>
      <c r="AQ174" s="37"/>
      <c r="AR174" s="29"/>
      <c r="AS174" s="38" t="str">
        <f aca="false">IF($C174="","",IF(OR(F174="Completed",F174="Cancelled"),"",IF(AND(OR(F174="On Hold",ISNUMBER(VALUE(LEFT(H174,2)))),AR174=""),"Reason not given","")))</f>
        <v/>
      </c>
      <c r="AT174" s="30"/>
      <c r="AU174" s="30"/>
    </row>
    <row r="175" customFormat="false" ht="19.5" hidden="false" customHeight="true" outlineLevel="0" collapsed="false">
      <c r="A175" s="28" t="str">
        <f aca="false">IF($C175="","",COUNTA($C$17:$C175))</f>
        <v/>
      </c>
      <c r="B175" s="29"/>
      <c r="C175" s="30"/>
      <c r="D175" s="29"/>
      <c r="E175" s="31" t="str">
        <f aca="false">IF($C175="","",IF(NOT(OR(M175="Completed",M175="NA",M175="Cancelled")),"S1 Schematic",IF(NOT(OR(Q175="Completed",Q175="NA",Q175="Cancelled")),"S2 PCB Layout",IF(NOT(OR(U175="Completed",U175="NA",U175="Cancelled")),"S3 SI &amp; PI",IF(NOT(OR(Y175="Completed",Y175="NA",Y175="Cancelled")),"S4 Bare-PCB Fab",IF(NOT(OR(AC175="Completed",AC175="NA",AC175="Cancelled")),"S5 Assembly",IF(NOT(OR(AG175="Completed",AG175="NA",AG175="Cancelled")),"S6 Bring-up",IF(NOT(OR(AK175="Completed",AK175="NA",AK175="Cancelled")),"S7 BOM Procurement","All Stages Closed"))))))))</f>
        <v/>
      </c>
      <c r="F175" s="32" t="str">
        <f aca="false">IF($C175="","",IF(COUNTIF(M175,"Cancelled")+COUNTIF(Q175,"Cancelled")+COUNTIF(U175,"Cancelled")+COUNTIF(Y175,"Cancelled")+COUNTIF(AC175,"Cancelled")+COUNTIF(AG175,"Cancelled")+COUNTIF(AK175,"Cancelled")&gt;0,"Cancelled",IF(E175="All Stages Closed","Completed",IF(E175="S1 Schematic",M175,IF(E175="S2 PCB Layout",Q175,IF(E175="S3 SI &amp; PI",U175,IF(E175="S4 Bare-PCB Fab",Y175,IF(E175="S5 Assembly",AC175,IF(E175="S6 Bring-up",AG175,AK175)))))))))</f>
        <v/>
      </c>
      <c r="G175" s="33" t="str">
        <f aca="false">IF($C175="","",IF(E175="All Stages Closed","",IF(E175="S1 Schematic",IF(N175="","Not added",N175),IF(E175="S2 PCB Layout",IF(R175="","Not added",R175),IF(E175="S3 SI &amp; PI",IF(V175="","Not added",V175),IF(E175="S4 Bare-PCB Fab",IF(Z175="","Not added",Z175),IF(E175="S5 Assembly",IF(AD175="","Not added",AD175),IF(E175="S6 Bring-up",IF(AH175="","Not added",AH175),IF(AL175="","Not added",AL175)))))))))</f>
        <v/>
      </c>
      <c r="H175" s="32" t="str">
        <f aca="true">IF($C175="","",IF(OR(F175="Completed",F175="Cancelled"),"",IF(NOT(ISNUMBER(G175)),"No date set",IF(TODAY()&gt;G175,TODAY()-G175&amp;" days late",G175-TODAY()&amp;" days left"))))</f>
        <v/>
      </c>
      <c r="I175" s="31" t="str">
        <f aca="false">IF($C175="","",COUNTIF(M175,"Completed")+COUNTIF(Q175,"Completed")+COUNTIF(U175,"Completed")+COUNTIF(Y175,"Completed")+COUNTIF(AC175,"Completed")+COUNTIF(AG175,"Completed")+COUNTIF(AK175,"Completed"))</f>
        <v/>
      </c>
      <c r="J175" s="31" t="str">
        <f aca="false">IF($C175="","",7-(COUNTIF(M175,"NA")+COUNTIF(Q175,"NA")+COUNTIF(U175,"NA")+COUNTIF(Y175,"NA")+COUNTIF(AC175,"NA")+COUNTIF(AG175,"NA")+COUNTIF(AK175,"NA")))</f>
        <v/>
      </c>
      <c r="K175" s="34" t="str">
        <f aca="false">IFERROR(I175/J175,"")</f>
        <v/>
      </c>
      <c r="L175" s="29"/>
      <c r="M175" s="35"/>
      <c r="N175" s="36"/>
      <c r="O175" s="36"/>
      <c r="P175" s="29"/>
      <c r="Q175" s="35"/>
      <c r="R175" s="36"/>
      <c r="S175" s="36"/>
      <c r="T175" s="29"/>
      <c r="U175" s="35"/>
      <c r="V175" s="36"/>
      <c r="W175" s="36"/>
      <c r="X175" s="29"/>
      <c r="Y175" s="35"/>
      <c r="Z175" s="36"/>
      <c r="AA175" s="36"/>
      <c r="AB175" s="29"/>
      <c r="AC175" s="35"/>
      <c r="AD175" s="36"/>
      <c r="AE175" s="36"/>
      <c r="AF175" s="29"/>
      <c r="AG175" s="35"/>
      <c r="AH175" s="36"/>
      <c r="AI175" s="36"/>
      <c r="AJ175" s="29"/>
      <c r="AK175" s="35"/>
      <c r="AL175" s="36"/>
      <c r="AM175" s="36"/>
      <c r="AN175" s="29"/>
      <c r="AO175" s="29"/>
      <c r="AP175" s="29"/>
      <c r="AQ175" s="37"/>
      <c r="AR175" s="29"/>
      <c r="AS175" s="38" t="str">
        <f aca="false">IF($C175="","",IF(OR(F175="Completed",F175="Cancelled"),"",IF(AND(OR(F175="On Hold",ISNUMBER(VALUE(LEFT(H175,2)))),AR175=""),"Reason not given","")))</f>
        <v/>
      </c>
      <c r="AT175" s="30"/>
      <c r="AU175" s="30"/>
    </row>
    <row r="176" customFormat="false" ht="19.5" hidden="false" customHeight="true" outlineLevel="0" collapsed="false">
      <c r="A176" s="28" t="str">
        <f aca="false">IF($C176="","",COUNTA($C$17:$C176))</f>
        <v/>
      </c>
      <c r="B176" s="29"/>
      <c r="C176" s="30"/>
      <c r="D176" s="29"/>
      <c r="E176" s="31" t="str">
        <f aca="false">IF($C176="","",IF(NOT(OR(M176="Completed",M176="NA",M176="Cancelled")),"S1 Schematic",IF(NOT(OR(Q176="Completed",Q176="NA",Q176="Cancelled")),"S2 PCB Layout",IF(NOT(OR(U176="Completed",U176="NA",U176="Cancelled")),"S3 SI &amp; PI",IF(NOT(OR(Y176="Completed",Y176="NA",Y176="Cancelled")),"S4 Bare-PCB Fab",IF(NOT(OR(AC176="Completed",AC176="NA",AC176="Cancelled")),"S5 Assembly",IF(NOT(OR(AG176="Completed",AG176="NA",AG176="Cancelled")),"S6 Bring-up",IF(NOT(OR(AK176="Completed",AK176="NA",AK176="Cancelled")),"S7 BOM Procurement","All Stages Closed"))))))))</f>
        <v/>
      </c>
      <c r="F176" s="32" t="str">
        <f aca="false">IF($C176="","",IF(COUNTIF(M176,"Cancelled")+COUNTIF(Q176,"Cancelled")+COUNTIF(U176,"Cancelled")+COUNTIF(Y176,"Cancelled")+COUNTIF(AC176,"Cancelled")+COUNTIF(AG176,"Cancelled")+COUNTIF(AK176,"Cancelled")&gt;0,"Cancelled",IF(E176="All Stages Closed","Completed",IF(E176="S1 Schematic",M176,IF(E176="S2 PCB Layout",Q176,IF(E176="S3 SI &amp; PI",U176,IF(E176="S4 Bare-PCB Fab",Y176,IF(E176="S5 Assembly",AC176,IF(E176="S6 Bring-up",AG176,AK176)))))))))</f>
        <v/>
      </c>
      <c r="G176" s="33" t="str">
        <f aca="false">IF($C176="","",IF(E176="All Stages Closed","",IF(E176="S1 Schematic",IF(N176="","Not added",N176),IF(E176="S2 PCB Layout",IF(R176="","Not added",R176),IF(E176="S3 SI &amp; PI",IF(V176="","Not added",V176),IF(E176="S4 Bare-PCB Fab",IF(Z176="","Not added",Z176),IF(E176="S5 Assembly",IF(AD176="","Not added",AD176),IF(E176="S6 Bring-up",IF(AH176="","Not added",AH176),IF(AL176="","Not added",AL176)))))))))</f>
        <v/>
      </c>
      <c r="H176" s="32" t="str">
        <f aca="true">IF($C176="","",IF(OR(F176="Completed",F176="Cancelled"),"",IF(NOT(ISNUMBER(G176)),"No date set",IF(TODAY()&gt;G176,TODAY()-G176&amp;" days late",G176-TODAY()&amp;" days left"))))</f>
        <v/>
      </c>
      <c r="I176" s="31" t="str">
        <f aca="false">IF($C176="","",COUNTIF(M176,"Completed")+COUNTIF(Q176,"Completed")+COUNTIF(U176,"Completed")+COUNTIF(Y176,"Completed")+COUNTIF(AC176,"Completed")+COUNTIF(AG176,"Completed")+COUNTIF(AK176,"Completed"))</f>
        <v/>
      </c>
      <c r="J176" s="31" t="str">
        <f aca="false">IF($C176="","",7-(COUNTIF(M176,"NA")+COUNTIF(Q176,"NA")+COUNTIF(U176,"NA")+COUNTIF(Y176,"NA")+COUNTIF(AC176,"NA")+COUNTIF(AG176,"NA")+COUNTIF(AK176,"NA")))</f>
        <v/>
      </c>
      <c r="K176" s="34" t="str">
        <f aca="false">IFERROR(I176/J176,"")</f>
        <v/>
      </c>
      <c r="L176" s="29"/>
      <c r="M176" s="35"/>
      <c r="N176" s="36"/>
      <c r="O176" s="36"/>
      <c r="P176" s="29"/>
      <c r="Q176" s="35"/>
      <c r="R176" s="36"/>
      <c r="S176" s="36"/>
      <c r="T176" s="29"/>
      <c r="U176" s="35"/>
      <c r="V176" s="36"/>
      <c r="W176" s="36"/>
      <c r="X176" s="29"/>
      <c r="Y176" s="35"/>
      <c r="Z176" s="36"/>
      <c r="AA176" s="36"/>
      <c r="AB176" s="29"/>
      <c r="AC176" s="35"/>
      <c r="AD176" s="36"/>
      <c r="AE176" s="36"/>
      <c r="AF176" s="29"/>
      <c r="AG176" s="35"/>
      <c r="AH176" s="36"/>
      <c r="AI176" s="36"/>
      <c r="AJ176" s="29"/>
      <c r="AK176" s="35"/>
      <c r="AL176" s="36"/>
      <c r="AM176" s="36"/>
      <c r="AN176" s="29"/>
      <c r="AO176" s="29"/>
      <c r="AP176" s="29"/>
      <c r="AQ176" s="37"/>
      <c r="AR176" s="29"/>
      <c r="AS176" s="38" t="str">
        <f aca="false">IF($C176="","",IF(OR(F176="Completed",F176="Cancelled"),"",IF(AND(OR(F176="On Hold",ISNUMBER(VALUE(LEFT(H176,2)))),AR176=""),"Reason not given","")))</f>
        <v/>
      </c>
      <c r="AT176" s="30"/>
      <c r="AU176" s="30"/>
    </row>
    <row r="177" customFormat="false" ht="19.5" hidden="false" customHeight="true" outlineLevel="0" collapsed="false">
      <c r="A177" s="28" t="str">
        <f aca="false">IF($C177="","",COUNTA($C$17:$C177))</f>
        <v/>
      </c>
      <c r="B177" s="29"/>
      <c r="C177" s="30"/>
      <c r="D177" s="29"/>
      <c r="E177" s="31" t="str">
        <f aca="false">IF($C177="","",IF(NOT(OR(M177="Completed",M177="NA",M177="Cancelled")),"S1 Schematic",IF(NOT(OR(Q177="Completed",Q177="NA",Q177="Cancelled")),"S2 PCB Layout",IF(NOT(OR(U177="Completed",U177="NA",U177="Cancelled")),"S3 SI &amp; PI",IF(NOT(OR(Y177="Completed",Y177="NA",Y177="Cancelled")),"S4 Bare-PCB Fab",IF(NOT(OR(AC177="Completed",AC177="NA",AC177="Cancelled")),"S5 Assembly",IF(NOT(OR(AG177="Completed",AG177="NA",AG177="Cancelled")),"S6 Bring-up",IF(NOT(OR(AK177="Completed",AK177="NA",AK177="Cancelled")),"S7 BOM Procurement","All Stages Closed"))))))))</f>
        <v/>
      </c>
      <c r="F177" s="32" t="str">
        <f aca="false">IF($C177="","",IF(COUNTIF(M177,"Cancelled")+COUNTIF(Q177,"Cancelled")+COUNTIF(U177,"Cancelled")+COUNTIF(Y177,"Cancelled")+COUNTIF(AC177,"Cancelled")+COUNTIF(AG177,"Cancelled")+COUNTIF(AK177,"Cancelled")&gt;0,"Cancelled",IF(E177="All Stages Closed","Completed",IF(E177="S1 Schematic",M177,IF(E177="S2 PCB Layout",Q177,IF(E177="S3 SI &amp; PI",U177,IF(E177="S4 Bare-PCB Fab",Y177,IF(E177="S5 Assembly",AC177,IF(E177="S6 Bring-up",AG177,AK177)))))))))</f>
        <v/>
      </c>
      <c r="G177" s="33" t="str">
        <f aca="false">IF($C177="","",IF(E177="All Stages Closed","",IF(E177="S1 Schematic",IF(N177="","Not added",N177),IF(E177="S2 PCB Layout",IF(R177="","Not added",R177),IF(E177="S3 SI &amp; PI",IF(V177="","Not added",V177),IF(E177="S4 Bare-PCB Fab",IF(Z177="","Not added",Z177),IF(E177="S5 Assembly",IF(AD177="","Not added",AD177),IF(E177="S6 Bring-up",IF(AH177="","Not added",AH177),IF(AL177="","Not added",AL177)))))))))</f>
        <v/>
      </c>
      <c r="H177" s="32" t="str">
        <f aca="true">IF($C177="","",IF(OR(F177="Completed",F177="Cancelled"),"",IF(NOT(ISNUMBER(G177)),"No date set",IF(TODAY()&gt;G177,TODAY()-G177&amp;" days late",G177-TODAY()&amp;" days left"))))</f>
        <v/>
      </c>
      <c r="I177" s="31" t="str">
        <f aca="false">IF($C177="","",COUNTIF(M177,"Completed")+COUNTIF(Q177,"Completed")+COUNTIF(U177,"Completed")+COUNTIF(Y177,"Completed")+COUNTIF(AC177,"Completed")+COUNTIF(AG177,"Completed")+COUNTIF(AK177,"Completed"))</f>
        <v/>
      </c>
      <c r="J177" s="31" t="str">
        <f aca="false">IF($C177="","",7-(COUNTIF(M177,"NA")+COUNTIF(Q177,"NA")+COUNTIF(U177,"NA")+COUNTIF(Y177,"NA")+COUNTIF(AC177,"NA")+COUNTIF(AG177,"NA")+COUNTIF(AK177,"NA")))</f>
        <v/>
      </c>
      <c r="K177" s="34" t="str">
        <f aca="false">IFERROR(I177/J177,"")</f>
        <v/>
      </c>
      <c r="L177" s="29"/>
      <c r="M177" s="35"/>
      <c r="N177" s="36"/>
      <c r="O177" s="36"/>
      <c r="P177" s="29"/>
      <c r="Q177" s="35"/>
      <c r="R177" s="36"/>
      <c r="S177" s="36"/>
      <c r="T177" s="29"/>
      <c r="U177" s="35"/>
      <c r="V177" s="36"/>
      <c r="W177" s="36"/>
      <c r="X177" s="29"/>
      <c r="Y177" s="35"/>
      <c r="Z177" s="36"/>
      <c r="AA177" s="36"/>
      <c r="AB177" s="29"/>
      <c r="AC177" s="35"/>
      <c r="AD177" s="36"/>
      <c r="AE177" s="36"/>
      <c r="AF177" s="29"/>
      <c r="AG177" s="35"/>
      <c r="AH177" s="36"/>
      <c r="AI177" s="36"/>
      <c r="AJ177" s="29"/>
      <c r="AK177" s="35"/>
      <c r="AL177" s="36"/>
      <c r="AM177" s="36"/>
      <c r="AN177" s="29"/>
      <c r="AO177" s="29"/>
      <c r="AP177" s="29"/>
      <c r="AQ177" s="37"/>
      <c r="AR177" s="29"/>
      <c r="AS177" s="38" t="str">
        <f aca="false">IF($C177="","",IF(OR(F177="Completed",F177="Cancelled"),"",IF(AND(OR(F177="On Hold",ISNUMBER(VALUE(LEFT(H177,2)))),AR177=""),"Reason not given","")))</f>
        <v/>
      </c>
      <c r="AT177" s="30"/>
      <c r="AU177" s="30"/>
    </row>
    <row r="178" customFormat="false" ht="19.5" hidden="false" customHeight="true" outlineLevel="0" collapsed="false">
      <c r="A178" s="28" t="str">
        <f aca="false">IF($C178="","",COUNTA($C$17:$C178))</f>
        <v/>
      </c>
      <c r="B178" s="29"/>
      <c r="C178" s="30"/>
      <c r="D178" s="29"/>
      <c r="E178" s="31" t="str">
        <f aca="false">IF($C178="","",IF(NOT(OR(M178="Completed",M178="NA",M178="Cancelled")),"S1 Schematic",IF(NOT(OR(Q178="Completed",Q178="NA",Q178="Cancelled")),"S2 PCB Layout",IF(NOT(OR(U178="Completed",U178="NA",U178="Cancelled")),"S3 SI &amp; PI",IF(NOT(OR(Y178="Completed",Y178="NA",Y178="Cancelled")),"S4 Bare-PCB Fab",IF(NOT(OR(AC178="Completed",AC178="NA",AC178="Cancelled")),"S5 Assembly",IF(NOT(OR(AG178="Completed",AG178="NA",AG178="Cancelled")),"S6 Bring-up",IF(NOT(OR(AK178="Completed",AK178="NA",AK178="Cancelled")),"S7 BOM Procurement","All Stages Closed"))))))))</f>
        <v/>
      </c>
      <c r="F178" s="32" t="str">
        <f aca="false">IF($C178="","",IF(COUNTIF(M178,"Cancelled")+COUNTIF(Q178,"Cancelled")+COUNTIF(U178,"Cancelled")+COUNTIF(Y178,"Cancelled")+COUNTIF(AC178,"Cancelled")+COUNTIF(AG178,"Cancelled")+COUNTIF(AK178,"Cancelled")&gt;0,"Cancelled",IF(E178="All Stages Closed","Completed",IF(E178="S1 Schematic",M178,IF(E178="S2 PCB Layout",Q178,IF(E178="S3 SI &amp; PI",U178,IF(E178="S4 Bare-PCB Fab",Y178,IF(E178="S5 Assembly",AC178,IF(E178="S6 Bring-up",AG178,AK178)))))))))</f>
        <v/>
      </c>
      <c r="G178" s="33" t="str">
        <f aca="false">IF($C178="","",IF(E178="All Stages Closed","",IF(E178="S1 Schematic",IF(N178="","Not added",N178),IF(E178="S2 PCB Layout",IF(R178="","Not added",R178),IF(E178="S3 SI &amp; PI",IF(V178="","Not added",V178),IF(E178="S4 Bare-PCB Fab",IF(Z178="","Not added",Z178),IF(E178="S5 Assembly",IF(AD178="","Not added",AD178),IF(E178="S6 Bring-up",IF(AH178="","Not added",AH178),IF(AL178="","Not added",AL178)))))))))</f>
        <v/>
      </c>
      <c r="H178" s="32" t="str">
        <f aca="true">IF($C178="","",IF(OR(F178="Completed",F178="Cancelled"),"",IF(NOT(ISNUMBER(G178)),"No date set",IF(TODAY()&gt;G178,TODAY()-G178&amp;" days late",G178-TODAY()&amp;" days left"))))</f>
        <v/>
      </c>
      <c r="I178" s="31" t="str">
        <f aca="false">IF($C178="","",COUNTIF(M178,"Completed")+COUNTIF(Q178,"Completed")+COUNTIF(U178,"Completed")+COUNTIF(Y178,"Completed")+COUNTIF(AC178,"Completed")+COUNTIF(AG178,"Completed")+COUNTIF(AK178,"Completed"))</f>
        <v/>
      </c>
      <c r="J178" s="31" t="str">
        <f aca="false">IF($C178="","",7-(COUNTIF(M178,"NA")+COUNTIF(Q178,"NA")+COUNTIF(U178,"NA")+COUNTIF(Y178,"NA")+COUNTIF(AC178,"NA")+COUNTIF(AG178,"NA")+COUNTIF(AK178,"NA")))</f>
        <v/>
      </c>
      <c r="K178" s="34" t="str">
        <f aca="false">IFERROR(I178/J178,"")</f>
        <v/>
      </c>
      <c r="L178" s="29"/>
      <c r="M178" s="35"/>
      <c r="N178" s="36"/>
      <c r="O178" s="36"/>
      <c r="P178" s="29"/>
      <c r="Q178" s="35"/>
      <c r="R178" s="36"/>
      <c r="S178" s="36"/>
      <c r="T178" s="29"/>
      <c r="U178" s="35"/>
      <c r="V178" s="36"/>
      <c r="W178" s="36"/>
      <c r="X178" s="29"/>
      <c r="Y178" s="35"/>
      <c r="Z178" s="36"/>
      <c r="AA178" s="36"/>
      <c r="AB178" s="29"/>
      <c r="AC178" s="35"/>
      <c r="AD178" s="36"/>
      <c r="AE178" s="36"/>
      <c r="AF178" s="29"/>
      <c r="AG178" s="35"/>
      <c r="AH178" s="36"/>
      <c r="AI178" s="36"/>
      <c r="AJ178" s="29"/>
      <c r="AK178" s="35"/>
      <c r="AL178" s="36"/>
      <c r="AM178" s="36"/>
      <c r="AN178" s="29"/>
      <c r="AO178" s="29"/>
      <c r="AP178" s="29"/>
      <c r="AQ178" s="37"/>
      <c r="AR178" s="29"/>
      <c r="AS178" s="38" t="str">
        <f aca="false">IF($C178="","",IF(OR(F178="Completed",F178="Cancelled"),"",IF(AND(OR(F178="On Hold",ISNUMBER(VALUE(LEFT(H178,2)))),AR178=""),"Reason not given","")))</f>
        <v/>
      </c>
      <c r="AT178" s="30"/>
      <c r="AU178" s="30"/>
    </row>
    <row r="179" customFormat="false" ht="19.5" hidden="false" customHeight="true" outlineLevel="0" collapsed="false">
      <c r="A179" s="28" t="str">
        <f aca="false">IF($C179="","",COUNTA($C$17:$C179))</f>
        <v/>
      </c>
      <c r="B179" s="29"/>
      <c r="C179" s="30"/>
      <c r="D179" s="29"/>
      <c r="E179" s="31" t="str">
        <f aca="false">IF($C179="","",IF(NOT(OR(M179="Completed",M179="NA",M179="Cancelled")),"S1 Schematic",IF(NOT(OR(Q179="Completed",Q179="NA",Q179="Cancelled")),"S2 PCB Layout",IF(NOT(OR(U179="Completed",U179="NA",U179="Cancelled")),"S3 SI &amp; PI",IF(NOT(OR(Y179="Completed",Y179="NA",Y179="Cancelled")),"S4 Bare-PCB Fab",IF(NOT(OR(AC179="Completed",AC179="NA",AC179="Cancelled")),"S5 Assembly",IF(NOT(OR(AG179="Completed",AG179="NA",AG179="Cancelled")),"S6 Bring-up",IF(NOT(OR(AK179="Completed",AK179="NA",AK179="Cancelled")),"S7 BOM Procurement","All Stages Closed"))))))))</f>
        <v/>
      </c>
      <c r="F179" s="32" t="str">
        <f aca="false">IF($C179="","",IF(COUNTIF(M179,"Cancelled")+COUNTIF(Q179,"Cancelled")+COUNTIF(U179,"Cancelled")+COUNTIF(Y179,"Cancelled")+COUNTIF(AC179,"Cancelled")+COUNTIF(AG179,"Cancelled")+COUNTIF(AK179,"Cancelled")&gt;0,"Cancelled",IF(E179="All Stages Closed","Completed",IF(E179="S1 Schematic",M179,IF(E179="S2 PCB Layout",Q179,IF(E179="S3 SI &amp; PI",U179,IF(E179="S4 Bare-PCB Fab",Y179,IF(E179="S5 Assembly",AC179,IF(E179="S6 Bring-up",AG179,AK179)))))))))</f>
        <v/>
      </c>
      <c r="G179" s="33" t="str">
        <f aca="false">IF($C179="","",IF(E179="All Stages Closed","",IF(E179="S1 Schematic",IF(N179="","Not added",N179),IF(E179="S2 PCB Layout",IF(R179="","Not added",R179),IF(E179="S3 SI &amp; PI",IF(V179="","Not added",V179),IF(E179="S4 Bare-PCB Fab",IF(Z179="","Not added",Z179),IF(E179="S5 Assembly",IF(AD179="","Not added",AD179),IF(E179="S6 Bring-up",IF(AH179="","Not added",AH179),IF(AL179="","Not added",AL179)))))))))</f>
        <v/>
      </c>
      <c r="H179" s="32" t="str">
        <f aca="true">IF($C179="","",IF(OR(F179="Completed",F179="Cancelled"),"",IF(NOT(ISNUMBER(G179)),"No date set",IF(TODAY()&gt;G179,TODAY()-G179&amp;" days late",G179-TODAY()&amp;" days left"))))</f>
        <v/>
      </c>
      <c r="I179" s="31" t="str">
        <f aca="false">IF($C179="","",COUNTIF(M179,"Completed")+COUNTIF(Q179,"Completed")+COUNTIF(U179,"Completed")+COUNTIF(Y179,"Completed")+COUNTIF(AC179,"Completed")+COUNTIF(AG179,"Completed")+COUNTIF(AK179,"Completed"))</f>
        <v/>
      </c>
      <c r="J179" s="31" t="str">
        <f aca="false">IF($C179="","",7-(COUNTIF(M179,"NA")+COUNTIF(Q179,"NA")+COUNTIF(U179,"NA")+COUNTIF(Y179,"NA")+COUNTIF(AC179,"NA")+COUNTIF(AG179,"NA")+COUNTIF(AK179,"NA")))</f>
        <v/>
      </c>
      <c r="K179" s="34" t="str">
        <f aca="false">IFERROR(I179/J179,"")</f>
        <v/>
      </c>
      <c r="L179" s="29"/>
      <c r="M179" s="35"/>
      <c r="N179" s="36"/>
      <c r="O179" s="36"/>
      <c r="P179" s="29"/>
      <c r="Q179" s="35"/>
      <c r="R179" s="36"/>
      <c r="S179" s="36"/>
      <c r="T179" s="29"/>
      <c r="U179" s="35"/>
      <c r="V179" s="36"/>
      <c r="W179" s="36"/>
      <c r="X179" s="29"/>
      <c r="Y179" s="35"/>
      <c r="Z179" s="36"/>
      <c r="AA179" s="36"/>
      <c r="AB179" s="29"/>
      <c r="AC179" s="35"/>
      <c r="AD179" s="36"/>
      <c r="AE179" s="36"/>
      <c r="AF179" s="29"/>
      <c r="AG179" s="35"/>
      <c r="AH179" s="36"/>
      <c r="AI179" s="36"/>
      <c r="AJ179" s="29"/>
      <c r="AK179" s="35"/>
      <c r="AL179" s="36"/>
      <c r="AM179" s="36"/>
      <c r="AN179" s="29"/>
      <c r="AO179" s="29"/>
      <c r="AP179" s="29"/>
      <c r="AQ179" s="37"/>
      <c r="AR179" s="29"/>
      <c r="AS179" s="38" t="str">
        <f aca="false">IF($C179="","",IF(OR(F179="Completed",F179="Cancelled"),"",IF(AND(OR(F179="On Hold",ISNUMBER(VALUE(LEFT(H179,2)))),AR179=""),"Reason not given","")))</f>
        <v/>
      </c>
      <c r="AT179" s="30"/>
      <c r="AU179" s="30"/>
    </row>
    <row r="180" customFormat="false" ht="19.5" hidden="false" customHeight="true" outlineLevel="0" collapsed="false">
      <c r="A180" s="28" t="str">
        <f aca="false">IF($C180="","",COUNTA($C$17:$C180))</f>
        <v/>
      </c>
      <c r="B180" s="29"/>
      <c r="C180" s="30"/>
      <c r="D180" s="29"/>
      <c r="E180" s="31" t="str">
        <f aca="false">IF($C180="","",IF(NOT(OR(M180="Completed",M180="NA",M180="Cancelled")),"S1 Schematic",IF(NOT(OR(Q180="Completed",Q180="NA",Q180="Cancelled")),"S2 PCB Layout",IF(NOT(OR(U180="Completed",U180="NA",U180="Cancelled")),"S3 SI &amp; PI",IF(NOT(OR(Y180="Completed",Y180="NA",Y180="Cancelled")),"S4 Bare-PCB Fab",IF(NOT(OR(AC180="Completed",AC180="NA",AC180="Cancelled")),"S5 Assembly",IF(NOT(OR(AG180="Completed",AG180="NA",AG180="Cancelled")),"S6 Bring-up",IF(NOT(OR(AK180="Completed",AK180="NA",AK180="Cancelled")),"S7 BOM Procurement","All Stages Closed"))))))))</f>
        <v/>
      </c>
      <c r="F180" s="32" t="str">
        <f aca="false">IF($C180="","",IF(COUNTIF(M180,"Cancelled")+COUNTIF(Q180,"Cancelled")+COUNTIF(U180,"Cancelled")+COUNTIF(Y180,"Cancelled")+COUNTIF(AC180,"Cancelled")+COUNTIF(AG180,"Cancelled")+COUNTIF(AK180,"Cancelled")&gt;0,"Cancelled",IF(E180="All Stages Closed","Completed",IF(E180="S1 Schematic",M180,IF(E180="S2 PCB Layout",Q180,IF(E180="S3 SI &amp; PI",U180,IF(E180="S4 Bare-PCB Fab",Y180,IF(E180="S5 Assembly",AC180,IF(E180="S6 Bring-up",AG180,AK180)))))))))</f>
        <v/>
      </c>
      <c r="G180" s="33" t="str">
        <f aca="false">IF($C180="","",IF(E180="All Stages Closed","",IF(E180="S1 Schematic",IF(N180="","Not added",N180),IF(E180="S2 PCB Layout",IF(R180="","Not added",R180),IF(E180="S3 SI &amp; PI",IF(V180="","Not added",V180),IF(E180="S4 Bare-PCB Fab",IF(Z180="","Not added",Z180),IF(E180="S5 Assembly",IF(AD180="","Not added",AD180),IF(E180="S6 Bring-up",IF(AH180="","Not added",AH180),IF(AL180="","Not added",AL180)))))))))</f>
        <v/>
      </c>
      <c r="H180" s="32" t="str">
        <f aca="true">IF($C180="","",IF(OR(F180="Completed",F180="Cancelled"),"",IF(NOT(ISNUMBER(G180)),"No date set",IF(TODAY()&gt;G180,TODAY()-G180&amp;" days late",G180-TODAY()&amp;" days left"))))</f>
        <v/>
      </c>
      <c r="I180" s="31" t="str">
        <f aca="false">IF($C180="","",COUNTIF(M180,"Completed")+COUNTIF(Q180,"Completed")+COUNTIF(U180,"Completed")+COUNTIF(Y180,"Completed")+COUNTIF(AC180,"Completed")+COUNTIF(AG180,"Completed")+COUNTIF(AK180,"Completed"))</f>
        <v/>
      </c>
      <c r="J180" s="31" t="str">
        <f aca="false">IF($C180="","",7-(COUNTIF(M180,"NA")+COUNTIF(Q180,"NA")+COUNTIF(U180,"NA")+COUNTIF(Y180,"NA")+COUNTIF(AC180,"NA")+COUNTIF(AG180,"NA")+COUNTIF(AK180,"NA")))</f>
        <v/>
      </c>
      <c r="K180" s="34" t="str">
        <f aca="false">IFERROR(I180/J180,"")</f>
        <v/>
      </c>
      <c r="L180" s="29"/>
      <c r="M180" s="35"/>
      <c r="N180" s="36"/>
      <c r="O180" s="36"/>
      <c r="P180" s="29"/>
      <c r="Q180" s="35"/>
      <c r="R180" s="36"/>
      <c r="S180" s="36"/>
      <c r="T180" s="29"/>
      <c r="U180" s="35"/>
      <c r="V180" s="36"/>
      <c r="W180" s="36"/>
      <c r="X180" s="29"/>
      <c r="Y180" s="35"/>
      <c r="Z180" s="36"/>
      <c r="AA180" s="36"/>
      <c r="AB180" s="29"/>
      <c r="AC180" s="35"/>
      <c r="AD180" s="36"/>
      <c r="AE180" s="36"/>
      <c r="AF180" s="29"/>
      <c r="AG180" s="35"/>
      <c r="AH180" s="36"/>
      <c r="AI180" s="36"/>
      <c r="AJ180" s="29"/>
      <c r="AK180" s="35"/>
      <c r="AL180" s="36"/>
      <c r="AM180" s="36"/>
      <c r="AN180" s="29"/>
      <c r="AO180" s="29"/>
      <c r="AP180" s="29"/>
      <c r="AQ180" s="37"/>
      <c r="AR180" s="29"/>
      <c r="AS180" s="38" t="str">
        <f aca="false">IF($C180="","",IF(OR(F180="Completed",F180="Cancelled"),"",IF(AND(OR(F180="On Hold",ISNUMBER(VALUE(LEFT(H180,2)))),AR180=""),"Reason not given","")))</f>
        <v/>
      </c>
      <c r="AT180" s="30"/>
      <c r="AU180" s="30"/>
    </row>
    <row r="181" customFormat="false" ht="19.5" hidden="false" customHeight="true" outlineLevel="0" collapsed="false">
      <c r="A181" s="28" t="str">
        <f aca="false">IF($C181="","",COUNTA($C$17:$C181))</f>
        <v/>
      </c>
      <c r="B181" s="29"/>
      <c r="C181" s="30"/>
      <c r="D181" s="29"/>
      <c r="E181" s="31" t="str">
        <f aca="false">IF($C181="","",IF(NOT(OR(M181="Completed",M181="NA",M181="Cancelled")),"S1 Schematic",IF(NOT(OR(Q181="Completed",Q181="NA",Q181="Cancelled")),"S2 PCB Layout",IF(NOT(OR(U181="Completed",U181="NA",U181="Cancelled")),"S3 SI &amp; PI",IF(NOT(OR(Y181="Completed",Y181="NA",Y181="Cancelled")),"S4 Bare-PCB Fab",IF(NOT(OR(AC181="Completed",AC181="NA",AC181="Cancelled")),"S5 Assembly",IF(NOT(OR(AG181="Completed",AG181="NA",AG181="Cancelled")),"S6 Bring-up",IF(NOT(OR(AK181="Completed",AK181="NA",AK181="Cancelled")),"S7 BOM Procurement","All Stages Closed"))))))))</f>
        <v/>
      </c>
      <c r="F181" s="32" t="str">
        <f aca="false">IF($C181="","",IF(COUNTIF(M181,"Cancelled")+COUNTIF(Q181,"Cancelled")+COUNTIF(U181,"Cancelled")+COUNTIF(Y181,"Cancelled")+COUNTIF(AC181,"Cancelled")+COUNTIF(AG181,"Cancelled")+COUNTIF(AK181,"Cancelled")&gt;0,"Cancelled",IF(E181="All Stages Closed","Completed",IF(E181="S1 Schematic",M181,IF(E181="S2 PCB Layout",Q181,IF(E181="S3 SI &amp; PI",U181,IF(E181="S4 Bare-PCB Fab",Y181,IF(E181="S5 Assembly",AC181,IF(E181="S6 Bring-up",AG181,AK181)))))))))</f>
        <v/>
      </c>
      <c r="G181" s="33" t="str">
        <f aca="false">IF($C181="","",IF(E181="All Stages Closed","",IF(E181="S1 Schematic",IF(N181="","Not added",N181),IF(E181="S2 PCB Layout",IF(R181="","Not added",R181),IF(E181="S3 SI &amp; PI",IF(V181="","Not added",V181),IF(E181="S4 Bare-PCB Fab",IF(Z181="","Not added",Z181),IF(E181="S5 Assembly",IF(AD181="","Not added",AD181),IF(E181="S6 Bring-up",IF(AH181="","Not added",AH181),IF(AL181="","Not added",AL181)))))))))</f>
        <v/>
      </c>
      <c r="H181" s="32" t="str">
        <f aca="true">IF($C181="","",IF(OR(F181="Completed",F181="Cancelled"),"",IF(NOT(ISNUMBER(G181)),"No date set",IF(TODAY()&gt;G181,TODAY()-G181&amp;" days late",G181-TODAY()&amp;" days left"))))</f>
        <v/>
      </c>
      <c r="I181" s="31" t="str">
        <f aca="false">IF($C181="","",COUNTIF(M181,"Completed")+COUNTIF(Q181,"Completed")+COUNTIF(U181,"Completed")+COUNTIF(Y181,"Completed")+COUNTIF(AC181,"Completed")+COUNTIF(AG181,"Completed")+COUNTIF(AK181,"Completed"))</f>
        <v/>
      </c>
      <c r="J181" s="31" t="str">
        <f aca="false">IF($C181="","",7-(COUNTIF(M181,"NA")+COUNTIF(Q181,"NA")+COUNTIF(U181,"NA")+COUNTIF(Y181,"NA")+COUNTIF(AC181,"NA")+COUNTIF(AG181,"NA")+COUNTIF(AK181,"NA")))</f>
        <v/>
      </c>
      <c r="K181" s="34" t="str">
        <f aca="false">IFERROR(I181/J181,"")</f>
        <v/>
      </c>
      <c r="L181" s="29"/>
      <c r="M181" s="35"/>
      <c r="N181" s="36"/>
      <c r="O181" s="36"/>
      <c r="P181" s="29"/>
      <c r="Q181" s="35"/>
      <c r="R181" s="36"/>
      <c r="S181" s="36"/>
      <c r="T181" s="29"/>
      <c r="U181" s="35"/>
      <c r="V181" s="36"/>
      <c r="W181" s="36"/>
      <c r="X181" s="29"/>
      <c r="Y181" s="35"/>
      <c r="Z181" s="36"/>
      <c r="AA181" s="36"/>
      <c r="AB181" s="29"/>
      <c r="AC181" s="35"/>
      <c r="AD181" s="36"/>
      <c r="AE181" s="36"/>
      <c r="AF181" s="29"/>
      <c r="AG181" s="35"/>
      <c r="AH181" s="36"/>
      <c r="AI181" s="36"/>
      <c r="AJ181" s="29"/>
      <c r="AK181" s="35"/>
      <c r="AL181" s="36"/>
      <c r="AM181" s="36"/>
      <c r="AN181" s="29"/>
      <c r="AO181" s="29"/>
      <c r="AP181" s="29"/>
      <c r="AQ181" s="37"/>
      <c r="AR181" s="29"/>
      <c r="AS181" s="38" t="str">
        <f aca="false">IF($C181="","",IF(OR(F181="Completed",F181="Cancelled"),"",IF(AND(OR(F181="On Hold",ISNUMBER(VALUE(LEFT(H181,2)))),AR181=""),"Reason not given","")))</f>
        <v/>
      </c>
      <c r="AT181" s="30"/>
      <c r="AU181" s="30"/>
    </row>
    <row r="182" customFormat="false" ht="19.5" hidden="false" customHeight="true" outlineLevel="0" collapsed="false">
      <c r="A182" s="28" t="str">
        <f aca="false">IF($C182="","",COUNTA($C$17:$C182))</f>
        <v/>
      </c>
      <c r="B182" s="29"/>
      <c r="C182" s="30"/>
      <c r="D182" s="29"/>
      <c r="E182" s="31" t="str">
        <f aca="false">IF($C182="","",IF(NOT(OR(M182="Completed",M182="NA",M182="Cancelled")),"S1 Schematic",IF(NOT(OR(Q182="Completed",Q182="NA",Q182="Cancelled")),"S2 PCB Layout",IF(NOT(OR(U182="Completed",U182="NA",U182="Cancelled")),"S3 SI &amp; PI",IF(NOT(OR(Y182="Completed",Y182="NA",Y182="Cancelled")),"S4 Bare-PCB Fab",IF(NOT(OR(AC182="Completed",AC182="NA",AC182="Cancelled")),"S5 Assembly",IF(NOT(OR(AG182="Completed",AG182="NA",AG182="Cancelled")),"S6 Bring-up",IF(NOT(OR(AK182="Completed",AK182="NA",AK182="Cancelled")),"S7 BOM Procurement","All Stages Closed"))))))))</f>
        <v/>
      </c>
      <c r="F182" s="32" t="str">
        <f aca="false">IF($C182="","",IF(COUNTIF(M182,"Cancelled")+COUNTIF(Q182,"Cancelled")+COUNTIF(U182,"Cancelled")+COUNTIF(Y182,"Cancelled")+COUNTIF(AC182,"Cancelled")+COUNTIF(AG182,"Cancelled")+COUNTIF(AK182,"Cancelled")&gt;0,"Cancelled",IF(E182="All Stages Closed","Completed",IF(E182="S1 Schematic",M182,IF(E182="S2 PCB Layout",Q182,IF(E182="S3 SI &amp; PI",U182,IF(E182="S4 Bare-PCB Fab",Y182,IF(E182="S5 Assembly",AC182,IF(E182="S6 Bring-up",AG182,AK182)))))))))</f>
        <v/>
      </c>
      <c r="G182" s="33" t="str">
        <f aca="false">IF($C182="","",IF(E182="All Stages Closed","",IF(E182="S1 Schematic",IF(N182="","Not added",N182),IF(E182="S2 PCB Layout",IF(R182="","Not added",R182),IF(E182="S3 SI &amp; PI",IF(V182="","Not added",V182),IF(E182="S4 Bare-PCB Fab",IF(Z182="","Not added",Z182),IF(E182="S5 Assembly",IF(AD182="","Not added",AD182),IF(E182="S6 Bring-up",IF(AH182="","Not added",AH182),IF(AL182="","Not added",AL182)))))))))</f>
        <v/>
      </c>
      <c r="H182" s="32" t="str">
        <f aca="true">IF($C182="","",IF(OR(F182="Completed",F182="Cancelled"),"",IF(NOT(ISNUMBER(G182)),"No date set",IF(TODAY()&gt;G182,TODAY()-G182&amp;" days late",G182-TODAY()&amp;" days left"))))</f>
        <v/>
      </c>
      <c r="I182" s="31" t="str">
        <f aca="false">IF($C182="","",COUNTIF(M182,"Completed")+COUNTIF(Q182,"Completed")+COUNTIF(U182,"Completed")+COUNTIF(Y182,"Completed")+COUNTIF(AC182,"Completed")+COUNTIF(AG182,"Completed")+COUNTIF(AK182,"Completed"))</f>
        <v/>
      </c>
      <c r="J182" s="31" t="str">
        <f aca="false">IF($C182="","",7-(COUNTIF(M182,"NA")+COUNTIF(Q182,"NA")+COUNTIF(U182,"NA")+COUNTIF(Y182,"NA")+COUNTIF(AC182,"NA")+COUNTIF(AG182,"NA")+COUNTIF(AK182,"NA")))</f>
        <v/>
      </c>
      <c r="K182" s="34" t="str">
        <f aca="false">IFERROR(I182/J182,"")</f>
        <v/>
      </c>
      <c r="L182" s="29"/>
      <c r="M182" s="35"/>
      <c r="N182" s="36"/>
      <c r="O182" s="36"/>
      <c r="P182" s="29"/>
      <c r="Q182" s="35"/>
      <c r="R182" s="36"/>
      <c r="S182" s="36"/>
      <c r="T182" s="29"/>
      <c r="U182" s="35"/>
      <c r="V182" s="36"/>
      <c r="W182" s="36"/>
      <c r="X182" s="29"/>
      <c r="Y182" s="35"/>
      <c r="Z182" s="36"/>
      <c r="AA182" s="36"/>
      <c r="AB182" s="29"/>
      <c r="AC182" s="35"/>
      <c r="AD182" s="36"/>
      <c r="AE182" s="36"/>
      <c r="AF182" s="29"/>
      <c r="AG182" s="35"/>
      <c r="AH182" s="36"/>
      <c r="AI182" s="36"/>
      <c r="AJ182" s="29"/>
      <c r="AK182" s="35"/>
      <c r="AL182" s="36"/>
      <c r="AM182" s="36"/>
      <c r="AN182" s="29"/>
      <c r="AO182" s="29"/>
      <c r="AP182" s="29"/>
      <c r="AQ182" s="37"/>
      <c r="AR182" s="29"/>
      <c r="AS182" s="38" t="str">
        <f aca="false">IF($C182="","",IF(OR(F182="Completed",F182="Cancelled"),"",IF(AND(OR(F182="On Hold",ISNUMBER(VALUE(LEFT(H182,2)))),AR182=""),"Reason not given","")))</f>
        <v/>
      </c>
      <c r="AT182" s="30"/>
      <c r="AU182" s="30"/>
    </row>
    <row r="183" customFormat="false" ht="19.5" hidden="false" customHeight="true" outlineLevel="0" collapsed="false">
      <c r="A183" s="28" t="str">
        <f aca="false">IF($C183="","",COUNTA($C$17:$C183))</f>
        <v/>
      </c>
      <c r="B183" s="29"/>
      <c r="C183" s="30"/>
      <c r="D183" s="29"/>
      <c r="E183" s="31" t="str">
        <f aca="false">IF($C183="","",IF(NOT(OR(M183="Completed",M183="NA",M183="Cancelled")),"S1 Schematic",IF(NOT(OR(Q183="Completed",Q183="NA",Q183="Cancelled")),"S2 PCB Layout",IF(NOT(OR(U183="Completed",U183="NA",U183="Cancelled")),"S3 SI &amp; PI",IF(NOT(OR(Y183="Completed",Y183="NA",Y183="Cancelled")),"S4 Bare-PCB Fab",IF(NOT(OR(AC183="Completed",AC183="NA",AC183="Cancelled")),"S5 Assembly",IF(NOT(OR(AG183="Completed",AG183="NA",AG183="Cancelled")),"S6 Bring-up",IF(NOT(OR(AK183="Completed",AK183="NA",AK183="Cancelled")),"S7 BOM Procurement","All Stages Closed"))))))))</f>
        <v/>
      </c>
      <c r="F183" s="32" t="str">
        <f aca="false">IF($C183="","",IF(COUNTIF(M183,"Cancelled")+COUNTIF(Q183,"Cancelled")+COUNTIF(U183,"Cancelled")+COUNTIF(Y183,"Cancelled")+COUNTIF(AC183,"Cancelled")+COUNTIF(AG183,"Cancelled")+COUNTIF(AK183,"Cancelled")&gt;0,"Cancelled",IF(E183="All Stages Closed","Completed",IF(E183="S1 Schematic",M183,IF(E183="S2 PCB Layout",Q183,IF(E183="S3 SI &amp; PI",U183,IF(E183="S4 Bare-PCB Fab",Y183,IF(E183="S5 Assembly",AC183,IF(E183="S6 Bring-up",AG183,AK183)))))))))</f>
        <v/>
      </c>
      <c r="G183" s="33" t="str">
        <f aca="false">IF($C183="","",IF(E183="All Stages Closed","",IF(E183="S1 Schematic",IF(N183="","Not added",N183),IF(E183="S2 PCB Layout",IF(R183="","Not added",R183),IF(E183="S3 SI &amp; PI",IF(V183="","Not added",V183),IF(E183="S4 Bare-PCB Fab",IF(Z183="","Not added",Z183),IF(E183="S5 Assembly",IF(AD183="","Not added",AD183),IF(E183="S6 Bring-up",IF(AH183="","Not added",AH183),IF(AL183="","Not added",AL183)))))))))</f>
        <v/>
      </c>
      <c r="H183" s="32" t="str">
        <f aca="true">IF($C183="","",IF(OR(F183="Completed",F183="Cancelled"),"",IF(NOT(ISNUMBER(G183)),"No date set",IF(TODAY()&gt;G183,TODAY()-G183&amp;" days late",G183-TODAY()&amp;" days left"))))</f>
        <v/>
      </c>
      <c r="I183" s="31" t="str">
        <f aca="false">IF($C183="","",COUNTIF(M183,"Completed")+COUNTIF(Q183,"Completed")+COUNTIF(U183,"Completed")+COUNTIF(Y183,"Completed")+COUNTIF(AC183,"Completed")+COUNTIF(AG183,"Completed")+COUNTIF(AK183,"Completed"))</f>
        <v/>
      </c>
      <c r="J183" s="31" t="str">
        <f aca="false">IF($C183="","",7-(COUNTIF(M183,"NA")+COUNTIF(Q183,"NA")+COUNTIF(U183,"NA")+COUNTIF(Y183,"NA")+COUNTIF(AC183,"NA")+COUNTIF(AG183,"NA")+COUNTIF(AK183,"NA")))</f>
        <v/>
      </c>
      <c r="K183" s="34" t="str">
        <f aca="false">IFERROR(I183/J183,"")</f>
        <v/>
      </c>
      <c r="L183" s="29"/>
      <c r="M183" s="35"/>
      <c r="N183" s="36"/>
      <c r="O183" s="36"/>
      <c r="P183" s="29"/>
      <c r="Q183" s="35"/>
      <c r="R183" s="36"/>
      <c r="S183" s="36"/>
      <c r="T183" s="29"/>
      <c r="U183" s="35"/>
      <c r="V183" s="36"/>
      <c r="W183" s="36"/>
      <c r="X183" s="29"/>
      <c r="Y183" s="35"/>
      <c r="Z183" s="36"/>
      <c r="AA183" s="36"/>
      <c r="AB183" s="29"/>
      <c r="AC183" s="35"/>
      <c r="AD183" s="36"/>
      <c r="AE183" s="36"/>
      <c r="AF183" s="29"/>
      <c r="AG183" s="35"/>
      <c r="AH183" s="36"/>
      <c r="AI183" s="36"/>
      <c r="AJ183" s="29"/>
      <c r="AK183" s="35"/>
      <c r="AL183" s="36"/>
      <c r="AM183" s="36"/>
      <c r="AN183" s="29"/>
      <c r="AO183" s="29"/>
      <c r="AP183" s="29"/>
      <c r="AQ183" s="37"/>
      <c r="AR183" s="29"/>
      <c r="AS183" s="38" t="str">
        <f aca="false">IF($C183="","",IF(OR(F183="Completed",F183="Cancelled"),"",IF(AND(OR(F183="On Hold",ISNUMBER(VALUE(LEFT(H183,2)))),AR183=""),"Reason not given","")))</f>
        <v/>
      </c>
      <c r="AT183" s="30"/>
      <c r="AU183" s="30"/>
    </row>
    <row r="184" customFormat="false" ht="19.5" hidden="false" customHeight="true" outlineLevel="0" collapsed="false">
      <c r="A184" s="28" t="str">
        <f aca="false">IF($C184="","",COUNTA($C$17:$C184))</f>
        <v/>
      </c>
      <c r="B184" s="29"/>
      <c r="C184" s="30"/>
      <c r="D184" s="29"/>
      <c r="E184" s="31" t="str">
        <f aca="false">IF($C184="","",IF(NOT(OR(M184="Completed",M184="NA",M184="Cancelled")),"S1 Schematic",IF(NOT(OR(Q184="Completed",Q184="NA",Q184="Cancelled")),"S2 PCB Layout",IF(NOT(OR(U184="Completed",U184="NA",U184="Cancelled")),"S3 SI &amp; PI",IF(NOT(OR(Y184="Completed",Y184="NA",Y184="Cancelled")),"S4 Bare-PCB Fab",IF(NOT(OR(AC184="Completed",AC184="NA",AC184="Cancelled")),"S5 Assembly",IF(NOT(OR(AG184="Completed",AG184="NA",AG184="Cancelled")),"S6 Bring-up",IF(NOT(OR(AK184="Completed",AK184="NA",AK184="Cancelled")),"S7 BOM Procurement","All Stages Closed"))))))))</f>
        <v/>
      </c>
      <c r="F184" s="32" t="str">
        <f aca="false">IF($C184="","",IF(COUNTIF(M184,"Cancelled")+COUNTIF(Q184,"Cancelled")+COUNTIF(U184,"Cancelled")+COUNTIF(Y184,"Cancelled")+COUNTIF(AC184,"Cancelled")+COUNTIF(AG184,"Cancelled")+COUNTIF(AK184,"Cancelled")&gt;0,"Cancelled",IF(E184="All Stages Closed","Completed",IF(E184="S1 Schematic",M184,IF(E184="S2 PCB Layout",Q184,IF(E184="S3 SI &amp; PI",U184,IF(E184="S4 Bare-PCB Fab",Y184,IF(E184="S5 Assembly",AC184,IF(E184="S6 Bring-up",AG184,AK184)))))))))</f>
        <v/>
      </c>
      <c r="G184" s="33" t="str">
        <f aca="false">IF($C184="","",IF(E184="All Stages Closed","",IF(E184="S1 Schematic",IF(N184="","Not added",N184),IF(E184="S2 PCB Layout",IF(R184="","Not added",R184),IF(E184="S3 SI &amp; PI",IF(V184="","Not added",V184),IF(E184="S4 Bare-PCB Fab",IF(Z184="","Not added",Z184),IF(E184="S5 Assembly",IF(AD184="","Not added",AD184),IF(E184="S6 Bring-up",IF(AH184="","Not added",AH184),IF(AL184="","Not added",AL184)))))))))</f>
        <v/>
      </c>
      <c r="H184" s="32" t="str">
        <f aca="true">IF($C184="","",IF(OR(F184="Completed",F184="Cancelled"),"",IF(NOT(ISNUMBER(G184)),"No date set",IF(TODAY()&gt;G184,TODAY()-G184&amp;" days late",G184-TODAY()&amp;" days left"))))</f>
        <v/>
      </c>
      <c r="I184" s="31" t="str">
        <f aca="false">IF($C184="","",COUNTIF(M184,"Completed")+COUNTIF(Q184,"Completed")+COUNTIF(U184,"Completed")+COUNTIF(Y184,"Completed")+COUNTIF(AC184,"Completed")+COUNTIF(AG184,"Completed")+COUNTIF(AK184,"Completed"))</f>
        <v/>
      </c>
      <c r="J184" s="31" t="str">
        <f aca="false">IF($C184="","",7-(COUNTIF(M184,"NA")+COUNTIF(Q184,"NA")+COUNTIF(U184,"NA")+COUNTIF(Y184,"NA")+COUNTIF(AC184,"NA")+COUNTIF(AG184,"NA")+COUNTIF(AK184,"NA")))</f>
        <v/>
      </c>
      <c r="K184" s="34" t="str">
        <f aca="false">IFERROR(I184/J184,"")</f>
        <v/>
      </c>
      <c r="L184" s="29"/>
      <c r="M184" s="35"/>
      <c r="N184" s="36"/>
      <c r="O184" s="36"/>
      <c r="P184" s="29"/>
      <c r="Q184" s="35"/>
      <c r="R184" s="36"/>
      <c r="S184" s="36"/>
      <c r="T184" s="29"/>
      <c r="U184" s="35"/>
      <c r="V184" s="36"/>
      <c r="W184" s="36"/>
      <c r="X184" s="29"/>
      <c r="Y184" s="35"/>
      <c r="Z184" s="36"/>
      <c r="AA184" s="36"/>
      <c r="AB184" s="29"/>
      <c r="AC184" s="35"/>
      <c r="AD184" s="36"/>
      <c r="AE184" s="36"/>
      <c r="AF184" s="29"/>
      <c r="AG184" s="35"/>
      <c r="AH184" s="36"/>
      <c r="AI184" s="36"/>
      <c r="AJ184" s="29"/>
      <c r="AK184" s="35"/>
      <c r="AL184" s="36"/>
      <c r="AM184" s="36"/>
      <c r="AN184" s="29"/>
      <c r="AO184" s="29"/>
      <c r="AP184" s="29"/>
      <c r="AQ184" s="37"/>
      <c r="AR184" s="29"/>
      <c r="AS184" s="38" t="str">
        <f aca="false">IF($C184="","",IF(OR(F184="Completed",F184="Cancelled"),"",IF(AND(OR(F184="On Hold",ISNUMBER(VALUE(LEFT(H184,2)))),AR184=""),"Reason not given","")))</f>
        <v/>
      </c>
      <c r="AT184" s="30"/>
      <c r="AU184" s="30"/>
    </row>
    <row r="185" customFormat="false" ht="19.5" hidden="false" customHeight="true" outlineLevel="0" collapsed="false">
      <c r="A185" s="28" t="str">
        <f aca="false">IF($C185="","",COUNTA($C$17:$C185))</f>
        <v/>
      </c>
      <c r="B185" s="29"/>
      <c r="C185" s="30"/>
      <c r="D185" s="29"/>
      <c r="E185" s="31" t="str">
        <f aca="false">IF($C185="","",IF(NOT(OR(M185="Completed",M185="NA",M185="Cancelled")),"S1 Schematic",IF(NOT(OR(Q185="Completed",Q185="NA",Q185="Cancelled")),"S2 PCB Layout",IF(NOT(OR(U185="Completed",U185="NA",U185="Cancelled")),"S3 SI &amp; PI",IF(NOT(OR(Y185="Completed",Y185="NA",Y185="Cancelled")),"S4 Bare-PCB Fab",IF(NOT(OR(AC185="Completed",AC185="NA",AC185="Cancelled")),"S5 Assembly",IF(NOT(OR(AG185="Completed",AG185="NA",AG185="Cancelled")),"S6 Bring-up",IF(NOT(OR(AK185="Completed",AK185="NA",AK185="Cancelled")),"S7 BOM Procurement","All Stages Closed"))))))))</f>
        <v/>
      </c>
      <c r="F185" s="32" t="str">
        <f aca="false">IF($C185="","",IF(COUNTIF(M185,"Cancelled")+COUNTIF(Q185,"Cancelled")+COUNTIF(U185,"Cancelled")+COUNTIF(Y185,"Cancelled")+COUNTIF(AC185,"Cancelled")+COUNTIF(AG185,"Cancelled")+COUNTIF(AK185,"Cancelled")&gt;0,"Cancelled",IF(E185="All Stages Closed","Completed",IF(E185="S1 Schematic",M185,IF(E185="S2 PCB Layout",Q185,IF(E185="S3 SI &amp; PI",U185,IF(E185="S4 Bare-PCB Fab",Y185,IF(E185="S5 Assembly",AC185,IF(E185="S6 Bring-up",AG185,AK185)))))))))</f>
        <v/>
      </c>
      <c r="G185" s="33" t="str">
        <f aca="false">IF($C185="","",IF(E185="All Stages Closed","",IF(E185="S1 Schematic",IF(N185="","Not added",N185),IF(E185="S2 PCB Layout",IF(R185="","Not added",R185),IF(E185="S3 SI &amp; PI",IF(V185="","Not added",V185),IF(E185="S4 Bare-PCB Fab",IF(Z185="","Not added",Z185),IF(E185="S5 Assembly",IF(AD185="","Not added",AD185),IF(E185="S6 Bring-up",IF(AH185="","Not added",AH185),IF(AL185="","Not added",AL185)))))))))</f>
        <v/>
      </c>
      <c r="H185" s="32" t="str">
        <f aca="true">IF($C185="","",IF(OR(F185="Completed",F185="Cancelled"),"",IF(NOT(ISNUMBER(G185)),"No date set",IF(TODAY()&gt;G185,TODAY()-G185&amp;" days late",G185-TODAY()&amp;" days left"))))</f>
        <v/>
      </c>
      <c r="I185" s="31" t="str">
        <f aca="false">IF($C185="","",COUNTIF(M185,"Completed")+COUNTIF(Q185,"Completed")+COUNTIF(U185,"Completed")+COUNTIF(Y185,"Completed")+COUNTIF(AC185,"Completed")+COUNTIF(AG185,"Completed")+COUNTIF(AK185,"Completed"))</f>
        <v/>
      </c>
      <c r="J185" s="31" t="str">
        <f aca="false">IF($C185="","",7-(COUNTIF(M185,"NA")+COUNTIF(Q185,"NA")+COUNTIF(U185,"NA")+COUNTIF(Y185,"NA")+COUNTIF(AC185,"NA")+COUNTIF(AG185,"NA")+COUNTIF(AK185,"NA")))</f>
        <v/>
      </c>
      <c r="K185" s="34" t="str">
        <f aca="false">IFERROR(I185/J185,"")</f>
        <v/>
      </c>
      <c r="L185" s="29"/>
      <c r="M185" s="35"/>
      <c r="N185" s="36"/>
      <c r="O185" s="36"/>
      <c r="P185" s="29"/>
      <c r="Q185" s="35"/>
      <c r="R185" s="36"/>
      <c r="S185" s="36"/>
      <c r="T185" s="29"/>
      <c r="U185" s="35"/>
      <c r="V185" s="36"/>
      <c r="W185" s="36"/>
      <c r="X185" s="29"/>
      <c r="Y185" s="35"/>
      <c r="Z185" s="36"/>
      <c r="AA185" s="36"/>
      <c r="AB185" s="29"/>
      <c r="AC185" s="35"/>
      <c r="AD185" s="36"/>
      <c r="AE185" s="36"/>
      <c r="AF185" s="29"/>
      <c r="AG185" s="35"/>
      <c r="AH185" s="36"/>
      <c r="AI185" s="36"/>
      <c r="AJ185" s="29"/>
      <c r="AK185" s="35"/>
      <c r="AL185" s="36"/>
      <c r="AM185" s="36"/>
      <c r="AN185" s="29"/>
      <c r="AO185" s="29"/>
      <c r="AP185" s="29"/>
      <c r="AQ185" s="37"/>
      <c r="AR185" s="29"/>
      <c r="AS185" s="38" t="str">
        <f aca="false">IF($C185="","",IF(OR(F185="Completed",F185="Cancelled"),"",IF(AND(OR(F185="On Hold",ISNUMBER(VALUE(LEFT(H185,2)))),AR185=""),"Reason not given","")))</f>
        <v/>
      </c>
      <c r="AT185" s="30"/>
      <c r="AU185" s="30"/>
    </row>
    <row r="186" customFormat="false" ht="19.5" hidden="false" customHeight="true" outlineLevel="0" collapsed="false">
      <c r="A186" s="28" t="str">
        <f aca="false">IF($C186="","",COUNTA($C$17:$C186))</f>
        <v/>
      </c>
      <c r="B186" s="29"/>
      <c r="C186" s="30"/>
      <c r="D186" s="29"/>
      <c r="E186" s="31" t="str">
        <f aca="false">IF($C186="","",IF(NOT(OR(M186="Completed",M186="NA",M186="Cancelled")),"S1 Schematic",IF(NOT(OR(Q186="Completed",Q186="NA",Q186="Cancelled")),"S2 PCB Layout",IF(NOT(OR(U186="Completed",U186="NA",U186="Cancelled")),"S3 SI &amp; PI",IF(NOT(OR(Y186="Completed",Y186="NA",Y186="Cancelled")),"S4 Bare-PCB Fab",IF(NOT(OR(AC186="Completed",AC186="NA",AC186="Cancelled")),"S5 Assembly",IF(NOT(OR(AG186="Completed",AG186="NA",AG186="Cancelled")),"S6 Bring-up",IF(NOT(OR(AK186="Completed",AK186="NA",AK186="Cancelled")),"S7 BOM Procurement","All Stages Closed"))))))))</f>
        <v/>
      </c>
      <c r="F186" s="32" t="str">
        <f aca="false">IF($C186="","",IF(COUNTIF(M186,"Cancelled")+COUNTIF(Q186,"Cancelled")+COUNTIF(U186,"Cancelled")+COUNTIF(Y186,"Cancelled")+COUNTIF(AC186,"Cancelled")+COUNTIF(AG186,"Cancelled")+COUNTIF(AK186,"Cancelled")&gt;0,"Cancelled",IF(E186="All Stages Closed","Completed",IF(E186="S1 Schematic",M186,IF(E186="S2 PCB Layout",Q186,IF(E186="S3 SI &amp; PI",U186,IF(E186="S4 Bare-PCB Fab",Y186,IF(E186="S5 Assembly",AC186,IF(E186="S6 Bring-up",AG186,AK186)))))))))</f>
        <v/>
      </c>
      <c r="G186" s="33" t="str">
        <f aca="false">IF($C186="","",IF(E186="All Stages Closed","",IF(E186="S1 Schematic",IF(N186="","Not added",N186),IF(E186="S2 PCB Layout",IF(R186="","Not added",R186),IF(E186="S3 SI &amp; PI",IF(V186="","Not added",V186),IF(E186="S4 Bare-PCB Fab",IF(Z186="","Not added",Z186),IF(E186="S5 Assembly",IF(AD186="","Not added",AD186),IF(E186="S6 Bring-up",IF(AH186="","Not added",AH186),IF(AL186="","Not added",AL186)))))))))</f>
        <v/>
      </c>
      <c r="H186" s="32" t="str">
        <f aca="true">IF($C186="","",IF(OR(F186="Completed",F186="Cancelled"),"",IF(NOT(ISNUMBER(G186)),"No date set",IF(TODAY()&gt;G186,TODAY()-G186&amp;" days late",G186-TODAY()&amp;" days left"))))</f>
        <v/>
      </c>
      <c r="I186" s="31" t="str">
        <f aca="false">IF($C186="","",COUNTIF(M186,"Completed")+COUNTIF(Q186,"Completed")+COUNTIF(U186,"Completed")+COUNTIF(Y186,"Completed")+COUNTIF(AC186,"Completed")+COUNTIF(AG186,"Completed")+COUNTIF(AK186,"Completed"))</f>
        <v/>
      </c>
      <c r="J186" s="31" t="str">
        <f aca="false">IF($C186="","",7-(COUNTIF(M186,"NA")+COUNTIF(Q186,"NA")+COUNTIF(U186,"NA")+COUNTIF(Y186,"NA")+COUNTIF(AC186,"NA")+COUNTIF(AG186,"NA")+COUNTIF(AK186,"NA")))</f>
        <v/>
      </c>
      <c r="K186" s="34" t="str">
        <f aca="false">IFERROR(I186/J186,"")</f>
        <v/>
      </c>
      <c r="L186" s="29"/>
      <c r="M186" s="35"/>
      <c r="N186" s="36"/>
      <c r="O186" s="36"/>
      <c r="P186" s="29"/>
      <c r="Q186" s="35"/>
      <c r="R186" s="36"/>
      <c r="S186" s="36"/>
      <c r="T186" s="29"/>
      <c r="U186" s="35"/>
      <c r="V186" s="36"/>
      <c r="W186" s="36"/>
      <c r="X186" s="29"/>
      <c r="Y186" s="35"/>
      <c r="Z186" s="36"/>
      <c r="AA186" s="36"/>
      <c r="AB186" s="29"/>
      <c r="AC186" s="35"/>
      <c r="AD186" s="36"/>
      <c r="AE186" s="36"/>
      <c r="AF186" s="29"/>
      <c r="AG186" s="35"/>
      <c r="AH186" s="36"/>
      <c r="AI186" s="36"/>
      <c r="AJ186" s="29"/>
      <c r="AK186" s="35"/>
      <c r="AL186" s="36"/>
      <c r="AM186" s="36"/>
      <c r="AN186" s="29"/>
      <c r="AO186" s="29"/>
      <c r="AP186" s="29"/>
      <c r="AQ186" s="37"/>
      <c r="AR186" s="29"/>
      <c r="AS186" s="38" t="str">
        <f aca="false">IF($C186="","",IF(OR(F186="Completed",F186="Cancelled"),"",IF(AND(OR(F186="On Hold",ISNUMBER(VALUE(LEFT(H186,2)))),AR186=""),"Reason not given","")))</f>
        <v/>
      </c>
      <c r="AT186" s="30"/>
      <c r="AU186" s="30"/>
    </row>
    <row r="187" customFormat="false" ht="19.5" hidden="false" customHeight="true" outlineLevel="0" collapsed="false">
      <c r="A187" s="28" t="str">
        <f aca="false">IF($C187="","",COUNTA($C$17:$C187))</f>
        <v/>
      </c>
      <c r="B187" s="29"/>
      <c r="C187" s="30"/>
      <c r="D187" s="29"/>
      <c r="E187" s="31" t="str">
        <f aca="false">IF($C187="","",IF(NOT(OR(M187="Completed",M187="NA",M187="Cancelled")),"S1 Schematic",IF(NOT(OR(Q187="Completed",Q187="NA",Q187="Cancelled")),"S2 PCB Layout",IF(NOT(OR(U187="Completed",U187="NA",U187="Cancelled")),"S3 SI &amp; PI",IF(NOT(OR(Y187="Completed",Y187="NA",Y187="Cancelled")),"S4 Bare-PCB Fab",IF(NOT(OR(AC187="Completed",AC187="NA",AC187="Cancelled")),"S5 Assembly",IF(NOT(OR(AG187="Completed",AG187="NA",AG187="Cancelled")),"S6 Bring-up",IF(NOT(OR(AK187="Completed",AK187="NA",AK187="Cancelled")),"S7 BOM Procurement","All Stages Closed"))))))))</f>
        <v/>
      </c>
      <c r="F187" s="32" t="str">
        <f aca="false">IF($C187="","",IF(COUNTIF(M187,"Cancelled")+COUNTIF(Q187,"Cancelled")+COUNTIF(U187,"Cancelled")+COUNTIF(Y187,"Cancelled")+COUNTIF(AC187,"Cancelled")+COUNTIF(AG187,"Cancelled")+COUNTIF(AK187,"Cancelled")&gt;0,"Cancelled",IF(E187="All Stages Closed","Completed",IF(E187="S1 Schematic",M187,IF(E187="S2 PCB Layout",Q187,IF(E187="S3 SI &amp; PI",U187,IF(E187="S4 Bare-PCB Fab",Y187,IF(E187="S5 Assembly",AC187,IF(E187="S6 Bring-up",AG187,AK187)))))))))</f>
        <v/>
      </c>
      <c r="G187" s="33" t="str">
        <f aca="false">IF($C187="","",IF(E187="All Stages Closed","",IF(E187="S1 Schematic",IF(N187="","Not added",N187),IF(E187="S2 PCB Layout",IF(R187="","Not added",R187),IF(E187="S3 SI &amp; PI",IF(V187="","Not added",V187),IF(E187="S4 Bare-PCB Fab",IF(Z187="","Not added",Z187),IF(E187="S5 Assembly",IF(AD187="","Not added",AD187),IF(E187="S6 Bring-up",IF(AH187="","Not added",AH187),IF(AL187="","Not added",AL187)))))))))</f>
        <v/>
      </c>
      <c r="H187" s="32" t="str">
        <f aca="true">IF($C187="","",IF(OR(F187="Completed",F187="Cancelled"),"",IF(NOT(ISNUMBER(G187)),"No date set",IF(TODAY()&gt;G187,TODAY()-G187&amp;" days late",G187-TODAY()&amp;" days left"))))</f>
        <v/>
      </c>
      <c r="I187" s="31" t="str">
        <f aca="false">IF($C187="","",COUNTIF(M187,"Completed")+COUNTIF(Q187,"Completed")+COUNTIF(U187,"Completed")+COUNTIF(Y187,"Completed")+COUNTIF(AC187,"Completed")+COUNTIF(AG187,"Completed")+COUNTIF(AK187,"Completed"))</f>
        <v/>
      </c>
      <c r="J187" s="31" t="str">
        <f aca="false">IF($C187="","",7-(COUNTIF(M187,"NA")+COUNTIF(Q187,"NA")+COUNTIF(U187,"NA")+COUNTIF(Y187,"NA")+COUNTIF(AC187,"NA")+COUNTIF(AG187,"NA")+COUNTIF(AK187,"NA")))</f>
        <v/>
      </c>
      <c r="K187" s="34" t="str">
        <f aca="false">IFERROR(I187/J187,"")</f>
        <v/>
      </c>
      <c r="L187" s="29"/>
      <c r="M187" s="35"/>
      <c r="N187" s="36"/>
      <c r="O187" s="36"/>
      <c r="P187" s="29"/>
      <c r="Q187" s="35"/>
      <c r="R187" s="36"/>
      <c r="S187" s="36"/>
      <c r="T187" s="29"/>
      <c r="U187" s="35"/>
      <c r="V187" s="36"/>
      <c r="W187" s="36"/>
      <c r="X187" s="29"/>
      <c r="Y187" s="35"/>
      <c r="Z187" s="36"/>
      <c r="AA187" s="36"/>
      <c r="AB187" s="29"/>
      <c r="AC187" s="35"/>
      <c r="AD187" s="36"/>
      <c r="AE187" s="36"/>
      <c r="AF187" s="29"/>
      <c r="AG187" s="35"/>
      <c r="AH187" s="36"/>
      <c r="AI187" s="36"/>
      <c r="AJ187" s="29"/>
      <c r="AK187" s="35"/>
      <c r="AL187" s="36"/>
      <c r="AM187" s="36"/>
      <c r="AN187" s="29"/>
      <c r="AO187" s="29"/>
      <c r="AP187" s="29"/>
      <c r="AQ187" s="37"/>
      <c r="AR187" s="29"/>
      <c r="AS187" s="38" t="str">
        <f aca="false">IF($C187="","",IF(OR(F187="Completed",F187="Cancelled"),"",IF(AND(OR(F187="On Hold",ISNUMBER(VALUE(LEFT(H187,2)))),AR187=""),"Reason not given","")))</f>
        <v/>
      </c>
      <c r="AT187" s="30"/>
      <c r="AU187" s="30"/>
    </row>
    <row r="188" customFormat="false" ht="19.5" hidden="false" customHeight="true" outlineLevel="0" collapsed="false">
      <c r="A188" s="28" t="str">
        <f aca="false">IF($C188="","",COUNTA($C$17:$C188))</f>
        <v/>
      </c>
      <c r="B188" s="29"/>
      <c r="C188" s="30"/>
      <c r="D188" s="29"/>
      <c r="E188" s="31" t="str">
        <f aca="false">IF($C188="","",IF(NOT(OR(M188="Completed",M188="NA",M188="Cancelled")),"S1 Schematic",IF(NOT(OR(Q188="Completed",Q188="NA",Q188="Cancelled")),"S2 PCB Layout",IF(NOT(OR(U188="Completed",U188="NA",U188="Cancelled")),"S3 SI &amp; PI",IF(NOT(OR(Y188="Completed",Y188="NA",Y188="Cancelled")),"S4 Bare-PCB Fab",IF(NOT(OR(AC188="Completed",AC188="NA",AC188="Cancelled")),"S5 Assembly",IF(NOT(OR(AG188="Completed",AG188="NA",AG188="Cancelled")),"S6 Bring-up",IF(NOT(OR(AK188="Completed",AK188="NA",AK188="Cancelled")),"S7 BOM Procurement","All Stages Closed"))))))))</f>
        <v/>
      </c>
      <c r="F188" s="32" t="str">
        <f aca="false">IF($C188="","",IF(COUNTIF(M188,"Cancelled")+COUNTIF(Q188,"Cancelled")+COUNTIF(U188,"Cancelled")+COUNTIF(Y188,"Cancelled")+COUNTIF(AC188,"Cancelled")+COUNTIF(AG188,"Cancelled")+COUNTIF(AK188,"Cancelled")&gt;0,"Cancelled",IF(E188="All Stages Closed","Completed",IF(E188="S1 Schematic",M188,IF(E188="S2 PCB Layout",Q188,IF(E188="S3 SI &amp; PI",U188,IF(E188="S4 Bare-PCB Fab",Y188,IF(E188="S5 Assembly",AC188,IF(E188="S6 Bring-up",AG188,AK188)))))))))</f>
        <v/>
      </c>
      <c r="G188" s="33" t="str">
        <f aca="false">IF($C188="","",IF(E188="All Stages Closed","",IF(E188="S1 Schematic",IF(N188="","Not added",N188),IF(E188="S2 PCB Layout",IF(R188="","Not added",R188),IF(E188="S3 SI &amp; PI",IF(V188="","Not added",V188),IF(E188="S4 Bare-PCB Fab",IF(Z188="","Not added",Z188),IF(E188="S5 Assembly",IF(AD188="","Not added",AD188),IF(E188="S6 Bring-up",IF(AH188="","Not added",AH188),IF(AL188="","Not added",AL188)))))))))</f>
        <v/>
      </c>
      <c r="H188" s="32" t="str">
        <f aca="true">IF($C188="","",IF(OR(F188="Completed",F188="Cancelled"),"",IF(NOT(ISNUMBER(G188)),"No date set",IF(TODAY()&gt;G188,TODAY()-G188&amp;" days late",G188-TODAY()&amp;" days left"))))</f>
        <v/>
      </c>
      <c r="I188" s="31" t="str">
        <f aca="false">IF($C188="","",COUNTIF(M188,"Completed")+COUNTIF(Q188,"Completed")+COUNTIF(U188,"Completed")+COUNTIF(Y188,"Completed")+COUNTIF(AC188,"Completed")+COUNTIF(AG188,"Completed")+COUNTIF(AK188,"Completed"))</f>
        <v/>
      </c>
      <c r="J188" s="31" t="str">
        <f aca="false">IF($C188="","",7-(COUNTIF(M188,"NA")+COUNTIF(Q188,"NA")+COUNTIF(U188,"NA")+COUNTIF(Y188,"NA")+COUNTIF(AC188,"NA")+COUNTIF(AG188,"NA")+COUNTIF(AK188,"NA")))</f>
        <v/>
      </c>
      <c r="K188" s="34" t="str">
        <f aca="false">IFERROR(I188/J188,"")</f>
        <v/>
      </c>
      <c r="L188" s="29"/>
      <c r="M188" s="35"/>
      <c r="N188" s="36"/>
      <c r="O188" s="36"/>
      <c r="P188" s="29"/>
      <c r="Q188" s="35"/>
      <c r="R188" s="36"/>
      <c r="S188" s="36"/>
      <c r="T188" s="29"/>
      <c r="U188" s="35"/>
      <c r="V188" s="36"/>
      <c r="W188" s="36"/>
      <c r="X188" s="29"/>
      <c r="Y188" s="35"/>
      <c r="Z188" s="36"/>
      <c r="AA188" s="36"/>
      <c r="AB188" s="29"/>
      <c r="AC188" s="35"/>
      <c r="AD188" s="36"/>
      <c r="AE188" s="36"/>
      <c r="AF188" s="29"/>
      <c r="AG188" s="35"/>
      <c r="AH188" s="36"/>
      <c r="AI188" s="36"/>
      <c r="AJ188" s="29"/>
      <c r="AK188" s="35"/>
      <c r="AL188" s="36"/>
      <c r="AM188" s="36"/>
      <c r="AN188" s="29"/>
      <c r="AO188" s="29"/>
      <c r="AP188" s="29"/>
      <c r="AQ188" s="37"/>
      <c r="AR188" s="29"/>
      <c r="AS188" s="38" t="str">
        <f aca="false">IF($C188="","",IF(OR(F188="Completed",F188="Cancelled"),"",IF(AND(OR(F188="On Hold",ISNUMBER(VALUE(LEFT(H188,2)))),AR188=""),"Reason not given","")))</f>
        <v/>
      </c>
      <c r="AT188" s="30"/>
      <c r="AU188" s="30"/>
    </row>
    <row r="189" customFormat="false" ht="19.5" hidden="false" customHeight="true" outlineLevel="0" collapsed="false">
      <c r="A189" s="28" t="str">
        <f aca="false">IF($C189="","",COUNTA($C$17:$C189))</f>
        <v/>
      </c>
      <c r="B189" s="29"/>
      <c r="C189" s="30"/>
      <c r="D189" s="29"/>
      <c r="E189" s="31" t="str">
        <f aca="false">IF($C189="","",IF(NOT(OR(M189="Completed",M189="NA",M189="Cancelled")),"S1 Schematic",IF(NOT(OR(Q189="Completed",Q189="NA",Q189="Cancelled")),"S2 PCB Layout",IF(NOT(OR(U189="Completed",U189="NA",U189="Cancelled")),"S3 SI &amp; PI",IF(NOT(OR(Y189="Completed",Y189="NA",Y189="Cancelled")),"S4 Bare-PCB Fab",IF(NOT(OR(AC189="Completed",AC189="NA",AC189="Cancelled")),"S5 Assembly",IF(NOT(OR(AG189="Completed",AG189="NA",AG189="Cancelled")),"S6 Bring-up",IF(NOT(OR(AK189="Completed",AK189="NA",AK189="Cancelled")),"S7 BOM Procurement","All Stages Closed"))))))))</f>
        <v/>
      </c>
      <c r="F189" s="32" t="str">
        <f aca="false">IF($C189="","",IF(COUNTIF(M189,"Cancelled")+COUNTIF(Q189,"Cancelled")+COUNTIF(U189,"Cancelled")+COUNTIF(Y189,"Cancelled")+COUNTIF(AC189,"Cancelled")+COUNTIF(AG189,"Cancelled")+COUNTIF(AK189,"Cancelled")&gt;0,"Cancelled",IF(E189="All Stages Closed","Completed",IF(E189="S1 Schematic",M189,IF(E189="S2 PCB Layout",Q189,IF(E189="S3 SI &amp; PI",U189,IF(E189="S4 Bare-PCB Fab",Y189,IF(E189="S5 Assembly",AC189,IF(E189="S6 Bring-up",AG189,AK189)))))))))</f>
        <v/>
      </c>
      <c r="G189" s="33" t="str">
        <f aca="false">IF($C189="","",IF(E189="All Stages Closed","",IF(E189="S1 Schematic",IF(N189="","Not added",N189),IF(E189="S2 PCB Layout",IF(R189="","Not added",R189),IF(E189="S3 SI &amp; PI",IF(V189="","Not added",V189),IF(E189="S4 Bare-PCB Fab",IF(Z189="","Not added",Z189),IF(E189="S5 Assembly",IF(AD189="","Not added",AD189),IF(E189="S6 Bring-up",IF(AH189="","Not added",AH189),IF(AL189="","Not added",AL189)))))))))</f>
        <v/>
      </c>
      <c r="H189" s="32" t="str">
        <f aca="true">IF($C189="","",IF(OR(F189="Completed",F189="Cancelled"),"",IF(NOT(ISNUMBER(G189)),"No date set",IF(TODAY()&gt;G189,TODAY()-G189&amp;" days late",G189-TODAY()&amp;" days left"))))</f>
        <v/>
      </c>
      <c r="I189" s="31" t="str">
        <f aca="false">IF($C189="","",COUNTIF(M189,"Completed")+COUNTIF(Q189,"Completed")+COUNTIF(U189,"Completed")+COUNTIF(Y189,"Completed")+COUNTIF(AC189,"Completed")+COUNTIF(AG189,"Completed")+COUNTIF(AK189,"Completed"))</f>
        <v/>
      </c>
      <c r="J189" s="31" t="str">
        <f aca="false">IF($C189="","",7-(COUNTIF(M189,"NA")+COUNTIF(Q189,"NA")+COUNTIF(U189,"NA")+COUNTIF(Y189,"NA")+COUNTIF(AC189,"NA")+COUNTIF(AG189,"NA")+COUNTIF(AK189,"NA")))</f>
        <v/>
      </c>
      <c r="K189" s="34" t="str">
        <f aca="false">IFERROR(I189/J189,"")</f>
        <v/>
      </c>
      <c r="L189" s="29"/>
      <c r="M189" s="35"/>
      <c r="N189" s="36"/>
      <c r="O189" s="36"/>
      <c r="P189" s="29"/>
      <c r="Q189" s="35"/>
      <c r="R189" s="36"/>
      <c r="S189" s="36"/>
      <c r="T189" s="29"/>
      <c r="U189" s="35"/>
      <c r="V189" s="36"/>
      <c r="W189" s="36"/>
      <c r="X189" s="29"/>
      <c r="Y189" s="35"/>
      <c r="Z189" s="36"/>
      <c r="AA189" s="36"/>
      <c r="AB189" s="29"/>
      <c r="AC189" s="35"/>
      <c r="AD189" s="36"/>
      <c r="AE189" s="36"/>
      <c r="AF189" s="29"/>
      <c r="AG189" s="35"/>
      <c r="AH189" s="36"/>
      <c r="AI189" s="36"/>
      <c r="AJ189" s="29"/>
      <c r="AK189" s="35"/>
      <c r="AL189" s="36"/>
      <c r="AM189" s="36"/>
      <c r="AN189" s="29"/>
      <c r="AO189" s="29"/>
      <c r="AP189" s="29"/>
      <c r="AQ189" s="37"/>
      <c r="AR189" s="29"/>
      <c r="AS189" s="38" t="str">
        <f aca="false">IF($C189="","",IF(OR(F189="Completed",F189="Cancelled"),"",IF(AND(OR(F189="On Hold",ISNUMBER(VALUE(LEFT(H189,2)))),AR189=""),"Reason not given","")))</f>
        <v/>
      </c>
      <c r="AT189" s="30"/>
      <c r="AU189" s="30"/>
    </row>
    <row r="190" customFormat="false" ht="19.5" hidden="false" customHeight="true" outlineLevel="0" collapsed="false">
      <c r="A190" s="28" t="str">
        <f aca="false">IF($C190="","",COUNTA($C$17:$C190))</f>
        <v/>
      </c>
      <c r="B190" s="29"/>
      <c r="C190" s="30"/>
      <c r="D190" s="29"/>
      <c r="E190" s="31" t="str">
        <f aca="false">IF($C190="","",IF(NOT(OR(M190="Completed",M190="NA",M190="Cancelled")),"S1 Schematic",IF(NOT(OR(Q190="Completed",Q190="NA",Q190="Cancelled")),"S2 PCB Layout",IF(NOT(OR(U190="Completed",U190="NA",U190="Cancelled")),"S3 SI &amp; PI",IF(NOT(OR(Y190="Completed",Y190="NA",Y190="Cancelled")),"S4 Bare-PCB Fab",IF(NOT(OR(AC190="Completed",AC190="NA",AC190="Cancelled")),"S5 Assembly",IF(NOT(OR(AG190="Completed",AG190="NA",AG190="Cancelled")),"S6 Bring-up",IF(NOT(OR(AK190="Completed",AK190="NA",AK190="Cancelled")),"S7 BOM Procurement","All Stages Closed"))))))))</f>
        <v/>
      </c>
      <c r="F190" s="32" t="str">
        <f aca="false">IF($C190="","",IF(COUNTIF(M190,"Cancelled")+COUNTIF(Q190,"Cancelled")+COUNTIF(U190,"Cancelled")+COUNTIF(Y190,"Cancelled")+COUNTIF(AC190,"Cancelled")+COUNTIF(AG190,"Cancelled")+COUNTIF(AK190,"Cancelled")&gt;0,"Cancelled",IF(E190="All Stages Closed","Completed",IF(E190="S1 Schematic",M190,IF(E190="S2 PCB Layout",Q190,IF(E190="S3 SI &amp; PI",U190,IF(E190="S4 Bare-PCB Fab",Y190,IF(E190="S5 Assembly",AC190,IF(E190="S6 Bring-up",AG190,AK190)))))))))</f>
        <v/>
      </c>
      <c r="G190" s="33" t="str">
        <f aca="false">IF($C190="","",IF(E190="All Stages Closed","",IF(E190="S1 Schematic",IF(N190="","Not added",N190),IF(E190="S2 PCB Layout",IF(R190="","Not added",R190),IF(E190="S3 SI &amp; PI",IF(V190="","Not added",V190),IF(E190="S4 Bare-PCB Fab",IF(Z190="","Not added",Z190),IF(E190="S5 Assembly",IF(AD190="","Not added",AD190),IF(E190="S6 Bring-up",IF(AH190="","Not added",AH190),IF(AL190="","Not added",AL190)))))))))</f>
        <v/>
      </c>
      <c r="H190" s="32" t="str">
        <f aca="true">IF($C190="","",IF(OR(F190="Completed",F190="Cancelled"),"",IF(NOT(ISNUMBER(G190)),"No date set",IF(TODAY()&gt;G190,TODAY()-G190&amp;" days late",G190-TODAY()&amp;" days left"))))</f>
        <v/>
      </c>
      <c r="I190" s="31" t="str">
        <f aca="false">IF($C190="","",COUNTIF(M190,"Completed")+COUNTIF(Q190,"Completed")+COUNTIF(U190,"Completed")+COUNTIF(Y190,"Completed")+COUNTIF(AC190,"Completed")+COUNTIF(AG190,"Completed")+COUNTIF(AK190,"Completed"))</f>
        <v/>
      </c>
      <c r="J190" s="31" t="str">
        <f aca="false">IF($C190="","",7-(COUNTIF(M190,"NA")+COUNTIF(Q190,"NA")+COUNTIF(U190,"NA")+COUNTIF(Y190,"NA")+COUNTIF(AC190,"NA")+COUNTIF(AG190,"NA")+COUNTIF(AK190,"NA")))</f>
        <v/>
      </c>
      <c r="K190" s="34" t="str">
        <f aca="false">IFERROR(I190/J190,"")</f>
        <v/>
      </c>
      <c r="L190" s="29"/>
      <c r="M190" s="35"/>
      <c r="N190" s="36"/>
      <c r="O190" s="36"/>
      <c r="P190" s="29"/>
      <c r="Q190" s="35"/>
      <c r="R190" s="36"/>
      <c r="S190" s="36"/>
      <c r="T190" s="29"/>
      <c r="U190" s="35"/>
      <c r="V190" s="36"/>
      <c r="W190" s="36"/>
      <c r="X190" s="29"/>
      <c r="Y190" s="35"/>
      <c r="Z190" s="36"/>
      <c r="AA190" s="36"/>
      <c r="AB190" s="29"/>
      <c r="AC190" s="35"/>
      <c r="AD190" s="36"/>
      <c r="AE190" s="36"/>
      <c r="AF190" s="29"/>
      <c r="AG190" s="35"/>
      <c r="AH190" s="36"/>
      <c r="AI190" s="36"/>
      <c r="AJ190" s="29"/>
      <c r="AK190" s="35"/>
      <c r="AL190" s="36"/>
      <c r="AM190" s="36"/>
      <c r="AN190" s="29"/>
      <c r="AO190" s="29"/>
      <c r="AP190" s="29"/>
      <c r="AQ190" s="37"/>
      <c r="AR190" s="29"/>
      <c r="AS190" s="38" t="str">
        <f aca="false">IF($C190="","",IF(OR(F190="Completed",F190="Cancelled"),"",IF(AND(OR(F190="On Hold",ISNUMBER(VALUE(LEFT(H190,2)))),AR190=""),"Reason not given","")))</f>
        <v/>
      </c>
      <c r="AT190" s="30"/>
      <c r="AU190" s="30"/>
    </row>
    <row r="191" customFormat="false" ht="19.5" hidden="false" customHeight="true" outlineLevel="0" collapsed="false">
      <c r="A191" s="28" t="str">
        <f aca="false">IF($C191="","",COUNTA($C$17:$C191))</f>
        <v/>
      </c>
      <c r="B191" s="29"/>
      <c r="C191" s="30"/>
      <c r="D191" s="29"/>
      <c r="E191" s="31" t="str">
        <f aca="false">IF($C191="","",IF(NOT(OR(M191="Completed",M191="NA",M191="Cancelled")),"S1 Schematic",IF(NOT(OR(Q191="Completed",Q191="NA",Q191="Cancelled")),"S2 PCB Layout",IF(NOT(OR(U191="Completed",U191="NA",U191="Cancelled")),"S3 SI &amp; PI",IF(NOT(OR(Y191="Completed",Y191="NA",Y191="Cancelled")),"S4 Bare-PCB Fab",IF(NOT(OR(AC191="Completed",AC191="NA",AC191="Cancelled")),"S5 Assembly",IF(NOT(OR(AG191="Completed",AG191="NA",AG191="Cancelled")),"S6 Bring-up",IF(NOT(OR(AK191="Completed",AK191="NA",AK191="Cancelled")),"S7 BOM Procurement","All Stages Closed"))))))))</f>
        <v/>
      </c>
      <c r="F191" s="32" t="str">
        <f aca="false">IF($C191="","",IF(COUNTIF(M191,"Cancelled")+COUNTIF(Q191,"Cancelled")+COUNTIF(U191,"Cancelled")+COUNTIF(Y191,"Cancelled")+COUNTIF(AC191,"Cancelled")+COUNTIF(AG191,"Cancelled")+COUNTIF(AK191,"Cancelled")&gt;0,"Cancelled",IF(E191="All Stages Closed","Completed",IF(E191="S1 Schematic",M191,IF(E191="S2 PCB Layout",Q191,IF(E191="S3 SI &amp; PI",U191,IF(E191="S4 Bare-PCB Fab",Y191,IF(E191="S5 Assembly",AC191,IF(E191="S6 Bring-up",AG191,AK191)))))))))</f>
        <v/>
      </c>
      <c r="G191" s="33" t="str">
        <f aca="false">IF($C191="","",IF(E191="All Stages Closed","",IF(E191="S1 Schematic",IF(N191="","Not added",N191),IF(E191="S2 PCB Layout",IF(R191="","Not added",R191),IF(E191="S3 SI &amp; PI",IF(V191="","Not added",V191),IF(E191="S4 Bare-PCB Fab",IF(Z191="","Not added",Z191),IF(E191="S5 Assembly",IF(AD191="","Not added",AD191),IF(E191="S6 Bring-up",IF(AH191="","Not added",AH191),IF(AL191="","Not added",AL191)))))))))</f>
        <v/>
      </c>
      <c r="H191" s="32" t="str">
        <f aca="true">IF($C191="","",IF(OR(F191="Completed",F191="Cancelled"),"",IF(NOT(ISNUMBER(G191)),"No date set",IF(TODAY()&gt;G191,TODAY()-G191&amp;" days late",G191-TODAY()&amp;" days left"))))</f>
        <v/>
      </c>
      <c r="I191" s="31" t="str">
        <f aca="false">IF($C191="","",COUNTIF(M191,"Completed")+COUNTIF(Q191,"Completed")+COUNTIF(U191,"Completed")+COUNTIF(Y191,"Completed")+COUNTIF(AC191,"Completed")+COUNTIF(AG191,"Completed")+COUNTIF(AK191,"Completed"))</f>
        <v/>
      </c>
      <c r="J191" s="31" t="str">
        <f aca="false">IF($C191="","",7-(COUNTIF(M191,"NA")+COUNTIF(Q191,"NA")+COUNTIF(U191,"NA")+COUNTIF(Y191,"NA")+COUNTIF(AC191,"NA")+COUNTIF(AG191,"NA")+COUNTIF(AK191,"NA")))</f>
        <v/>
      </c>
      <c r="K191" s="34" t="str">
        <f aca="false">IFERROR(I191/J191,"")</f>
        <v/>
      </c>
      <c r="L191" s="29"/>
      <c r="M191" s="35"/>
      <c r="N191" s="36"/>
      <c r="O191" s="36"/>
      <c r="P191" s="29"/>
      <c r="Q191" s="35"/>
      <c r="R191" s="36"/>
      <c r="S191" s="36"/>
      <c r="T191" s="29"/>
      <c r="U191" s="35"/>
      <c r="V191" s="36"/>
      <c r="W191" s="36"/>
      <c r="X191" s="29"/>
      <c r="Y191" s="35"/>
      <c r="Z191" s="36"/>
      <c r="AA191" s="36"/>
      <c r="AB191" s="29"/>
      <c r="AC191" s="35"/>
      <c r="AD191" s="36"/>
      <c r="AE191" s="36"/>
      <c r="AF191" s="29"/>
      <c r="AG191" s="35"/>
      <c r="AH191" s="36"/>
      <c r="AI191" s="36"/>
      <c r="AJ191" s="29"/>
      <c r="AK191" s="35"/>
      <c r="AL191" s="36"/>
      <c r="AM191" s="36"/>
      <c r="AN191" s="29"/>
      <c r="AO191" s="29"/>
      <c r="AP191" s="29"/>
      <c r="AQ191" s="37"/>
      <c r="AR191" s="29"/>
      <c r="AS191" s="38" t="str">
        <f aca="false">IF($C191="","",IF(OR(F191="Completed",F191="Cancelled"),"",IF(AND(OR(F191="On Hold",ISNUMBER(VALUE(LEFT(H191,2)))),AR191=""),"Reason not given","")))</f>
        <v/>
      </c>
      <c r="AT191" s="30"/>
      <c r="AU191" s="30"/>
    </row>
    <row r="192" customFormat="false" ht="19.5" hidden="false" customHeight="true" outlineLevel="0" collapsed="false">
      <c r="A192" s="28" t="str">
        <f aca="false">IF($C192="","",COUNTA($C$17:$C192))</f>
        <v/>
      </c>
      <c r="B192" s="29"/>
      <c r="C192" s="30"/>
      <c r="D192" s="29"/>
      <c r="E192" s="31" t="str">
        <f aca="false">IF($C192="","",IF(NOT(OR(M192="Completed",M192="NA",M192="Cancelled")),"S1 Schematic",IF(NOT(OR(Q192="Completed",Q192="NA",Q192="Cancelled")),"S2 PCB Layout",IF(NOT(OR(U192="Completed",U192="NA",U192="Cancelled")),"S3 SI &amp; PI",IF(NOT(OR(Y192="Completed",Y192="NA",Y192="Cancelled")),"S4 Bare-PCB Fab",IF(NOT(OR(AC192="Completed",AC192="NA",AC192="Cancelled")),"S5 Assembly",IF(NOT(OR(AG192="Completed",AG192="NA",AG192="Cancelled")),"S6 Bring-up",IF(NOT(OR(AK192="Completed",AK192="NA",AK192="Cancelled")),"S7 BOM Procurement","All Stages Closed"))))))))</f>
        <v/>
      </c>
      <c r="F192" s="32" t="str">
        <f aca="false">IF($C192="","",IF(COUNTIF(M192,"Cancelled")+COUNTIF(Q192,"Cancelled")+COUNTIF(U192,"Cancelled")+COUNTIF(Y192,"Cancelled")+COUNTIF(AC192,"Cancelled")+COUNTIF(AG192,"Cancelled")+COUNTIF(AK192,"Cancelled")&gt;0,"Cancelled",IF(E192="All Stages Closed","Completed",IF(E192="S1 Schematic",M192,IF(E192="S2 PCB Layout",Q192,IF(E192="S3 SI &amp; PI",U192,IF(E192="S4 Bare-PCB Fab",Y192,IF(E192="S5 Assembly",AC192,IF(E192="S6 Bring-up",AG192,AK192)))))))))</f>
        <v/>
      </c>
      <c r="G192" s="33" t="str">
        <f aca="false">IF($C192="","",IF(E192="All Stages Closed","",IF(E192="S1 Schematic",IF(N192="","Not added",N192),IF(E192="S2 PCB Layout",IF(R192="","Not added",R192),IF(E192="S3 SI &amp; PI",IF(V192="","Not added",V192),IF(E192="S4 Bare-PCB Fab",IF(Z192="","Not added",Z192),IF(E192="S5 Assembly",IF(AD192="","Not added",AD192),IF(E192="S6 Bring-up",IF(AH192="","Not added",AH192),IF(AL192="","Not added",AL192)))))))))</f>
        <v/>
      </c>
      <c r="H192" s="32" t="str">
        <f aca="true">IF($C192="","",IF(OR(F192="Completed",F192="Cancelled"),"",IF(NOT(ISNUMBER(G192)),"No date set",IF(TODAY()&gt;G192,TODAY()-G192&amp;" days late",G192-TODAY()&amp;" days left"))))</f>
        <v/>
      </c>
      <c r="I192" s="31" t="str">
        <f aca="false">IF($C192="","",COUNTIF(M192,"Completed")+COUNTIF(Q192,"Completed")+COUNTIF(U192,"Completed")+COUNTIF(Y192,"Completed")+COUNTIF(AC192,"Completed")+COUNTIF(AG192,"Completed")+COUNTIF(AK192,"Completed"))</f>
        <v/>
      </c>
      <c r="J192" s="31" t="str">
        <f aca="false">IF($C192="","",7-(COUNTIF(M192,"NA")+COUNTIF(Q192,"NA")+COUNTIF(U192,"NA")+COUNTIF(Y192,"NA")+COUNTIF(AC192,"NA")+COUNTIF(AG192,"NA")+COUNTIF(AK192,"NA")))</f>
        <v/>
      </c>
      <c r="K192" s="34" t="str">
        <f aca="false">IFERROR(I192/J192,"")</f>
        <v/>
      </c>
      <c r="L192" s="29"/>
      <c r="M192" s="35"/>
      <c r="N192" s="36"/>
      <c r="O192" s="36"/>
      <c r="P192" s="29"/>
      <c r="Q192" s="35"/>
      <c r="R192" s="36"/>
      <c r="S192" s="36"/>
      <c r="T192" s="29"/>
      <c r="U192" s="35"/>
      <c r="V192" s="36"/>
      <c r="W192" s="36"/>
      <c r="X192" s="29"/>
      <c r="Y192" s="35"/>
      <c r="Z192" s="36"/>
      <c r="AA192" s="36"/>
      <c r="AB192" s="29"/>
      <c r="AC192" s="35"/>
      <c r="AD192" s="36"/>
      <c r="AE192" s="36"/>
      <c r="AF192" s="29"/>
      <c r="AG192" s="35"/>
      <c r="AH192" s="36"/>
      <c r="AI192" s="36"/>
      <c r="AJ192" s="29"/>
      <c r="AK192" s="35"/>
      <c r="AL192" s="36"/>
      <c r="AM192" s="36"/>
      <c r="AN192" s="29"/>
      <c r="AO192" s="29"/>
      <c r="AP192" s="29"/>
      <c r="AQ192" s="37"/>
      <c r="AR192" s="29"/>
      <c r="AS192" s="38" t="str">
        <f aca="false">IF($C192="","",IF(OR(F192="Completed",F192="Cancelled"),"",IF(AND(OR(F192="On Hold",ISNUMBER(VALUE(LEFT(H192,2)))),AR192=""),"Reason not given","")))</f>
        <v/>
      </c>
      <c r="AT192" s="30"/>
      <c r="AU192" s="30"/>
    </row>
    <row r="193" customFormat="false" ht="19.5" hidden="false" customHeight="true" outlineLevel="0" collapsed="false">
      <c r="A193" s="28" t="str">
        <f aca="false">IF($C193="","",COUNTA($C$17:$C193))</f>
        <v/>
      </c>
      <c r="B193" s="29"/>
      <c r="C193" s="30"/>
      <c r="D193" s="29"/>
      <c r="E193" s="31" t="str">
        <f aca="false">IF($C193="","",IF(NOT(OR(M193="Completed",M193="NA",M193="Cancelled")),"S1 Schematic",IF(NOT(OR(Q193="Completed",Q193="NA",Q193="Cancelled")),"S2 PCB Layout",IF(NOT(OR(U193="Completed",U193="NA",U193="Cancelled")),"S3 SI &amp; PI",IF(NOT(OR(Y193="Completed",Y193="NA",Y193="Cancelled")),"S4 Bare-PCB Fab",IF(NOT(OR(AC193="Completed",AC193="NA",AC193="Cancelled")),"S5 Assembly",IF(NOT(OR(AG193="Completed",AG193="NA",AG193="Cancelled")),"S6 Bring-up",IF(NOT(OR(AK193="Completed",AK193="NA",AK193="Cancelled")),"S7 BOM Procurement","All Stages Closed"))))))))</f>
        <v/>
      </c>
      <c r="F193" s="32" t="str">
        <f aca="false">IF($C193="","",IF(COUNTIF(M193,"Cancelled")+COUNTIF(Q193,"Cancelled")+COUNTIF(U193,"Cancelled")+COUNTIF(Y193,"Cancelled")+COUNTIF(AC193,"Cancelled")+COUNTIF(AG193,"Cancelled")+COUNTIF(AK193,"Cancelled")&gt;0,"Cancelled",IF(E193="All Stages Closed","Completed",IF(E193="S1 Schematic",M193,IF(E193="S2 PCB Layout",Q193,IF(E193="S3 SI &amp; PI",U193,IF(E193="S4 Bare-PCB Fab",Y193,IF(E193="S5 Assembly",AC193,IF(E193="S6 Bring-up",AG193,AK193)))))))))</f>
        <v/>
      </c>
      <c r="G193" s="33" t="str">
        <f aca="false">IF($C193="","",IF(E193="All Stages Closed","",IF(E193="S1 Schematic",IF(N193="","Not added",N193),IF(E193="S2 PCB Layout",IF(R193="","Not added",R193),IF(E193="S3 SI &amp; PI",IF(V193="","Not added",V193),IF(E193="S4 Bare-PCB Fab",IF(Z193="","Not added",Z193),IF(E193="S5 Assembly",IF(AD193="","Not added",AD193),IF(E193="S6 Bring-up",IF(AH193="","Not added",AH193),IF(AL193="","Not added",AL193)))))))))</f>
        <v/>
      </c>
      <c r="H193" s="32" t="str">
        <f aca="true">IF($C193="","",IF(OR(F193="Completed",F193="Cancelled"),"",IF(NOT(ISNUMBER(G193)),"No date set",IF(TODAY()&gt;G193,TODAY()-G193&amp;" days late",G193-TODAY()&amp;" days left"))))</f>
        <v/>
      </c>
      <c r="I193" s="31" t="str">
        <f aca="false">IF($C193="","",COUNTIF(M193,"Completed")+COUNTIF(Q193,"Completed")+COUNTIF(U193,"Completed")+COUNTIF(Y193,"Completed")+COUNTIF(AC193,"Completed")+COUNTIF(AG193,"Completed")+COUNTIF(AK193,"Completed"))</f>
        <v/>
      </c>
      <c r="J193" s="31" t="str">
        <f aca="false">IF($C193="","",7-(COUNTIF(M193,"NA")+COUNTIF(Q193,"NA")+COUNTIF(U193,"NA")+COUNTIF(Y193,"NA")+COUNTIF(AC193,"NA")+COUNTIF(AG193,"NA")+COUNTIF(AK193,"NA")))</f>
        <v/>
      </c>
      <c r="K193" s="34" t="str">
        <f aca="false">IFERROR(I193/J193,"")</f>
        <v/>
      </c>
      <c r="L193" s="29"/>
      <c r="M193" s="35"/>
      <c r="N193" s="36"/>
      <c r="O193" s="36"/>
      <c r="P193" s="29"/>
      <c r="Q193" s="35"/>
      <c r="R193" s="36"/>
      <c r="S193" s="36"/>
      <c r="T193" s="29"/>
      <c r="U193" s="35"/>
      <c r="V193" s="36"/>
      <c r="W193" s="36"/>
      <c r="X193" s="29"/>
      <c r="Y193" s="35"/>
      <c r="Z193" s="36"/>
      <c r="AA193" s="36"/>
      <c r="AB193" s="29"/>
      <c r="AC193" s="35"/>
      <c r="AD193" s="36"/>
      <c r="AE193" s="36"/>
      <c r="AF193" s="29"/>
      <c r="AG193" s="35"/>
      <c r="AH193" s="36"/>
      <c r="AI193" s="36"/>
      <c r="AJ193" s="29"/>
      <c r="AK193" s="35"/>
      <c r="AL193" s="36"/>
      <c r="AM193" s="36"/>
      <c r="AN193" s="29"/>
      <c r="AO193" s="29"/>
      <c r="AP193" s="29"/>
      <c r="AQ193" s="37"/>
      <c r="AR193" s="29"/>
      <c r="AS193" s="38" t="str">
        <f aca="false">IF($C193="","",IF(OR(F193="Completed",F193="Cancelled"),"",IF(AND(OR(F193="On Hold",ISNUMBER(VALUE(LEFT(H193,2)))),AR193=""),"Reason not given","")))</f>
        <v/>
      </c>
      <c r="AT193" s="30"/>
      <c r="AU193" s="30"/>
    </row>
    <row r="194" customFormat="false" ht="19.5" hidden="false" customHeight="true" outlineLevel="0" collapsed="false">
      <c r="A194" s="28" t="str">
        <f aca="false">IF($C194="","",COUNTA($C$17:$C194))</f>
        <v/>
      </c>
      <c r="B194" s="29"/>
      <c r="C194" s="30"/>
      <c r="D194" s="29"/>
      <c r="E194" s="31" t="str">
        <f aca="false">IF($C194="","",IF(NOT(OR(M194="Completed",M194="NA",M194="Cancelled")),"S1 Schematic",IF(NOT(OR(Q194="Completed",Q194="NA",Q194="Cancelled")),"S2 PCB Layout",IF(NOT(OR(U194="Completed",U194="NA",U194="Cancelled")),"S3 SI &amp; PI",IF(NOT(OR(Y194="Completed",Y194="NA",Y194="Cancelled")),"S4 Bare-PCB Fab",IF(NOT(OR(AC194="Completed",AC194="NA",AC194="Cancelled")),"S5 Assembly",IF(NOT(OR(AG194="Completed",AG194="NA",AG194="Cancelled")),"S6 Bring-up",IF(NOT(OR(AK194="Completed",AK194="NA",AK194="Cancelled")),"S7 BOM Procurement","All Stages Closed"))))))))</f>
        <v/>
      </c>
      <c r="F194" s="32" t="str">
        <f aca="false">IF($C194="","",IF(COUNTIF(M194,"Cancelled")+COUNTIF(Q194,"Cancelled")+COUNTIF(U194,"Cancelled")+COUNTIF(Y194,"Cancelled")+COUNTIF(AC194,"Cancelled")+COUNTIF(AG194,"Cancelled")+COUNTIF(AK194,"Cancelled")&gt;0,"Cancelled",IF(E194="All Stages Closed","Completed",IF(E194="S1 Schematic",M194,IF(E194="S2 PCB Layout",Q194,IF(E194="S3 SI &amp; PI",U194,IF(E194="S4 Bare-PCB Fab",Y194,IF(E194="S5 Assembly",AC194,IF(E194="S6 Bring-up",AG194,AK194)))))))))</f>
        <v/>
      </c>
      <c r="G194" s="33" t="str">
        <f aca="false">IF($C194="","",IF(E194="All Stages Closed","",IF(E194="S1 Schematic",IF(N194="","Not added",N194),IF(E194="S2 PCB Layout",IF(R194="","Not added",R194),IF(E194="S3 SI &amp; PI",IF(V194="","Not added",V194),IF(E194="S4 Bare-PCB Fab",IF(Z194="","Not added",Z194),IF(E194="S5 Assembly",IF(AD194="","Not added",AD194),IF(E194="S6 Bring-up",IF(AH194="","Not added",AH194),IF(AL194="","Not added",AL194)))))))))</f>
        <v/>
      </c>
      <c r="H194" s="32" t="str">
        <f aca="true">IF($C194="","",IF(OR(F194="Completed",F194="Cancelled"),"",IF(NOT(ISNUMBER(G194)),"No date set",IF(TODAY()&gt;G194,TODAY()-G194&amp;" days late",G194-TODAY()&amp;" days left"))))</f>
        <v/>
      </c>
      <c r="I194" s="31" t="str">
        <f aca="false">IF($C194="","",COUNTIF(M194,"Completed")+COUNTIF(Q194,"Completed")+COUNTIF(U194,"Completed")+COUNTIF(Y194,"Completed")+COUNTIF(AC194,"Completed")+COUNTIF(AG194,"Completed")+COUNTIF(AK194,"Completed"))</f>
        <v/>
      </c>
      <c r="J194" s="31" t="str">
        <f aca="false">IF($C194="","",7-(COUNTIF(M194,"NA")+COUNTIF(Q194,"NA")+COUNTIF(U194,"NA")+COUNTIF(Y194,"NA")+COUNTIF(AC194,"NA")+COUNTIF(AG194,"NA")+COUNTIF(AK194,"NA")))</f>
        <v/>
      </c>
      <c r="K194" s="34" t="str">
        <f aca="false">IFERROR(I194/J194,"")</f>
        <v/>
      </c>
      <c r="L194" s="29"/>
      <c r="M194" s="35"/>
      <c r="N194" s="36"/>
      <c r="O194" s="36"/>
      <c r="P194" s="29"/>
      <c r="Q194" s="35"/>
      <c r="R194" s="36"/>
      <c r="S194" s="36"/>
      <c r="T194" s="29"/>
      <c r="U194" s="35"/>
      <c r="V194" s="36"/>
      <c r="W194" s="36"/>
      <c r="X194" s="29"/>
      <c r="Y194" s="35"/>
      <c r="Z194" s="36"/>
      <c r="AA194" s="36"/>
      <c r="AB194" s="29"/>
      <c r="AC194" s="35"/>
      <c r="AD194" s="36"/>
      <c r="AE194" s="36"/>
      <c r="AF194" s="29"/>
      <c r="AG194" s="35"/>
      <c r="AH194" s="36"/>
      <c r="AI194" s="36"/>
      <c r="AJ194" s="29"/>
      <c r="AK194" s="35"/>
      <c r="AL194" s="36"/>
      <c r="AM194" s="36"/>
      <c r="AN194" s="29"/>
      <c r="AO194" s="29"/>
      <c r="AP194" s="29"/>
      <c r="AQ194" s="37"/>
      <c r="AR194" s="29"/>
      <c r="AS194" s="38" t="str">
        <f aca="false">IF($C194="","",IF(OR(F194="Completed",F194="Cancelled"),"",IF(AND(OR(F194="On Hold",ISNUMBER(VALUE(LEFT(H194,2)))),AR194=""),"Reason not given","")))</f>
        <v/>
      </c>
      <c r="AT194" s="30"/>
      <c r="AU194" s="30"/>
    </row>
    <row r="195" customFormat="false" ht="19.5" hidden="false" customHeight="true" outlineLevel="0" collapsed="false">
      <c r="A195" s="28" t="str">
        <f aca="false">IF($C195="","",COUNTA($C$17:$C195))</f>
        <v/>
      </c>
      <c r="B195" s="29"/>
      <c r="C195" s="30"/>
      <c r="D195" s="29"/>
      <c r="E195" s="31" t="str">
        <f aca="false">IF($C195="","",IF(NOT(OR(M195="Completed",M195="NA",M195="Cancelled")),"S1 Schematic",IF(NOT(OR(Q195="Completed",Q195="NA",Q195="Cancelled")),"S2 PCB Layout",IF(NOT(OR(U195="Completed",U195="NA",U195="Cancelled")),"S3 SI &amp; PI",IF(NOT(OR(Y195="Completed",Y195="NA",Y195="Cancelled")),"S4 Bare-PCB Fab",IF(NOT(OR(AC195="Completed",AC195="NA",AC195="Cancelled")),"S5 Assembly",IF(NOT(OR(AG195="Completed",AG195="NA",AG195="Cancelled")),"S6 Bring-up",IF(NOT(OR(AK195="Completed",AK195="NA",AK195="Cancelled")),"S7 BOM Procurement","All Stages Closed"))))))))</f>
        <v/>
      </c>
      <c r="F195" s="32" t="str">
        <f aca="false">IF($C195="","",IF(COUNTIF(M195,"Cancelled")+COUNTIF(Q195,"Cancelled")+COUNTIF(U195,"Cancelled")+COUNTIF(Y195,"Cancelled")+COUNTIF(AC195,"Cancelled")+COUNTIF(AG195,"Cancelled")+COUNTIF(AK195,"Cancelled")&gt;0,"Cancelled",IF(E195="All Stages Closed","Completed",IF(E195="S1 Schematic",M195,IF(E195="S2 PCB Layout",Q195,IF(E195="S3 SI &amp; PI",U195,IF(E195="S4 Bare-PCB Fab",Y195,IF(E195="S5 Assembly",AC195,IF(E195="S6 Bring-up",AG195,AK195)))))))))</f>
        <v/>
      </c>
      <c r="G195" s="33" t="str">
        <f aca="false">IF($C195="","",IF(E195="All Stages Closed","",IF(E195="S1 Schematic",IF(N195="","Not added",N195),IF(E195="S2 PCB Layout",IF(R195="","Not added",R195),IF(E195="S3 SI &amp; PI",IF(V195="","Not added",V195),IF(E195="S4 Bare-PCB Fab",IF(Z195="","Not added",Z195),IF(E195="S5 Assembly",IF(AD195="","Not added",AD195),IF(E195="S6 Bring-up",IF(AH195="","Not added",AH195),IF(AL195="","Not added",AL195)))))))))</f>
        <v/>
      </c>
      <c r="H195" s="32" t="str">
        <f aca="true">IF($C195="","",IF(OR(F195="Completed",F195="Cancelled"),"",IF(NOT(ISNUMBER(G195)),"No date set",IF(TODAY()&gt;G195,TODAY()-G195&amp;" days late",G195-TODAY()&amp;" days left"))))</f>
        <v/>
      </c>
      <c r="I195" s="31" t="str">
        <f aca="false">IF($C195="","",COUNTIF(M195,"Completed")+COUNTIF(Q195,"Completed")+COUNTIF(U195,"Completed")+COUNTIF(Y195,"Completed")+COUNTIF(AC195,"Completed")+COUNTIF(AG195,"Completed")+COUNTIF(AK195,"Completed"))</f>
        <v/>
      </c>
      <c r="J195" s="31" t="str">
        <f aca="false">IF($C195="","",7-(COUNTIF(M195,"NA")+COUNTIF(Q195,"NA")+COUNTIF(U195,"NA")+COUNTIF(Y195,"NA")+COUNTIF(AC195,"NA")+COUNTIF(AG195,"NA")+COUNTIF(AK195,"NA")))</f>
        <v/>
      </c>
      <c r="K195" s="34" t="str">
        <f aca="false">IFERROR(I195/J195,"")</f>
        <v/>
      </c>
      <c r="L195" s="29"/>
      <c r="M195" s="35"/>
      <c r="N195" s="36"/>
      <c r="O195" s="36"/>
      <c r="P195" s="29"/>
      <c r="Q195" s="35"/>
      <c r="R195" s="36"/>
      <c r="S195" s="36"/>
      <c r="T195" s="29"/>
      <c r="U195" s="35"/>
      <c r="V195" s="36"/>
      <c r="W195" s="36"/>
      <c r="X195" s="29"/>
      <c r="Y195" s="35"/>
      <c r="Z195" s="36"/>
      <c r="AA195" s="36"/>
      <c r="AB195" s="29"/>
      <c r="AC195" s="35"/>
      <c r="AD195" s="36"/>
      <c r="AE195" s="36"/>
      <c r="AF195" s="29"/>
      <c r="AG195" s="35"/>
      <c r="AH195" s="36"/>
      <c r="AI195" s="36"/>
      <c r="AJ195" s="29"/>
      <c r="AK195" s="35"/>
      <c r="AL195" s="36"/>
      <c r="AM195" s="36"/>
      <c r="AN195" s="29"/>
      <c r="AO195" s="29"/>
      <c r="AP195" s="29"/>
      <c r="AQ195" s="37"/>
      <c r="AR195" s="29"/>
      <c r="AS195" s="38" t="str">
        <f aca="false">IF($C195="","",IF(OR(F195="Completed",F195="Cancelled"),"",IF(AND(OR(F195="On Hold",ISNUMBER(VALUE(LEFT(H195,2)))),AR195=""),"Reason not given","")))</f>
        <v/>
      </c>
      <c r="AT195" s="30"/>
      <c r="AU195" s="30"/>
    </row>
    <row r="196" customFormat="false" ht="19.5" hidden="false" customHeight="true" outlineLevel="0" collapsed="false">
      <c r="A196" s="28" t="str">
        <f aca="false">IF($C196="","",COUNTA($C$17:$C196))</f>
        <v/>
      </c>
      <c r="B196" s="29"/>
      <c r="C196" s="30"/>
      <c r="D196" s="29"/>
      <c r="E196" s="31" t="str">
        <f aca="false">IF($C196="","",IF(NOT(OR(M196="Completed",M196="NA",M196="Cancelled")),"S1 Schematic",IF(NOT(OR(Q196="Completed",Q196="NA",Q196="Cancelled")),"S2 PCB Layout",IF(NOT(OR(U196="Completed",U196="NA",U196="Cancelled")),"S3 SI &amp; PI",IF(NOT(OR(Y196="Completed",Y196="NA",Y196="Cancelled")),"S4 Bare-PCB Fab",IF(NOT(OR(AC196="Completed",AC196="NA",AC196="Cancelled")),"S5 Assembly",IF(NOT(OR(AG196="Completed",AG196="NA",AG196="Cancelled")),"S6 Bring-up",IF(NOT(OR(AK196="Completed",AK196="NA",AK196="Cancelled")),"S7 BOM Procurement","All Stages Closed"))))))))</f>
        <v/>
      </c>
      <c r="F196" s="32" t="str">
        <f aca="false">IF($C196="","",IF(COUNTIF(M196,"Cancelled")+COUNTIF(Q196,"Cancelled")+COUNTIF(U196,"Cancelled")+COUNTIF(Y196,"Cancelled")+COUNTIF(AC196,"Cancelled")+COUNTIF(AG196,"Cancelled")+COUNTIF(AK196,"Cancelled")&gt;0,"Cancelled",IF(E196="All Stages Closed","Completed",IF(E196="S1 Schematic",M196,IF(E196="S2 PCB Layout",Q196,IF(E196="S3 SI &amp; PI",U196,IF(E196="S4 Bare-PCB Fab",Y196,IF(E196="S5 Assembly",AC196,IF(E196="S6 Bring-up",AG196,AK196)))))))))</f>
        <v/>
      </c>
      <c r="G196" s="33" t="str">
        <f aca="false">IF($C196="","",IF(E196="All Stages Closed","",IF(E196="S1 Schematic",IF(N196="","Not added",N196),IF(E196="S2 PCB Layout",IF(R196="","Not added",R196),IF(E196="S3 SI &amp; PI",IF(V196="","Not added",V196),IF(E196="S4 Bare-PCB Fab",IF(Z196="","Not added",Z196),IF(E196="S5 Assembly",IF(AD196="","Not added",AD196),IF(E196="S6 Bring-up",IF(AH196="","Not added",AH196),IF(AL196="","Not added",AL196)))))))))</f>
        <v/>
      </c>
      <c r="H196" s="32" t="str">
        <f aca="true">IF($C196="","",IF(OR(F196="Completed",F196="Cancelled"),"",IF(NOT(ISNUMBER(G196)),"No date set",IF(TODAY()&gt;G196,TODAY()-G196&amp;" days late",G196-TODAY()&amp;" days left"))))</f>
        <v/>
      </c>
      <c r="I196" s="31" t="str">
        <f aca="false">IF($C196="","",COUNTIF(M196,"Completed")+COUNTIF(Q196,"Completed")+COUNTIF(U196,"Completed")+COUNTIF(Y196,"Completed")+COUNTIF(AC196,"Completed")+COUNTIF(AG196,"Completed")+COUNTIF(AK196,"Completed"))</f>
        <v/>
      </c>
      <c r="J196" s="31" t="str">
        <f aca="false">IF($C196="","",7-(COUNTIF(M196,"NA")+COUNTIF(Q196,"NA")+COUNTIF(U196,"NA")+COUNTIF(Y196,"NA")+COUNTIF(AC196,"NA")+COUNTIF(AG196,"NA")+COUNTIF(AK196,"NA")))</f>
        <v/>
      </c>
      <c r="K196" s="34" t="str">
        <f aca="false">IFERROR(I196/J196,"")</f>
        <v/>
      </c>
      <c r="L196" s="29"/>
      <c r="M196" s="35"/>
      <c r="N196" s="36"/>
      <c r="O196" s="36"/>
      <c r="P196" s="29"/>
      <c r="Q196" s="35"/>
      <c r="R196" s="36"/>
      <c r="S196" s="36"/>
      <c r="T196" s="29"/>
      <c r="U196" s="35"/>
      <c r="V196" s="36"/>
      <c r="W196" s="36"/>
      <c r="X196" s="29"/>
      <c r="Y196" s="35"/>
      <c r="Z196" s="36"/>
      <c r="AA196" s="36"/>
      <c r="AB196" s="29"/>
      <c r="AC196" s="35"/>
      <c r="AD196" s="36"/>
      <c r="AE196" s="36"/>
      <c r="AF196" s="29"/>
      <c r="AG196" s="35"/>
      <c r="AH196" s="36"/>
      <c r="AI196" s="36"/>
      <c r="AJ196" s="29"/>
      <c r="AK196" s="35"/>
      <c r="AL196" s="36"/>
      <c r="AM196" s="36"/>
      <c r="AN196" s="29"/>
      <c r="AO196" s="29"/>
      <c r="AP196" s="29"/>
      <c r="AQ196" s="37"/>
      <c r="AR196" s="29"/>
      <c r="AS196" s="38" t="str">
        <f aca="false">IF($C196="","",IF(OR(F196="Completed",F196="Cancelled"),"",IF(AND(OR(F196="On Hold",ISNUMBER(VALUE(LEFT(H196,2)))),AR196=""),"Reason not given","")))</f>
        <v/>
      </c>
      <c r="AT196" s="30"/>
      <c r="AU196" s="30"/>
    </row>
    <row r="197" customFormat="false" ht="19.5" hidden="false" customHeight="true" outlineLevel="0" collapsed="false">
      <c r="A197" s="28" t="str">
        <f aca="false">IF($C197="","",COUNTA($C$17:$C197))</f>
        <v/>
      </c>
      <c r="B197" s="29"/>
      <c r="C197" s="30"/>
      <c r="D197" s="29"/>
      <c r="E197" s="31" t="str">
        <f aca="false">IF($C197="","",IF(NOT(OR(M197="Completed",M197="NA",M197="Cancelled")),"S1 Schematic",IF(NOT(OR(Q197="Completed",Q197="NA",Q197="Cancelled")),"S2 PCB Layout",IF(NOT(OR(U197="Completed",U197="NA",U197="Cancelled")),"S3 SI &amp; PI",IF(NOT(OR(Y197="Completed",Y197="NA",Y197="Cancelled")),"S4 Bare-PCB Fab",IF(NOT(OR(AC197="Completed",AC197="NA",AC197="Cancelled")),"S5 Assembly",IF(NOT(OR(AG197="Completed",AG197="NA",AG197="Cancelled")),"S6 Bring-up",IF(NOT(OR(AK197="Completed",AK197="NA",AK197="Cancelled")),"S7 BOM Procurement","All Stages Closed"))))))))</f>
        <v/>
      </c>
      <c r="F197" s="32" t="str">
        <f aca="false">IF($C197="","",IF(COUNTIF(M197,"Cancelled")+COUNTIF(Q197,"Cancelled")+COUNTIF(U197,"Cancelled")+COUNTIF(Y197,"Cancelled")+COUNTIF(AC197,"Cancelled")+COUNTIF(AG197,"Cancelled")+COUNTIF(AK197,"Cancelled")&gt;0,"Cancelled",IF(E197="All Stages Closed","Completed",IF(E197="S1 Schematic",M197,IF(E197="S2 PCB Layout",Q197,IF(E197="S3 SI &amp; PI",U197,IF(E197="S4 Bare-PCB Fab",Y197,IF(E197="S5 Assembly",AC197,IF(E197="S6 Bring-up",AG197,AK197)))))))))</f>
        <v/>
      </c>
      <c r="G197" s="33" t="str">
        <f aca="false">IF($C197="","",IF(E197="All Stages Closed","",IF(E197="S1 Schematic",IF(N197="","Not added",N197),IF(E197="S2 PCB Layout",IF(R197="","Not added",R197),IF(E197="S3 SI &amp; PI",IF(V197="","Not added",V197),IF(E197="S4 Bare-PCB Fab",IF(Z197="","Not added",Z197),IF(E197="S5 Assembly",IF(AD197="","Not added",AD197),IF(E197="S6 Bring-up",IF(AH197="","Not added",AH197),IF(AL197="","Not added",AL197)))))))))</f>
        <v/>
      </c>
      <c r="H197" s="32" t="str">
        <f aca="true">IF($C197="","",IF(OR(F197="Completed",F197="Cancelled"),"",IF(NOT(ISNUMBER(G197)),"No date set",IF(TODAY()&gt;G197,TODAY()-G197&amp;" days late",G197-TODAY()&amp;" days left"))))</f>
        <v/>
      </c>
      <c r="I197" s="31" t="str">
        <f aca="false">IF($C197="","",COUNTIF(M197,"Completed")+COUNTIF(Q197,"Completed")+COUNTIF(U197,"Completed")+COUNTIF(Y197,"Completed")+COUNTIF(AC197,"Completed")+COUNTIF(AG197,"Completed")+COUNTIF(AK197,"Completed"))</f>
        <v/>
      </c>
      <c r="J197" s="31" t="str">
        <f aca="false">IF($C197="","",7-(COUNTIF(M197,"NA")+COUNTIF(Q197,"NA")+COUNTIF(U197,"NA")+COUNTIF(Y197,"NA")+COUNTIF(AC197,"NA")+COUNTIF(AG197,"NA")+COUNTIF(AK197,"NA")))</f>
        <v/>
      </c>
      <c r="K197" s="34" t="str">
        <f aca="false">IFERROR(I197/J197,"")</f>
        <v/>
      </c>
      <c r="L197" s="29"/>
      <c r="M197" s="35"/>
      <c r="N197" s="36"/>
      <c r="O197" s="36"/>
      <c r="P197" s="29"/>
      <c r="Q197" s="35"/>
      <c r="R197" s="36"/>
      <c r="S197" s="36"/>
      <c r="T197" s="29"/>
      <c r="U197" s="35"/>
      <c r="V197" s="36"/>
      <c r="W197" s="36"/>
      <c r="X197" s="29"/>
      <c r="Y197" s="35"/>
      <c r="Z197" s="36"/>
      <c r="AA197" s="36"/>
      <c r="AB197" s="29"/>
      <c r="AC197" s="35"/>
      <c r="AD197" s="36"/>
      <c r="AE197" s="36"/>
      <c r="AF197" s="29"/>
      <c r="AG197" s="35"/>
      <c r="AH197" s="36"/>
      <c r="AI197" s="36"/>
      <c r="AJ197" s="29"/>
      <c r="AK197" s="35"/>
      <c r="AL197" s="36"/>
      <c r="AM197" s="36"/>
      <c r="AN197" s="29"/>
      <c r="AO197" s="29"/>
      <c r="AP197" s="29"/>
      <c r="AQ197" s="37"/>
      <c r="AR197" s="29"/>
      <c r="AS197" s="38" t="str">
        <f aca="false">IF($C197="","",IF(OR(F197="Completed",F197="Cancelled"),"",IF(AND(OR(F197="On Hold",ISNUMBER(VALUE(LEFT(H197,2)))),AR197=""),"Reason not given","")))</f>
        <v/>
      </c>
      <c r="AT197" s="30"/>
      <c r="AU197" s="30"/>
    </row>
    <row r="198" customFormat="false" ht="19.5" hidden="false" customHeight="true" outlineLevel="0" collapsed="false">
      <c r="A198" s="28" t="str">
        <f aca="false">IF($C198="","",COUNTA($C$17:$C198))</f>
        <v/>
      </c>
      <c r="B198" s="29"/>
      <c r="C198" s="30"/>
      <c r="D198" s="29"/>
      <c r="E198" s="31" t="str">
        <f aca="false">IF($C198="","",IF(NOT(OR(M198="Completed",M198="NA",M198="Cancelled")),"S1 Schematic",IF(NOT(OR(Q198="Completed",Q198="NA",Q198="Cancelled")),"S2 PCB Layout",IF(NOT(OR(U198="Completed",U198="NA",U198="Cancelled")),"S3 SI &amp; PI",IF(NOT(OR(Y198="Completed",Y198="NA",Y198="Cancelled")),"S4 Bare-PCB Fab",IF(NOT(OR(AC198="Completed",AC198="NA",AC198="Cancelled")),"S5 Assembly",IF(NOT(OR(AG198="Completed",AG198="NA",AG198="Cancelled")),"S6 Bring-up",IF(NOT(OR(AK198="Completed",AK198="NA",AK198="Cancelled")),"S7 BOM Procurement","All Stages Closed"))))))))</f>
        <v/>
      </c>
      <c r="F198" s="32" t="str">
        <f aca="false">IF($C198="","",IF(COUNTIF(M198,"Cancelled")+COUNTIF(Q198,"Cancelled")+COUNTIF(U198,"Cancelled")+COUNTIF(Y198,"Cancelled")+COUNTIF(AC198,"Cancelled")+COUNTIF(AG198,"Cancelled")+COUNTIF(AK198,"Cancelled")&gt;0,"Cancelled",IF(E198="All Stages Closed","Completed",IF(E198="S1 Schematic",M198,IF(E198="S2 PCB Layout",Q198,IF(E198="S3 SI &amp; PI",U198,IF(E198="S4 Bare-PCB Fab",Y198,IF(E198="S5 Assembly",AC198,IF(E198="S6 Bring-up",AG198,AK198)))))))))</f>
        <v/>
      </c>
      <c r="G198" s="33" t="str">
        <f aca="false">IF($C198="","",IF(E198="All Stages Closed","",IF(E198="S1 Schematic",IF(N198="","Not added",N198),IF(E198="S2 PCB Layout",IF(R198="","Not added",R198),IF(E198="S3 SI &amp; PI",IF(V198="","Not added",V198),IF(E198="S4 Bare-PCB Fab",IF(Z198="","Not added",Z198),IF(E198="S5 Assembly",IF(AD198="","Not added",AD198),IF(E198="S6 Bring-up",IF(AH198="","Not added",AH198),IF(AL198="","Not added",AL198)))))))))</f>
        <v/>
      </c>
      <c r="H198" s="32" t="str">
        <f aca="true">IF($C198="","",IF(OR(F198="Completed",F198="Cancelled"),"",IF(NOT(ISNUMBER(G198)),"No date set",IF(TODAY()&gt;G198,TODAY()-G198&amp;" days late",G198-TODAY()&amp;" days left"))))</f>
        <v/>
      </c>
      <c r="I198" s="31" t="str">
        <f aca="false">IF($C198="","",COUNTIF(M198,"Completed")+COUNTIF(Q198,"Completed")+COUNTIF(U198,"Completed")+COUNTIF(Y198,"Completed")+COUNTIF(AC198,"Completed")+COUNTIF(AG198,"Completed")+COUNTIF(AK198,"Completed"))</f>
        <v/>
      </c>
      <c r="J198" s="31" t="str">
        <f aca="false">IF($C198="","",7-(COUNTIF(M198,"NA")+COUNTIF(Q198,"NA")+COUNTIF(U198,"NA")+COUNTIF(Y198,"NA")+COUNTIF(AC198,"NA")+COUNTIF(AG198,"NA")+COUNTIF(AK198,"NA")))</f>
        <v/>
      </c>
      <c r="K198" s="34" t="str">
        <f aca="false">IFERROR(I198/J198,"")</f>
        <v/>
      </c>
      <c r="L198" s="29"/>
      <c r="M198" s="35"/>
      <c r="N198" s="36"/>
      <c r="O198" s="36"/>
      <c r="P198" s="29"/>
      <c r="Q198" s="35"/>
      <c r="R198" s="36"/>
      <c r="S198" s="36"/>
      <c r="T198" s="29"/>
      <c r="U198" s="35"/>
      <c r="V198" s="36"/>
      <c r="W198" s="36"/>
      <c r="X198" s="29"/>
      <c r="Y198" s="35"/>
      <c r="Z198" s="36"/>
      <c r="AA198" s="36"/>
      <c r="AB198" s="29"/>
      <c r="AC198" s="35"/>
      <c r="AD198" s="36"/>
      <c r="AE198" s="36"/>
      <c r="AF198" s="29"/>
      <c r="AG198" s="35"/>
      <c r="AH198" s="36"/>
      <c r="AI198" s="36"/>
      <c r="AJ198" s="29"/>
      <c r="AK198" s="35"/>
      <c r="AL198" s="36"/>
      <c r="AM198" s="36"/>
      <c r="AN198" s="29"/>
      <c r="AO198" s="29"/>
      <c r="AP198" s="29"/>
      <c r="AQ198" s="37"/>
      <c r="AR198" s="29"/>
      <c r="AS198" s="38" t="str">
        <f aca="false">IF($C198="","",IF(OR(F198="Completed",F198="Cancelled"),"",IF(AND(OR(F198="On Hold",ISNUMBER(VALUE(LEFT(H198,2)))),AR198=""),"Reason not given","")))</f>
        <v/>
      </c>
      <c r="AT198" s="30"/>
      <c r="AU198" s="30"/>
    </row>
    <row r="199" customFormat="false" ht="19.5" hidden="false" customHeight="true" outlineLevel="0" collapsed="false">
      <c r="A199" s="28" t="str">
        <f aca="false">IF($C199="","",COUNTA($C$17:$C199))</f>
        <v/>
      </c>
      <c r="B199" s="29"/>
      <c r="C199" s="30"/>
      <c r="D199" s="29"/>
      <c r="E199" s="31" t="str">
        <f aca="false">IF($C199="","",IF(NOT(OR(M199="Completed",M199="NA",M199="Cancelled")),"S1 Schematic",IF(NOT(OR(Q199="Completed",Q199="NA",Q199="Cancelled")),"S2 PCB Layout",IF(NOT(OR(U199="Completed",U199="NA",U199="Cancelled")),"S3 SI &amp; PI",IF(NOT(OR(Y199="Completed",Y199="NA",Y199="Cancelled")),"S4 Bare-PCB Fab",IF(NOT(OR(AC199="Completed",AC199="NA",AC199="Cancelled")),"S5 Assembly",IF(NOT(OR(AG199="Completed",AG199="NA",AG199="Cancelled")),"S6 Bring-up",IF(NOT(OR(AK199="Completed",AK199="NA",AK199="Cancelled")),"S7 BOM Procurement","All Stages Closed"))))))))</f>
        <v/>
      </c>
      <c r="F199" s="32" t="str">
        <f aca="false">IF($C199="","",IF(COUNTIF(M199,"Cancelled")+COUNTIF(Q199,"Cancelled")+COUNTIF(U199,"Cancelled")+COUNTIF(Y199,"Cancelled")+COUNTIF(AC199,"Cancelled")+COUNTIF(AG199,"Cancelled")+COUNTIF(AK199,"Cancelled")&gt;0,"Cancelled",IF(E199="All Stages Closed","Completed",IF(E199="S1 Schematic",M199,IF(E199="S2 PCB Layout",Q199,IF(E199="S3 SI &amp; PI",U199,IF(E199="S4 Bare-PCB Fab",Y199,IF(E199="S5 Assembly",AC199,IF(E199="S6 Bring-up",AG199,AK199)))))))))</f>
        <v/>
      </c>
      <c r="G199" s="33" t="str">
        <f aca="false">IF($C199="","",IF(E199="All Stages Closed","",IF(E199="S1 Schematic",IF(N199="","Not added",N199),IF(E199="S2 PCB Layout",IF(R199="","Not added",R199),IF(E199="S3 SI &amp; PI",IF(V199="","Not added",V199),IF(E199="S4 Bare-PCB Fab",IF(Z199="","Not added",Z199),IF(E199="S5 Assembly",IF(AD199="","Not added",AD199),IF(E199="S6 Bring-up",IF(AH199="","Not added",AH199),IF(AL199="","Not added",AL199)))))))))</f>
        <v/>
      </c>
      <c r="H199" s="32" t="str">
        <f aca="true">IF($C199="","",IF(OR(F199="Completed",F199="Cancelled"),"",IF(NOT(ISNUMBER(G199)),"No date set",IF(TODAY()&gt;G199,TODAY()-G199&amp;" days late",G199-TODAY()&amp;" days left"))))</f>
        <v/>
      </c>
      <c r="I199" s="31" t="str">
        <f aca="false">IF($C199="","",COUNTIF(M199,"Completed")+COUNTIF(Q199,"Completed")+COUNTIF(U199,"Completed")+COUNTIF(Y199,"Completed")+COUNTIF(AC199,"Completed")+COUNTIF(AG199,"Completed")+COUNTIF(AK199,"Completed"))</f>
        <v/>
      </c>
      <c r="J199" s="31" t="str">
        <f aca="false">IF($C199="","",7-(COUNTIF(M199,"NA")+COUNTIF(Q199,"NA")+COUNTIF(U199,"NA")+COUNTIF(Y199,"NA")+COUNTIF(AC199,"NA")+COUNTIF(AG199,"NA")+COUNTIF(AK199,"NA")))</f>
        <v/>
      </c>
      <c r="K199" s="34" t="str">
        <f aca="false">IFERROR(I199/J199,"")</f>
        <v/>
      </c>
      <c r="L199" s="29"/>
      <c r="M199" s="35"/>
      <c r="N199" s="36"/>
      <c r="O199" s="36"/>
      <c r="P199" s="29"/>
      <c r="Q199" s="35"/>
      <c r="R199" s="36"/>
      <c r="S199" s="36"/>
      <c r="T199" s="29"/>
      <c r="U199" s="35"/>
      <c r="V199" s="36"/>
      <c r="W199" s="36"/>
      <c r="X199" s="29"/>
      <c r="Y199" s="35"/>
      <c r="Z199" s="36"/>
      <c r="AA199" s="36"/>
      <c r="AB199" s="29"/>
      <c r="AC199" s="35"/>
      <c r="AD199" s="36"/>
      <c r="AE199" s="36"/>
      <c r="AF199" s="29"/>
      <c r="AG199" s="35"/>
      <c r="AH199" s="36"/>
      <c r="AI199" s="36"/>
      <c r="AJ199" s="29"/>
      <c r="AK199" s="35"/>
      <c r="AL199" s="36"/>
      <c r="AM199" s="36"/>
      <c r="AN199" s="29"/>
      <c r="AO199" s="29"/>
      <c r="AP199" s="29"/>
      <c r="AQ199" s="37"/>
      <c r="AR199" s="29"/>
      <c r="AS199" s="38" t="str">
        <f aca="false">IF($C199="","",IF(OR(F199="Completed",F199="Cancelled"),"",IF(AND(OR(F199="On Hold",ISNUMBER(VALUE(LEFT(H199,2)))),AR199=""),"Reason not given","")))</f>
        <v/>
      </c>
      <c r="AT199" s="30"/>
      <c r="AU199" s="30"/>
    </row>
    <row r="200" customFormat="false" ht="19.5" hidden="false" customHeight="true" outlineLevel="0" collapsed="false">
      <c r="A200" s="28" t="str">
        <f aca="false">IF($C200="","",COUNTA($C$17:$C200))</f>
        <v/>
      </c>
      <c r="B200" s="29"/>
      <c r="C200" s="30"/>
      <c r="D200" s="29"/>
      <c r="E200" s="31" t="str">
        <f aca="false">IF($C200="","",IF(NOT(OR(M200="Completed",M200="NA",M200="Cancelled")),"S1 Schematic",IF(NOT(OR(Q200="Completed",Q200="NA",Q200="Cancelled")),"S2 PCB Layout",IF(NOT(OR(U200="Completed",U200="NA",U200="Cancelled")),"S3 SI &amp; PI",IF(NOT(OR(Y200="Completed",Y200="NA",Y200="Cancelled")),"S4 Bare-PCB Fab",IF(NOT(OR(AC200="Completed",AC200="NA",AC200="Cancelled")),"S5 Assembly",IF(NOT(OR(AG200="Completed",AG200="NA",AG200="Cancelled")),"S6 Bring-up",IF(NOT(OR(AK200="Completed",AK200="NA",AK200="Cancelled")),"S7 BOM Procurement","All Stages Closed"))))))))</f>
        <v/>
      </c>
      <c r="F200" s="32" t="str">
        <f aca="false">IF($C200="","",IF(COUNTIF(M200,"Cancelled")+COUNTIF(Q200,"Cancelled")+COUNTIF(U200,"Cancelled")+COUNTIF(Y200,"Cancelled")+COUNTIF(AC200,"Cancelled")+COUNTIF(AG200,"Cancelled")+COUNTIF(AK200,"Cancelled")&gt;0,"Cancelled",IF(E200="All Stages Closed","Completed",IF(E200="S1 Schematic",M200,IF(E200="S2 PCB Layout",Q200,IF(E200="S3 SI &amp; PI",U200,IF(E200="S4 Bare-PCB Fab",Y200,IF(E200="S5 Assembly",AC200,IF(E200="S6 Bring-up",AG200,AK200)))))))))</f>
        <v/>
      </c>
      <c r="G200" s="33" t="str">
        <f aca="false">IF($C200="","",IF(E200="All Stages Closed","",IF(E200="S1 Schematic",IF(N200="","Not added",N200),IF(E200="S2 PCB Layout",IF(R200="","Not added",R200),IF(E200="S3 SI &amp; PI",IF(V200="","Not added",V200),IF(E200="S4 Bare-PCB Fab",IF(Z200="","Not added",Z200),IF(E200="S5 Assembly",IF(AD200="","Not added",AD200),IF(E200="S6 Bring-up",IF(AH200="","Not added",AH200),IF(AL200="","Not added",AL200)))))))))</f>
        <v/>
      </c>
      <c r="H200" s="32" t="str">
        <f aca="true">IF($C200="","",IF(OR(F200="Completed",F200="Cancelled"),"",IF(NOT(ISNUMBER(G200)),"No date set",IF(TODAY()&gt;G200,TODAY()-G200&amp;" days late",G200-TODAY()&amp;" days left"))))</f>
        <v/>
      </c>
      <c r="I200" s="31" t="str">
        <f aca="false">IF($C200="","",COUNTIF(M200,"Completed")+COUNTIF(Q200,"Completed")+COUNTIF(U200,"Completed")+COUNTIF(Y200,"Completed")+COUNTIF(AC200,"Completed")+COUNTIF(AG200,"Completed")+COUNTIF(AK200,"Completed"))</f>
        <v/>
      </c>
      <c r="J200" s="31" t="str">
        <f aca="false">IF($C200="","",7-(COUNTIF(M200,"NA")+COUNTIF(Q200,"NA")+COUNTIF(U200,"NA")+COUNTIF(Y200,"NA")+COUNTIF(AC200,"NA")+COUNTIF(AG200,"NA")+COUNTIF(AK200,"NA")))</f>
        <v/>
      </c>
      <c r="K200" s="34" t="str">
        <f aca="false">IFERROR(I200/J200,"")</f>
        <v/>
      </c>
      <c r="L200" s="29"/>
      <c r="M200" s="35"/>
      <c r="N200" s="36"/>
      <c r="O200" s="36"/>
      <c r="P200" s="29"/>
      <c r="Q200" s="35"/>
      <c r="R200" s="36"/>
      <c r="S200" s="36"/>
      <c r="T200" s="29"/>
      <c r="U200" s="35"/>
      <c r="V200" s="36"/>
      <c r="W200" s="36"/>
      <c r="X200" s="29"/>
      <c r="Y200" s="35"/>
      <c r="Z200" s="36"/>
      <c r="AA200" s="36"/>
      <c r="AB200" s="29"/>
      <c r="AC200" s="35"/>
      <c r="AD200" s="36"/>
      <c r="AE200" s="36"/>
      <c r="AF200" s="29"/>
      <c r="AG200" s="35"/>
      <c r="AH200" s="36"/>
      <c r="AI200" s="36"/>
      <c r="AJ200" s="29"/>
      <c r="AK200" s="35"/>
      <c r="AL200" s="36"/>
      <c r="AM200" s="36"/>
      <c r="AN200" s="29"/>
      <c r="AO200" s="29"/>
      <c r="AP200" s="29"/>
      <c r="AQ200" s="37"/>
      <c r="AR200" s="29"/>
      <c r="AS200" s="38" t="str">
        <f aca="false">IF($C200="","",IF(OR(F200="Completed",F200="Cancelled"),"",IF(AND(OR(F200="On Hold",ISNUMBER(VALUE(LEFT(H200,2)))),AR200=""),"Reason not given","")))</f>
        <v/>
      </c>
      <c r="AT200" s="30"/>
      <c r="AU200" s="30"/>
    </row>
    <row r="201" customFormat="false" ht="19.5" hidden="false" customHeight="true" outlineLevel="0" collapsed="false">
      <c r="A201" s="28" t="str">
        <f aca="false">IF($C201="","",COUNTA($C$17:$C201))</f>
        <v/>
      </c>
      <c r="B201" s="29"/>
      <c r="C201" s="30"/>
      <c r="D201" s="29"/>
      <c r="E201" s="31" t="str">
        <f aca="false">IF($C201="","",IF(NOT(OR(M201="Completed",M201="NA",M201="Cancelled")),"S1 Schematic",IF(NOT(OR(Q201="Completed",Q201="NA",Q201="Cancelled")),"S2 PCB Layout",IF(NOT(OR(U201="Completed",U201="NA",U201="Cancelled")),"S3 SI &amp; PI",IF(NOT(OR(Y201="Completed",Y201="NA",Y201="Cancelled")),"S4 Bare-PCB Fab",IF(NOT(OR(AC201="Completed",AC201="NA",AC201="Cancelled")),"S5 Assembly",IF(NOT(OR(AG201="Completed",AG201="NA",AG201="Cancelled")),"S6 Bring-up",IF(NOT(OR(AK201="Completed",AK201="NA",AK201="Cancelled")),"S7 BOM Procurement","All Stages Closed"))))))))</f>
        <v/>
      </c>
      <c r="F201" s="32" t="str">
        <f aca="false">IF($C201="","",IF(COUNTIF(M201,"Cancelled")+COUNTIF(Q201,"Cancelled")+COUNTIF(U201,"Cancelled")+COUNTIF(Y201,"Cancelled")+COUNTIF(AC201,"Cancelled")+COUNTIF(AG201,"Cancelled")+COUNTIF(AK201,"Cancelled")&gt;0,"Cancelled",IF(E201="All Stages Closed","Completed",IF(E201="S1 Schematic",M201,IF(E201="S2 PCB Layout",Q201,IF(E201="S3 SI &amp; PI",U201,IF(E201="S4 Bare-PCB Fab",Y201,IF(E201="S5 Assembly",AC201,IF(E201="S6 Bring-up",AG201,AK201)))))))))</f>
        <v/>
      </c>
      <c r="G201" s="33" t="str">
        <f aca="false">IF($C201="","",IF(E201="All Stages Closed","",IF(E201="S1 Schematic",IF(N201="","Not added",N201),IF(E201="S2 PCB Layout",IF(R201="","Not added",R201),IF(E201="S3 SI &amp; PI",IF(V201="","Not added",V201),IF(E201="S4 Bare-PCB Fab",IF(Z201="","Not added",Z201),IF(E201="S5 Assembly",IF(AD201="","Not added",AD201),IF(E201="S6 Bring-up",IF(AH201="","Not added",AH201),IF(AL201="","Not added",AL201)))))))))</f>
        <v/>
      </c>
      <c r="H201" s="32" t="str">
        <f aca="true">IF($C201="","",IF(OR(F201="Completed",F201="Cancelled"),"",IF(NOT(ISNUMBER(G201)),"No date set",IF(TODAY()&gt;G201,TODAY()-G201&amp;" days late",G201-TODAY()&amp;" days left"))))</f>
        <v/>
      </c>
      <c r="I201" s="31" t="str">
        <f aca="false">IF($C201="","",COUNTIF(M201,"Completed")+COUNTIF(Q201,"Completed")+COUNTIF(U201,"Completed")+COUNTIF(Y201,"Completed")+COUNTIF(AC201,"Completed")+COUNTIF(AG201,"Completed")+COUNTIF(AK201,"Completed"))</f>
        <v/>
      </c>
      <c r="J201" s="31" t="str">
        <f aca="false">IF($C201="","",7-(COUNTIF(M201,"NA")+COUNTIF(Q201,"NA")+COUNTIF(U201,"NA")+COUNTIF(Y201,"NA")+COUNTIF(AC201,"NA")+COUNTIF(AG201,"NA")+COUNTIF(AK201,"NA")))</f>
        <v/>
      </c>
      <c r="K201" s="34" t="str">
        <f aca="false">IFERROR(I201/J201,"")</f>
        <v/>
      </c>
      <c r="L201" s="29"/>
      <c r="M201" s="35"/>
      <c r="N201" s="36"/>
      <c r="O201" s="36"/>
      <c r="P201" s="29"/>
      <c r="Q201" s="35"/>
      <c r="R201" s="36"/>
      <c r="S201" s="36"/>
      <c r="T201" s="29"/>
      <c r="U201" s="35"/>
      <c r="V201" s="36"/>
      <c r="W201" s="36"/>
      <c r="X201" s="29"/>
      <c r="Y201" s="35"/>
      <c r="Z201" s="36"/>
      <c r="AA201" s="36"/>
      <c r="AB201" s="29"/>
      <c r="AC201" s="35"/>
      <c r="AD201" s="36"/>
      <c r="AE201" s="36"/>
      <c r="AF201" s="29"/>
      <c r="AG201" s="35"/>
      <c r="AH201" s="36"/>
      <c r="AI201" s="36"/>
      <c r="AJ201" s="29"/>
      <c r="AK201" s="35"/>
      <c r="AL201" s="36"/>
      <c r="AM201" s="36"/>
      <c r="AN201" s="29"/>
      <c r="AO201" s="29"/>
      <c r="AP201" s="29"/>
      <c r="AQ201" s="37"/>
      <c r="AR201" s="29"/>
      <c r="AS201" s="38" t="str">
        <f aca="false">IF($C201="","",IF(OR(F201="Completed",F201="Cancelled"),"",IF(AND(OR(F201="On Hold",ISNUMBER(VALUE(LEFT(H201,2)))),AR201=""),"Reason not given","")))</f>
        <v/>
      </c>
      <c r="AT201" s="30"/>
      <c r="AU201" s="30"/>
    </row>
    <row r="202" customFormat="false" ht="19.5" hidden="false" customHeight="true" outlineLevel="0" collapsed="false">
      <c r="A202" s="28" t="str">
        <f aca="false">IF($C202="","",COUNTA($C$17:$C202))</f>
        <v/>
      </c>
      <c r="B202" s="29"/>
      <c r="C202" s="30"/>
      <c r="D202" s="29"/>
      <c r="E202" s="31" t="str">
        <f aca="false">IF($C202="","",IF(NOT(OR(M202="Completed",M202="NA",M202="Cancelled")),"S1 Schematic",IF(NOT(OR(Q202="Completed",Q202="NA",Q202="Cancelled")),"S2 PCB Layout",IF(NOT(OR(U202="Completed",U202="NA",U202="Cancelled")),"S3 SI &amp; PI",IF(NOT(OR(Y202="Completed",Y202="NA",Y202="Cancelled")),"S4 Bare-PCB Fab",IF(NOT(OR(AC202="Completed",AC202="NA",AC202="Cancelled")),"S5 Assembly",IF(NOT(OR(AG202="Completed",AG202="NA",AG202="Cancelled")),"S6 Bring-up",IF(NOT(OR(AK202="Completed",AK202="NA",AK202="Cancelled")),"S7 BOM Procurement","All Stages Closed"))))))))</f>
        <v/>
      </c>
      <c r="F202" s="32" t="str">
        <f aca="false">IF($C202="","",IF(COUNTIF(M202,"Cancelled")+COUNTIF(Q202,"Cancelled")+COUNTIF(U202,"Cancelled")+COUNTIF(Y202,"Cancelled")+COUNTIF(AC202,"Cancelled")+COUNTIF(AG202,"Cancelled")+COUNTIF(AK202,"Cancelled")&gt;0,"Cancelled",IF(E202="All Stages Closed","Completed",IF(E202="S1 Schematic",M202,IF(E202="S2 PCB Layout",Q202,IF(E202="S3 SI &amp; PI",U202,IF(E202="S4 Bare-PCB Fab",Y202,IF(E202="S5 Assembly",AC202,IF(E202="S6 Bring-up",AG202,AK202)))))))))</f>
        <v/>
      </c>
      <c r="G202" s="33" t="str">
        <f aca="false">IF($C202="","",IF(E202="All Stages Closed","",IF(E202="S1 Schematic",IF(N202="","Not added",N202),IF(E202="S2 PCB Layout",IF(R202="","Not added",R202),IF(E202="S3 SI &amp; PI",IF(V202="","Not added",V202),IF(E202="S4 Bare-PCB Fab",IF(Z202="","Not added",Z202),IF(E202="S5 Assembly",IF(AD202="","Not added",AD202),IF(E202="S6 Bring-up",IF(AH202="","Not added",AH202),IF(AL202="","Not added",AL202)))))))))</f>
        <v/>
      </c>
      <c r="H202" s="32" t="str">
        <f aca="true">IF($C202="","",IF(OR(F202="Completed",F202="Cancelled"),"",IF(NOT(ISNUMBER(G202)),"No date set",IF(TODAY()&gt;G202,TODAY()-G202&amp;" days late",G202-TODAY()&amp;" days left"))))</f>
        <v/>
      </c>
      <c r="I202" s="31" t="str">
        <f aca="false">IF($C202="","",COUNTIF(M202,"Completed")+COUNTIF(Q202,"Completed")+COUNTIF(U202,"Completed")+COUNTIF(Y202,"Completed")+COUNTIF(AC202,"Completed")+COUNTIF(AG202,"Completed")+COUNTIF(AK202,"Completed"))</f>
        <v/>
      </c>
      <c r="J202" s="31" t="str">
        <f aca="false">IF($C202="","",7-(COUNTIF(M202,"NA")+COUNTIF(Q202,"NA")+COUNTIF(U202,"NA")+COUNTIF(Y202,"NA")+COUNTIF(AC202,"NA")+COUNTIF(AG202,"NA")+COUNTIF(AK202,"NA")))</f>
        <v/>
      </c>
      <c r="K202" s="34" t="str">
        <f aca="false">IFERROR(I202/J202,"")</f>
        <v/>
      </c>
      <c r="L202" s="29"/>
      <c r="M202" s="35"/>
      <c r="N202" s="36"/>
      <c r="O202" s="36"/>
      <c r="P202" s="29"/>
      <c r="Q202" s="35"/>
      <c r="R202" s="36"/>
      <c r="S202" s="36"/>
      <c r="T202" s="29"/>
      <c r="U202" s="35"/>
      <c r="V202" s="36"/>
      <c r="W202" s="36"/>
      <c r="X202" s="29"/>
      <c r="Y202" s="35"/>
      <c r="Z202" s="36"/>
      <c r="AA202" s="36"/>
      <c r="AB202" s="29"/>
      <c r="AC202" s="35"/>
      <c r="AD202" s="36"/>
      <c r="AE202" s="36"/>
      <c r="AF202" s="29"/>
      <c r="AG202" s="35"/>
      <c r="AH202" s="36"/>
      <c r="AI202" s="36"/>
      <c r="AJ202" s="29"/>
      <c r="AK202" s="35"/>
      <c r="AL202" s="36"/>
      <c r="AM202" s="36"/>
      <c r="AN202" s="29"/>
      <c r="AO202" s="29"/>
      <c r="AP202" s="29"/>
      <c r="AQ202" s="37"/>
      <c r="AR202" s="29"/>
      <c r="AS202" s="38" t="str">
        <f aca="false">IF($C202="","",IF(OR(F202="Completed",F202="Cancelled"),"",IF(AND(OR(F202="On Hold",ISNUMBER(VALUE(LEFT(H202,2)))),AR202=""),"Reason not given","")))</f>
        <v/>
      </c>
      <c r="AT202" s="30"/>
      <c r="AU202" s="30"/>
    </row>
    <row r="203" customFormat="false" ht="19.5" hidden="false" customHeight="true" outlineLevel="0" collapsed="false">
      <c r="A203" s="28" t="str">
        <f aca="false">IF($C203="","",COUNTA($C$17:$C203))</f>
        <v/>
      </c>
      <c r="B203" s="29"/>
      <c r="C203" s="30"/>
      <c r="D203" s="29"/>
      <c r="E203" s="31" t="str">
        <f aca="false">IF($C203="","",IF(NOT(OR(M203="Completed",M203="NA",M203="Cancelled")),"S1 Schematic",IF(NOT(OR(Q203="Completed",Q203="NA",Q203="Cancelled")),"S2 PCB Layout",IF(NOT(OR(U203="Completed",U203="NA",U203="Cancelled")),"S3 SI &amp; PI",IF(NOT(OR(Y203="Completed",Y203="NA",Y203="Cancelled")),"S4 Bare-PCB Fab",IF(NOT(OR(AC203="Completed",AC203="NA",AC203="Cancelled")),"S5 Assembly",IF(NOT(OR(AG203="Completed",AG203="NA",AG203="Cancelled")),"S6 Bring-up",IF(NOT(OR(AK203="Completed",AK203="NA",AK203="Cancelled")),"S7 BOM Procurement","All Stages Closed"))))))))</f>
        <v/>
      </c>
      <c r="F203" s="32" t="str">
        <f aca="false">IF($C203="","",IF(COUNTIF(M203,"Cancelled")+COUNTIF(Q203,"Cancelled")+COUNTIF(U203,"Cancelled")+COUNTIF(Y203,"Cancelled")+COUNTIF(AC203,"Cancelled")+COUNTIF(AG203,"Cancelled")+COUNTIF(AK203,"Cancelled")&gt;0,"Cancelled",IF(E203="All Stages Closed","Completed",IF(E203="S1 Schematic",M203,IF(E203="S2 PCB Layout",Q203,IF(E203="S3 SI &amp; PI",U203,IF(E203="S4 Bare-PCB Fab",Y203,IF(E203="S5 Assembly",AC203,IF(E203="S6 Bring-up",AG203,AK203)))))))))</f>
        <v/>
      </c>
      <c r="G203" s="33" t="str">
        <f aca="false">IF($C203="","",IF(E203="All Stages Closed","",IF(E203="S1 Schematic",IF(N203="","Not added",N203),IF(E203="S2 PCB Layout",IF(R203="","Not added",R203),IF(E203="S3 SI &amp; PI",IF(V203="","Not added",V203),IF(E203="S4 Bare-PCB Fab",IF(Z203="","Not added",Z203),IF(E203="S5 Assembly",IF(AD203="","Not added",AD203),IF(E203="S6 Bring-up",IF(AH203="","Not added",AH203),IF(AL203="","Not added",AL203)))))))))</f>
        <v/>
      </c>
      <c r="H203" s="32" t="str">
        <f aca="true">IF($C203="","",IF(OR(F203="Completed",F203="Cancelled"),"",IF(NOT(ISNUMBER(G203)),"No date set",IF(TODAY()&gt;G203,TODAY()-G203&amp;" days late",G203-TODAY()&amp;" days left"))))</f>
        <v/>
      </c>
      <c r="I203" s="31" t="str">
        <f aca="false">IF($C203="","",COUNTIF(M203,"Completed")+COUNTIF(Q203,"Completed")+COUNTIF(U203,"Completed")+COUNTIF(Y203,"Completed")+COUNTIF(AC203,"Completed")+COUNTIF(AG203,"Completed")+COUNTIF(AK203,"Completed"))</f>
        <v/>
      </c>
      <c r="J203" s="31" t="str">
        <f aca="false">IF($C203="","",7-(COUNTIF(M203,"NA")+COUNTIF(Q203,"NA")+COUNTIF(U203,"NA")+COUNTIF(Y203,"NA")+COUNTIF(AC203,"NA")+COUNTIF(AG203,"NA")+COUNTIF(AK203,"NA")))</f>
        <v/>
      </c>
      <c r="K203" s="34" t="str">
        <f aca="false">IFERROR(I203/J203,"")</f>
        <v/>
      </c>
      <c r="L203" s="29"/>
      <c r="M203" s="35"/>
      <c r="N203" s="36"/>
      <c r="O203" s="36"/>
      <c r="P203" s="29"/>
      <c r="Q203" s="35"/>
      <c r="R203" s="36"/>
      <c r="S203" s="36"/>
      <c r="T203" s="29"/>
      <c r="U203" s="35"/>
      <c r="V203" s="36"/>
      <c r="W203" s="36"/>
      <c r="X203" s="29"/>
      <c r="Y203" s="35"/>
      <c r="Z203" s="36"/>
      <c r="AA203" s="36"/>
      <c r="AB203" s="29"/>
      <c r="AC203" s="35"/>
      <c r="AD203" s="36"/>
      <c r="AE203" s="36"/>
      <c r="AF203" s="29"/>
      <c r="AG203" s="35"/>
      <c r="AH203" s="36"/>
      <c r="AI203" s="36"/>
      <c r="AJ203" s="29"/>
      <c r="AK203" s="35"/>
      <c r="AL203" s="36"/>
      <c r="AM203" s="36"/>
      <c r="AN203" s="29"/>
      <c r="AO203" s="29"/>
      <c r="AP203" s="29"/>
      <c r="AQ203" s="37"/>
      <c r="AR203" s="29"/>
      <c r="AS203" s="38" t="str">
        <f aca="false">IF($C203="","",IF(OR(F203="Completed",F203="Cancelled"),"",IF(AND(OR(F203="On Hold",ISNUMBER(VALUE(LEFT(H203,2)))),AR203=""),"Reason not given","")))</f>
        <v/>
      </c>
      <c r="AT203" s="30"/>
      <c r="AU203" s="30"/>
    </row>
    <row r="204" customFormat="false" ht="19.5" hidden="false" customHeight="true" outlineLevel="0" collapsed="false">
      <c r="A204" s="28" t="str">
        <f aca="false">IF($C204="","",COUNTA($C$17:$C204))</f>
        <v/>
      </c>
      <c r="B204" s="29"/>
      <c r="C204" s="30"/>
      <c r="D204" s="29"/>
      <c r="E204" s="31" t="str">
        <f aca="false">IF($C204="","",IF(NOT(OR(M204="Completed",M204="NA",M204="Cancelled")),"S1 Schematic",IF(NOT(OR(Q204="Completed",Q204="NA",Q204="Cancelled")),"S2 PCB Layout",IF(NOT(OR(U204="Completed",U204="NA",U204="Cancelled")),"S3 SI &amp; PI",IF(NOT(OR(Y204="Completed",Y204="NA",Y204="Cancelled")),"S4 Bare-PCB Fab",IF(NOT(OR(AC204="Completed",AC204="NA",AC204="Cancelled")),"S5 Assembly",IF(NOT(OR(AG204="Completed",AG204="NA",AG204="Cancelled")),"S6 Bring-up",IF(NOT(OR(AK204="Completed",AK204="NA",AK204="Cancelled")),"S7 BOM Procurement","All Stages Closed"))))))))</f>
        <v/>
      </c>
      <c r="F204" s="32" t="str">
        <f aca="false">IF($C204="","",IF(COUNTIF(M204,"Cancelled")+COUNTIF(Q204,"Cancelled")+COUNTIF(U204,"Cancelled")+COUNTIF(Y204,"Cancelled")+COUNTIF(AC204,"Cancelled")+COUNTIF(AG204,"Cancelled")+COUNTIF(AK204,"Cancelled")&gt;0,"Cancelled",IF(E204="All Stages Closed","Completed",IF(E204="S1 Schematic",M204,IF(E204="S2 PCB Layout",Q204,IF(E204="S3 SI &amp; PI",U204,IF(E204="S4 Bare-PCB Fab",Y204,IF(E204="S5 Assembly",AC204,IF(E204="S6 Bring-up",AG204,AK204)))))))))</f>
        <v/>
      </c>
      <c r="G204" s="33" t="str">
        <f aca="false">IF($C204="","",IF(E204="All Stages Closed","",IF(E204="S1 Schematic",IF(N204="","Not added",N204),IF(E204="S2 PCB Layout",IF(R204="","Not added",R204),IF(E204="S3 SI &amp; PI",IF(V204="","Not added",V204),IF(E204="S4 Bare-PCB Fab",IF(Z204="","Not added",Z204),IF(E204="S5 Assembly",IF(AD204="","Not added",AD204),IF(E204="S6 Bring-up",IF(AH204="","Not added",AH204),IF(AL204="","Not added",AL204)))))))))</f>
        <v/>
      </c>
      <c r="H204" s="32" t="str">
        <f aca="true">IF($C204="","",IF(OR(F204="Completed",F204="Cancelled"),"",IF(NOT(ISNUMBER(G204)),"No date set",IF(TODAY()&gt;G204,TODAY()-G204&amp;" days late",G204-TODAY()&amp;" days left"))))</f>
        <v/>
      </c>
      <c r="I204" s="31" t="str">
        <f aca="false">IF($C204="","",COUNTIF(M204,"Completed")+COUNTIF(Q204,"Completed")+COUNTIF(U204,"Completed")+COUNTIF(Y204,"Completed")+COUNTIF(AC204,"Completed")+COUNTIF(AG204,"Completed")+COUNTIF(AK204,"Completed"))</f>
        <v/>
      </c>
      <c r="J204" s="31" t="str">
        <f aca="false">IF($C204="","",7-(COUNTIF(M204,"NA")+COUNTIF(Q204,"NA")+COUNTIF(U204,"NA")+COUNTIF(Y204,"NA")+COUNTIF(AC204,"NA")+COUNTIF(AG204,"NA")+COUNTIF(AK204,"NA")))</f>
        <v/>
      </c>
      <c r="K204" s="34" t="str">
        <f aca="false">IFERROR(I204/J204,"")</f>
        <v/>
      </c>
      <c r="L204" s="29"/>
      <c r="M204" s="35"/>
      <c r="N204" s="36"/>
      <c r="O204" s="36"/>
      <c r="P204" s="29"/>
      <c r="Q204" s="35"/>
      <c r="R204" s="36"/>
      <c r="S204" s="36"/>
      <c r="T204" s="29"/>
      <c r="U204" s="35"/>
      <c r="V204" s="36"/>
      <c r="W204" s="36"/>
      <c r="X204" s="29"/>
      <c r="Y204" s="35"/>
      <c r="Z204" s="36"/>
      <c r="AA204" s="36"/>
      <c r="AB204" s="29"/>
      <c r="AC204" s="35"/>
      <c r="AD204" s="36"/>
      <c r="AE204" s="36"/>
      <c r="AF204" s="29"/>
      <c r="AG204" s="35"/>
      <c r="AH204" s="36"/>
      <c r="AI204" s="36"/>
      <c r="AJ204" s="29"/>
      <c r="AK204" s="35"/>
      <c r="AL204" s="36"/>
      <c r="AM204" s="36"/>
      <c r="AN204" s="29"/>
      <c r="AO204" s="29"/>
      <c r="AP204" s="29"/>
      <c r="AQ204" s="37"/>
      <c r="AR204" s="29"/>
      <c r="AS204" s="38" t="str">
        <f aca="false">IF($C204="","",IF(OR(F204="Completed",F204="Cancelled"),"",IF(AND(OR(F204="On Hold",ISNUMBER(VALUE(LEFT(H204,2)))),AR204=""),"Reason not given","")))</f>
        <v/>
      </c>
      <c r="AT204" s="30"/>
      <c r="AU204" s="30"/>
    </row>
    <row r="205" customFormat="false" ht="19.5" hidden="false" customHeight="true" outlineLevel="0" collapsed="false">
      <c r="A205" s="28" t="str">
        <f aca="false">IF($C205="","",COUNTA($C$17:$C205))</f>
        <v/>
      </c>
      <c r="B205" s="29"/>
      <c r="C205" s="30"/>
      <c r="D205" s="29"/>
      <c r="E205" s="31" t="str">
        <f aca="false">IF($C205="","",IF(NOT(OR(M205="Completed",M205="NA",M205="Cancelled")),"S1 Schematic",IF(NOT(OR(Q205="Completed",Q205="NA",Q205="Cancelled")),"S2 PCB Layout",IF(NOT(OR(U205="Completed",U205="NA",U205="Cancelled")),"S3 SI &amp; PI",IF(NOT(OR(Y205="Completed",Y205="NA",Y205="Cancelled")),"S4 Bare-PCB Fab",IF(NOT(OR(AC205="Completed",AC205="NA",AC205="Cancelled")),"S5 Assembly",IF(NOT(OR(AG205="Completed",AG205="NA",AG205="Cancelled")),"S6 Bring-up",IF(NOT(OR(AK205="Completed",AK205="NA",AK205="Cancelled")),"S7 BOM Procurement","All Stages Closed"))))))))</f>
        <v/>
      </c>
      <c r="F205" s="32" t="str">
        <f aca="false">IF($C205="","",IF(COUNTIF(M205,"Cancelled")+COUNTIF(Q205,"Cancelled")+COUNTIF(U205,"Cancelled")+COUNTIF(Y205,"Cancelled")+COUNTIF(AC205,"Cancelled")+COUNTIF(AG205,"Cancelled")+COUNTIF(AK205,"Cancelled")&gt;0,"Cancelled",IF(E205="All Stages Closed","Completed",IF(E205="S1 Schematic",M205,IF(E205="S2 PCB Layout",Q205,IF(E205="S3 SI &amp; PI",U205,IF(E205="S4 Bare-PCB Fab",Y205,IF(E205="S5 Assembly",AC205,IF(E205="S6 Bring-up",AG205,AK205)))))))))</f>
        <v/>
      </c>
      <c r="G205" s="33" t="str">
        <f aca="false">IF($C205="","",IF(E205="All Stages Closed","",IF(E205="S1 Schematic",IF(N205="","Not added",N205),IF(E205="S2 PCB Layout",IF(R205="","Not added",R205),IF(E205="S3 SI &amp; PI",IF(V205="","Not added",V205),IF(E205="S4 Bare-PCB Fab",IF(Z205="","Not added",Z205),IF(E205="S5 Assembly",IF(AD205="","Not added",AD205),IF(E205="S6 Bring-up",IF(AH205="","Not added",AH205),IF(AL205="","Not added",AL205)))))))))</f>
        <v/>
      </c>
      <c r="H205" s="32" t="str">
        <f aca="true">IF($C205="","",IF(OR(F205="Completed",F205="Cancelled"),"",IF(NOT(ISNUMBER(G205)),"No date set",IF(TODAY()&gt;G205,TODAY()-G205&amp;" days late",G205-TODAY()&amp;" days left"))))</f>
        <v/>
      </c>
      <c r="I205" s="31" t="str">
        <f aca="false">IF($C205="","",COUNTIF(M205,"Completed")+COUNTIF(Q205,"Completed")+COUNTIF(U205,"Completed")+COUNTIF(Y205,"Completed")+COUNTIF(AC205,"Completed")+COUNTIF(AG205,"Completed")+COUNTIF(AK205,"Completed"))</f>
        <v/>
      </c>
      <c r="J205" s="31" t="str">
        <f aca="false">IF($C205="","",7-(COUNTIF(M205,"NA")+COUNTIF(Q205,"NA")+COUNTIF(U205,"NA")+COUNTIF(Y205,"NA")+COUNTIF(AC205,"NA")+COUNTIF(AG205,"NA")+COUNTIF(AK205,"NA")))</f>
        <v/>
      </c>
      <c r="K205" s="34" t="str">
        <f aca="false">IFERROR(I205/J205,"")</f>
        <v/>
      </c>
      <c r="L205" s="29"/>
      <c r="M205" s="35"/>
      <c r="N205" s="36"/>
      <c r="O205" s="36"/>
      <c r="P205" s="29"/>
      <c r="Q205" s="35"/>
      <c r="R205" s="36"/>
      <c r="S205" s="36"/>
      <c r="T205" s="29"/>
      <c r="U205" s="35"/>
      <c r="V205" s="36"/>
      <c r="W205" s="36"/>
      <c r="X205" s="29"/>
      <c r="Y205" s="35"/>
      <c r="Z205" s="36"/>
      <c r="AA205" s="36"/>
      <c r="AB205" s="29"/>
      <c r="AC205" s="35"/>
      <c r="AD205" s="36"/>
      <c r="AE205" s="36"/>
      <c r="AF205" s="29"/>
      <c r="AG205" s="35"/>
      <c r="AH205" s="36"/>
      <c r="AI205" s="36"/>
      <c r="AJ205" s="29"/>
      <c r="AK205" s="35"/>
      <c r="AL205" s="36"/>
      <c r="AM205" s="36"/>
      <c r="AN205" s="29"/>
      <c r="AO205" s="29"/>
      <c r="AP205" s="29"/>
      <c r="AQ205" s="37"/>
      <c r="AR205" s="29"/>
      <c r="AS205" s="38" t="str">
        <f aca="false">IF($C205="","",IF(OR(F205="Completed",F205="Cancelled"),"",IF(AND(OR(F205="On Hold",ISNUMBER(VALUE(LEFT(H205,2)))),AR205=""),"Reason not given","")))</f>
        <v/>
      </c>
      <c r="AT205" s="30"/>
      <c r="AU205" s="30"/>
    </row>
    <row r="206" customFormat="false" ht="19.5" hidden="false" customHeight="true" outlineLevel="0" collapsed="false">
      <c r="A206" s="28" t="str">
        <f aca="false">IF($C206="","",COUNTA($C$17:$C206))</f>
        <v/>
      </c>
      <c r="B206" s="29"/>
      <c r="C206" s="30"/>
      <c r="D206" s="29"/>
      <c r="E206" s="31" t="str">
        <f aca="false">IF($C206="","",IF(NOT(OR(M206="Completed",M206="NA",M206="Cancelled")),"S1 Schematic",IF(NOT(OR(Q206="Completed",Q206="NA",Q206="Cancelled")),"S2 PCB Layout",IF(NOT(OR(U206="Completed",U206="NA",U206="Cancelled")),"S3 SI &amp; PI",IF(NOT(OR(Y206="Completed",Y206="NA",Y206="Cancelled")),"S4 Bare-PCB Fab",IF(NOT(OR(AC206="Completed",AC206="NA",AC206="Cancelled")),"S5 Assembly",IF(NOT(OR(AG206="Completed",AG206="NA",AG206="Cancelled")),"S6 Bring-up",IF(NOT(OR(AK206="Completed",AK206="NA",AK206="Cancelled")),"S7 BOM Procurement","All Stages Closed"))))))))</f>
        <v/>
      </c>
      <c r="F206" s="32" t="str">
        <f aca="false">IF($C206="","",IF(COUNTIF(M206,"Cancelled")+COUNTIF(Q206,"Cancelled")+COUNTIF(U206,"Cancelled")+COUNTIF(Y206,"Cancelled")+COUNTIF(AC206,"Cancelled")+COUNTIF(AG206,"Cancelled")+COUNTIF(AK206,"Cancelled")&gt;0,"Cancelled",IF(E206="All Stages Closed","Completed",IF(E206="S1 Schematic",M206,IF(E206="S2 PCB Layout",Q206,IF(E206="S3 SI &amp; PI",U206,IF(E206="S4 Bare-PCB Fab",Y206,IF(E206="S5 Assembly",AC206,IF(E206="S6 Bring-up",AG206,AK206)))))))))</f>
        <v/>
      </c>
      <c r="G206" s="33" t="str">
        <f aca="false">IF($C206="","",IF(E206="All Stages Closed","",IF(E206="S1 Schematic",IF(N206="","Not added",N206),IF(E206="S2 PCB Layout",IF(R206="","Not added",R206),IF(E206="S3 SI &amp; PI",IF(V206="","Not added",V206),IF(E206="S4 Bare-PCB Fab",IF(Z206="","Not added",Z206),IF(E206="S5 Assembly",IF(AD206="","Not added",AD206),IF(E206="S6 Bring-up",IF(AH206="","Not added",AH206),IF(AL206="","Not added",AL206)))))))))</f>
        <v/>
      </c>
      <c r="H206" s="32" t="str">
        <f aca="true">IF($C206="","",IF(OR(F206="Completed",F206="Cancelled"),"",IF(NOT(ISNUMBER(G206)),"No date set",IF(TODAY()&gt;G206,TODAY()-G206&amp;" days late",G206-TODAY()&amp;" days left"))))</f>
        <v/>
      </c>
      <c r="I206" s="31" t="str">
        <f aca="false">IF($C206="","",COUNTIF(M206,"Completed")+COUNTIF(Q206,"Completed")+COUNTIF(U206,"Completed")+COUNTIF(Y206,"Completed")+COUNTIF(AC206,"Completed")+COUNTIF(AG206,"Completed")+COUNTIF(AK206,"Completed"))</f>
        <v/>
      </c>
      <c r="J206" s="31" t="str">
        <f aca="false">IF($C206="","",7-(COUNTIF(M206,"NA")+COUNTIF(Q206,"NA")+COUNTIF(U206,"NA")+COUNTIF(Y206,"NA")+COUNTIF(AC206,"NA")+COUNTIF(AG206,"NA")+COUNTIF(AK206,"NA")))</f>
        <v/>
      </c>
      <c r="K206" s="34" t="str">
        <f aca="false">IFERROR(I206/J206,"")</f>
        <v/>
      </c>
      <c r="L206" s="29"/>
      <c r="M206" s="35"/>
      <c r="N206" s="36"/>
      <c r="O206" s="36"/>
      <c r="P206" s="29"/>
      <c r="Q206" s="35"/>
      <c r="R206" s="36"/>
      <c r="S206" s="36"/>
      <c r="T206" s="29"/>
      <c r="U206" s="35"/>
      <c r="V206" s="36"/>
      <c r="W206" s="36"/>
      <c r="X206" s="29"/>
      <c r="Y206" s="35"/>
      <c r="Z206" s="36"/>
      <c r="AA206" s="36"/>
      <c r="AB206" s="29"/>
      <c r="AC206" s="35"/>
      <c r="AD206" s="36"/>
      <c r="AE206" s="36"/>
      <c r="AF206" s="29"/>
      <c r="AG206" s="35"/>
      <c r="AH206" s="36"/>
      <c r="AI206" s="36"/>
      <c r="AJ206" s="29"/>
      <c r="AK206" s="35"/>
      <c r="AL206" s="36"/>
      <c r="AM206" s="36"/>
      <c r="AN206" s="29"/>
      <c r="AO206" s="29"/>
      <c r="AP206" s="29"/>
      <c r="AQ206" s="37"/>
      <c r="AR206" s="29"/>
      <c r="AS206" s="38" t="str">
        <f aca="false">IF($C206="","",IF(OR(F206="Completed",F206="Cancelled"),"",IF(AND(OR(F206="On Hold",ISNUMBER(VALUE(LEFT(H206,2)))),AR206=""),"Reason not given","")))</f>
        <v/>
      </c>
      <c r="AT206" s="30"/>
      <c r="AU206" s="30"/>
    </row>
    <row r="207" customFormat="false" ht="19.5" hidden="false" customHeight="true" outlineLevel="0" collapsed="false">
      <c r="A207" s="28" t="str">
        <f aca="false">IF($C207="","",COUNTA($C$17:$C207))</f>
        <v/>
      </c>
      <c r="B207" s="29"/>
      <c r="C207" s="30"/>
      <c r="D207" s="29"/>
      <c r="E207" s="31" t="str">
        <f aca="false">IF($C207="","",IF(NOT(OR(M207="Completed",M207="NA",M207="Cancelled")),"S1 Schematic",IF(NOT(OR(Q207="Completed",Q207="NA",Q207="Cancelled")),"S2 PCB Layout",IF(NOT(OR(U207="Completed",U207="NA",U207="Cancelled")),"S3 SI &amp; PI",IF(NOT(OR(Y207="Completed",Y207="NA",Y207="Cancelled")),"S4 Bare-PCB Fab",IF(NOT(OR(AC207="Completed",AC207="NA",AC207="Cancelled")),"S5 Assembly",IF(NOT(OR(AG207="Completed",AG207="NA",AG207="Cancelled")),"S6 Bring-up",IF(NOT(OR(AK207="Completed",AK207="NA",AK207="Cancelled")),"S7 BOM Procurement","All Stages Closed"))))))))</f>
        <v/>
      </c>
      <c r="F207" s="32" t="str">
        <f aca="false">IF($C207="","",IF(COUNTIF(M207,"Cancelled")+COUNTIF(Q207,"Cancelled")+COUNTIF(U207,"Cancelled")+COUNTIF(Y207,"Cancelled")+COUNTIF(AC207,"Cancelled")+COUNTIF(AG207,"Cancelled")+COUNTIF(AK207,"Cancelled")&gt;0,"Cancelled",IF(E207="All Stages Closed","Completed",IF(E207="S1 Schematic",M207,IF(E207="S2 PCB Layout",Q207,IF(E207="S3 SI &amp; PI",U207,IF(E207="S4 Bare-PCB Fab",Y207,IF(E207="S5 Assembly",AC207,IF(E207="S6 Bring-up",AG207,AK207)))))))))</f>
        <v/>
      </c>
      <c r="G207" s="33" t="str">
        <f aca="false">IF($C207="","",IF(E207="All Stages Closed","",IF(E207="S1 Schematic",IF(N207="","Not added",N207),IF(E207="S2 PCB Layout",IF(R207="","Not added",R207),IF(E207="S3 SI &amp; PI",IF(V207="","Not added",V207),IF(E207="S4 Bare-PCB Fab",IF(Z207="","Not added",Z207),IF(E207="S5 Assembly",IF(AD207="","Not added",AD207),IF(E207="S6 Bring-up",IF(AH207="","Not added",AH207),IF(AL207="","Not added",AL207)))))))))</f>
        <v/>
      </c>
      <c r="H207" s="32" t="str">
        <f aca="true">IF($C207="","",IF(OR(F207="Completed",F207="Cancelled"),"",IF(NOT(ISNUMBER(G207)),"No date set",IF(TODAY()&gt;G207,TODAY()-G207&amp;" days late",G207-TODAY()&amp;" days left"))))</f>
        <v/>
      </c>
      <c r="I207" s="31" t="str">
        <f aca="false">IF($C207="","",COUNTIF(M207,"Completed")+COUNTIF(Q207,"Completed")+COUNTIF(U207,"Completed")+COUNTIF(Y207,"Completed")+COUNTIF(AC207,"Completed")+COUNTIF(AG207,"Completed")+COUNTIF(AK207,"Completed"))</f>
        <v/>
      </c>
      <c r="J207" s="31" t="str">
        <f aca="false">IF($C207="","",7-(COUNTIF(M207,"NA")+COUNTIF(Q207,"NA")+COUNTIF(U207,"NA")+COUNTIF(Y207,"NA")+COUNTIF(AC207,"NA")+COUNTIF(AG207,"NA")+COUNTIF(AK207,"NA")))</f>
        <v/>
      </c>
      <c r="K207" s="34" t="str">
        <f aca="false">IFERROR(I207/J207,"")</f>
        <v/>
      </c>
      <c r="L207" s="29"/>
      <c r="M207" s="35"/>
      <c r="N207" s="36"/>
      <c r="O207" s="36"/>
      <c r="P207" s="29"/>
      <c r="Q207" s="35"/>
      <c r="R207" s="36"/>
      <c r="S207" s="36"/>
      <c r="T207" s="29"/>
      <c r="U207" s="35"/>
      <c r="V207" s="36"/>
      <c r="W207" s="36"/>
      <c r="X207" s="29"/>
      <c r="Y207" s="35"/>
      <c r="Z207" s="36"/>
      <c r="AA207" s="36"/>
      <c r="AB207" s="29"/>
      <c r="AC207" s="35"/>
      <c r="AD207" s="36"/>
      <c r="AE207" s="36"/>
      <c r="AF207" s="29"/>
      <c r="AG207" s="35"/>
      <c r="AH207" s="36"/>
      <c r="AI207" s="36"/>
      <c r="AJ207" s="29"/>
      <c r="AK207" s="35"/>
      <c r="AL207" s="36"/>
      <c r="AM207" s="36"/>
      <c r="AN207" s="29"/>
      <c r="AO207" s="29"/>
      <c r="AP207" s="29"/>
      <c r="AQ207" s="37"/>
      <c r="AR207" s="29"/>
      <c r="AS207" s="38" t="str">
        <f aca="false">IF($C207="","",IF(OR(F207="Completed",F207="Cancelled"),"",IF(AND(OR(F207="On Hold",ISNUMBER(VALUE(LEFT(H207,2)))),AR207=""),"Reason not given","")))</f>
        <v/>
      </c>
      <c r="AT207" s="30"/>
      <c r="AU207" s="30"/>
    </row>
    <row r="208" customFormat="false" ht="19.5" hidden="false" customHeight="true" outlineLevel="0" collapsed="false">
      <c r="A208" s="28" t="str">
        <f aca="false">IF($C208="","",COUNTA($C$17:$C208))</f>
        <v/>
      </c>
      <c r="B208" s="29"/>
      <c r="C208" s="30"/>
      <c r="D208" s="29"/>
      <c r="E208" s="31" t="str">
        <f aca="false">IF($C208="","",IF(NOT(OR(M208="Completed",M208="NA",M208="Cancelled")),"S1 Schematic",IF(NOT(OR(Q208="Completed",Q208="NA",Q208="Cancelled")),"S2 PCB Layout",IF(NOT(OR(U208="Completed",U208="NA",U208="Cancelled")),"S3 SI &amp; PI",IF(NOT(OR(Y208="Completed",Y208="NA",Y208="Cancelled")),"S4 Bare-PCB Fab",IF(NOT(OR(AC208="Completed",AC208="NA",AC208="Cancelled")),"S5 Assembly",IF(NOT(OR(AG208="Completed",AG208="NA",AG208="Cancelled")),"S6 Bring-up",IF(NOT(OR(AK208="Completed",AK208="NA",AK208="Cancelled")),"S7 BOM Procurement","All Stages Closed"))))))))</f>
        <v/>
      </c>
      <c r="F208" s="32" t="str">
        <f aca="false">IF($C208="","",IF(COUNTIF(M208,"Cancelled")+COUNTIF(Q208,"Cancelled")+COUNTIF(U208,"Cancelled")+COUNTIF(Y208,"Cancelled")+COUNTIF(AC208,"Cancelled")+COUNTIF(AG208,"Cancelled")+COUNTIF(AK208,"Cancelled")&gt;0,"Cancelled",IF(E208="All Stages Closed","Completed",IF(E208="S1 Schematic",M208,IF(E208="S2 PCB Layout",Q208,IF(E208="S3 SI &amp; PI",U208,IF(E208="S4 Bare-PCB Fab",Y208,IF(E208="S5 Assembly",AC208,IF(E208="S6 Bring-up",AG208,AK208)))))))))</f>
        <v/>
      </c>
      <c r="G208" s="33" t="str">
        <f aca="false">IF($C208="","",IF(E208="All Stages Closed","",IF(E208="S1 Schematic",IF(N208="","Not added",N208),IF(E208="S2 PCB Layout",IF(R208="","Not added",R208),IF(E208="S3 SI &amp; PI",IF(V208="","Not added",V208),IF(E208="S4 Bare-PCB Fab",IF(Z208="","Not added",Z208),IF(E208="S5 Assembly",IF(AD208="","Not added",AD208),IF(E208="S6 Bring-up",IF(AH208="","Not added",AH208),IF(AL208="","Not added",AL208)))))))))</f>
        <v/>
      </c>
      <c r="H208" s="32" t="str">
        <f aca="true">IF($C208="","",IF(OR(F208="Completed",F208="Cancelled"),"",IF(NOT(ISNUMBER(G208)),"No date set",IF(TODAY()&gt;G208,TODAY()-G208&amp;" days late",G208-TODAY()&amp;" days left"))))</f>
        <v/>
      </c>
      <c r="I208" s="31" t="str">
        <f aca="false">IF($C208="","",COUNTIF(M208,"Completed")+COUNTIF(Q208,"Completed")+COUNTIF(U208,"Completed")+COUNTIF(Y208,"Completed")+COUNTIF(AC208,"Completed")+COUNTIF(AG208,"Completed")+COUNTIF(AK208,"Completed"))</f>
        <v/>
      </c>
      <c r="J208" s="31" t="str">
        <f aca="false">IF($C208="","",7-(COUNTIF(M208,"NA")+COUNTIF(Q208,"NA")+COUNTIF(U208,"NA")+COUNTIF(Y208,"NA")+COUNTIF(AC208,"NA")+COUNTIF(AG208,"NA")+COUNTIF(AK208,"NA")))</f>
        <v/>
      </c>
      <c r="K208" s="34" t="str">
        <f aca="false">IFERROR(I208/J208,"")</f>
        <v/>
      </c>
      <c r="L208" s="29"/>
      <c r="M208" s="35"/>
      <c r="N208" s="36"/>
      <c r="O208" s="36"/>
      <c r="P208" s="29"/>
      <c r="Q208" s="35"/>
      <c r="R208" s="36"/>
      <c r="S208" s="36"/>
      <c r="T208" s="29"/>
      <c r="U208" s="35"/>
      <c r="V208" s="36"/>
      <c r="W208" s="36"/>
      <c r="X208" s="29"/>
      <c r="Y208" s="35"/>
      <c r="Z208" s="36"/>
      <c r="AA208" s="36"/>
      <c r="AB208" s="29"/>
      <c r="AC208" s="35"/>
      <c r="AD208" s="36"/>
      <c r="AE208" s="36"/>
      <c r="AF208" s="29"/>
      <c r="AG208" s="35"/>
      <c r="AH208" s="36"/>
      <c r="AI208" s="36"/>
      <c r="AJ208" s="29"/>
      <c r="AK208" s="35"/>
      <c r="AL208" s="36"/>
      <c r="AM208" s="36"/>
      <c r="AN208" s="29"/>
      <c r="AO208" s="29"/>
      <c r="AP208" s="29"/>
      <c r="AQ208" s="37"/>
      <c r="AR208" s="29"/>
      <c r="AS208" s="38" t="str">
        <f aca="false">IF($C208="","",IF(OR(F208="Completed",F208="Cancelled"),"",IF(AND(OR(F208="On Hold",ISNUMBER(VALUE(LEFT(H208,2)))),AR208=""),"Reason not given","")))</f>
        <v/>
      </c>
      <c r="AT208" s="30"/>
      <c r="AU208" s="30"/>
    </row>
    <row r="209" customFormat="false" ht="19.5" hidden="false" customHeight="true" outlineLevel="0" collapsed="false">
      <c r="A209" s="28" t="str">
        <f aca="false">IF($C209="","",COUNTA($C$17:$C209))</f>
        <v/>
      </c>
      <c r="B209" s="29"/>
      <c r="C209" s="30"/>
      <c r="D209" s="29"/>
      <c r="E209" s="31" t="str">
        <f aca="false">IF($C209="","",IF(NOT(OR(M209="Completed",M209="NA",M209="Cancelled")),"S1 Schematic",IF(NOT(OR(Q209="Completed",Q209="NA",Q209="Cancelled")),"S2 PCB Layout",IF(NOT(OR(U209="Completed",U209="NA",U209="Cancelled")),"S3 SI &amp; PI",IF(NOT(OR(Y209="Completed",Y209="NA",Y209="Cancelled")),"S4 Bare-PCB Fab",IF(NOT(OR(AC209="Completed",AC209="NA",AC209="Cancelled")),"S5 Assembly",IF(NOT(OR(AG209="Completed",AG209="NA",AG209="Cancelled")),"S6 Bring-up",IF(NOT(OR(AK209="Completed",AK209="NA",AK209="Cancelled")),"S7 BOM Procurement","All Stages Closed"))))))))</f>
        <v/>
      </c>
      <c r="F209" s="32" t="str">
        <f aca="false">IF($C209="","",IF(COUNTIF(M209,"Cancelled")+COUNTIF(Q209,"Cancelled")+COUNTIF(U209,"Cancelled")+COUNTIF(Y209,"Cancelled")+COUNTIF(AC209,"Cancelled")+COUNTIF(AG209,"Cancelled")+COUNTIF(AK209,"Cancelled")&gt;0,"Cancelled",IF(E209="All Stages Closed","Completed",IF(E209="S1 Schematic",M209,IF(E209="S2 PCB Layout",Q209,IF(E209="S3 SI &amp; PI",U209,IF(E209="S4 Bare-PCB Fab",Y209,IF(E209="S5 Assembly",AC209,IF(E209="S6 Bring-up",AG209,AK209)))))))))</f>
        <v/>
      </c>
      <c r="G209" s="33" t="str">
        <f aca="false">IF($C209="","",IF(E209="All Stages Closed","",IF(E209="S1 Schematic",IF(N209="","Not added",N209),IF(E209="S2 PCB Layout",IF(R209="","Not added",R209),IF(E209="S3 SI &amp; PI",IF(V209="","Not added",V209),IF(E209="S4 Bare-PCB Fab",IF(Z209="","Not added",Z209),IF(E209="S5 Assembly",IF(AD209="","Not added",AD209),IF(E209="S6 Bring-up",IF(AH209="","Not added",AH209),IF(AL209="","Not added",AL209)))))))))</f>
        <v/>
      </c>
      <c r="H209" s="32" t="str">
        <f aca="true">IF($C209="","",IF(OR(F209="Completed",F209="Cancelled"),"",IF(NOT(ISNUMBER(G209)),"No date set",IF(TODAY()&gt;G209,TODAY()-G209&amp;" days late",G209-TODAY()&amp;" days left"))))</f>
        <v/>
      </c>
      <c r="I209" s="31" t="str">
        <f aca="false">IF($C209="","",COUNTIF(M209,"Completed")+COUNTIF(Q209,"Completed")+COUNTIF(U209,"Completed")+COUNTIF(Y209,"Completed")+COUNTIF(AC209,"Completed")+COUNTIF(AG209,"Completed")+COUNTIF(AK209,"Completed"))</f>
        <v/>
      </c>
      <c r="J209" s="31" t="str">
        <f aca="false">IF($C209="","",7-(COUNTIF(M209,"NA")+COUNTIF(Q209,"NA")+COUNTIF(U209,"NA")+COUNTIF(Y209,"NA")+COUNTIF(AC209,"NA")+COUNTIF(AG209,"NA")+COUNTIF(AK209,"NA")))</f>
        <v/>
      </c>
      <c r="K209" s="34" t="str">
        <f aca="false">IFERROR(I209/J209,"")</f>
        <v/>
      </c>
      <c r="L209" s="29"/>
      <c r="M209" s="35"/>
      <c r="N209" s="36"/>
      <c r="O209" s="36"/>
      <c r="P209" s="29"/>
      <c r="Q209" s="35"/>
      <c r="R209" s="36"/>
      <c r="S209" s="36"/>
      <c r="T209" s="29"/>
      <c r="U209" s="35"/>
      <c r="V209" s="36"/>
      <c r="W209" s="36"/>
      <c r="X209" s="29"/>
      <c r="Y209" s="35"/>
      <c r="Z209" s="36"/>
      <c r="AA209" s="36"/>
      <c r="AB209" s="29"/>
      <c r="AC209" s="35"/>
      <c r="AD209" s="36"/>
      <c r="AE209" s="36"/>
      <c r="AF209" s="29"/>
      <c r="AG209" s="35"/>
      <c r="AH209" s="36"/>
      <c r="AI209" s="36"/>
      <c r="AJ209" s="29"/>
      <c r="AK209" s="35"/>
      <c r="AL209" s="36"/>
      <c r="AM209" s="36"/>
      <c r="AN209" s="29"/>
      <c r="AO209" s="29"/>
      <c r="AP209" s="29"/>
      <c r="AQ209" s="37"/>
      <c r="AR209" s="29"/>
      <c r="AS209" s="38" t="str">
        <f aca="false">IF($C209="","",IF(OR(F209="Completed",F209="Cancelled"),"",IF(AND(OR(F209="On Hold",ISNUMBER(VALUE(LEFT(H209,2)))),AR209=""),"Reason not given","")))</f>
        <v/>
      </c>
      <c r="AT209" s="30"/>
      <c r="AU209" s="30"/>
    </row>
    <row r="210" customFormat="false" ht="19.5" hidden="false" customHeight="true" outlineLevel="0" collapsed="false">
      <c r="A210" s="28" t="str">
        <f aca="false">IF($C210="","",COUNTA($C$17:$C210))</f>
        <v/>
      </c>
      <c r="B210" s="29"/>
      <c r="C210" s="30"/>
      <c r="D210" s="29"/>
      <c r="E210" s="31" t="str">
        <f aca="false">IF($C210="","",IF(NOT(OR(M210="Completed",M210="NA",M210="Cancelled")),"S1 Schematic",IF(NOT(OR(Q210="Completed",Q210="NA",Q210="Cancelled")),"S2 PCB Layout",IF(NOT(OR(U210="Completed",U210="NA",U210="Cancelled")),"S3 SI &amp; PI",IF(NOT(OR(Y210="Completed",Y210="NA",Y210="Cancelled")),"S4 Bare-PCB Fab",IF(NOT(OR(AC210="Completed",AC210="NA",AC210="Cancelled")),"S5 Assembly",IF(NOT(OR(AG210="Completed",AG210="NA",AG210="Cancelled")),"S6 Bring-up",IF(NOT(OR(AK210="Completed",AK210="NA",AK210="Cancelled")),"S7 BOM Procurement","All Stages Closed"))))))))</f>
        <v/>
      </c>
      <c r="F210" s="32" t="str">
        <f aca="false">IF($C210="","",IF(COUNTIF(M210,"Cancelled")+COUNTIF(Q210,"Cancelled")+COUNTIF(U210,"Cancelled")+COUNTIF(Y210,"Cancelled")+COUNTIF(AC210,"Cancelled")+COUNTIF(AG210,"Cancelled")+COUNTIF(AK210,"Cancelled")&gt;0,"Cancelled",IF(E210="All Stages Closed","Completed",IF(E210="S1 Schematic",M210,IF(E210="S2 PCB Layout",Q210,IF(E210="S3 SI &amp; PI",U210,IF(E210="S4 Bare-PCB Fab",Y210,IF(E210="S5 Assembly",AC210,IF(E210="S6 Bring-up",AG210,AK210)))))))))</f>
        <v/>
      </c>
      <c r="G210" s="33" t="str">
        <f aca="false">IF($C210="","",IF(E210="All Stages Closed","",IF(E210="S1 Schematic",IF(N210="","Not added",N210),IF(E210="S2 PCB Layout",IF(R210="","Not added",R210),IF(E210="S3 SI &amp; PI",IF(V210="","Not added",V210),IF(E210="S4 Bare-PCB Fab",IF(Z210="","Not added",Z210),IF(E210="S5 Assembly",IF(AD210="","Not added",AD210),IF(E210="S6 Bring-up",IF(AH210="","Not added",AH210),IF(AL210="","Not added",AL210)))))))))</f>
        <v/>
      </c>
      <c r="H210" s="32" t="str">
        <f aca="true">IF($C210="","",IF(OR(F210="Completed",F210="Cancelled"),"",IF(NOT(ISNUMBER(G210)),"No date set",IF(TODAY()&gt;G210,TODAY()-G210&amp;" days late",G210-TODAY()&amp;" days left"))))</f>
        <v/>
      </c>
      <c r="I210" s="31" t="str">
        <f aca="false">IF($C210="","",COUNTIF(M210,"Completed")+COUNTIF(Q210,"Completed")+COUNTIF(U210,"Completed")+COUNTIF(Y210,"Completed")+COUNTIF(AC210,"Completed")+COUNTIF(AG210,"Completed")+COUNTIF(AK210,"Completed"))</f>
        <v/>
      </c>
      <c r="J210" s="31" t="str">
        <f aca="false">IF($C210="","",7-(COUNTIF(M210,"NA")+COUNTIF(Q210,"NA")+COUNTIF(U210,"NA")+COUNTIF(Y210,"NA")+COUNTIF(AC210,"NA")+COUNTIF(AG210,"NA")+COUNTIF(AK210,"NA")))</f>
        <v/>
      </c>
      <c r="K210" s="34" t="str">
        <f aca="false">IFERROR(I210/J210,"")</f>
        <v/>
      </c>
      <c r="L210" s="29"/>
      <c r="M210" s="35"/>
      <c r="N210" s="36"/>
      <c r="O210" s="36"/>
      <c r="P210" s="29"/>
      <c r="Q210" s="35"/>
      <c r="R210" s="36"/>
      <c r="S210" s="36"/>
      <c r="T210" s="29"/>
      <c r="U210" s="35"/>
      <c r="V210" s="36"/>
      <c r="W210" s="36"/>
      <c r="X210" s="29"/>
      <c r="Y210" s="35"/>
      <c r="Z210" s="36"/>
      <c r="AA210" s="36"/>
      <c r="AB210" s="29"/>
      <c r="AC210" s="35"/>
      <c r="AD210" s="36"/>
      <c r="AE210" s="36"/>
      <c r="AF210" s="29"/>
      <c r="AG210" s="35"/>
      <c r="AH210" s="36"/>
      <c r="AI210" s="36"/>
      <c r="AJ210" s="29"/>
      <c r="AK210" s="35"/>
      <c r="AL210" s="36"/>
      <c r="AM210" s="36"/>
      <c r="AN210" s="29"/>
      <c r="AO210" s="29"/>
      <c r="AP210" s="29"/>
      <c r="AQ210" s="37"/>
      <c r="AR210" s="29"/>
      <c r="AS210" s="38" t="str">
        <f aca="false">IF($C210="","",IF(OR(F210="Completed",F210="Cancelled"),"",IF(AND(OR(F210="On Hold",ISNUMBER(VALUE(LEFT(H210,2)))),AR210=""),"Reason not given","")))</f>
        <v/>
      </c>
      <c r="AT210" s="30"/>
      <c r="AU210" s="30"/>
    </row>
    <row r="211" customFormat="false" ht="19.5" hidden="false" customHeight="true" outlineLevel="0" collapsed="false">
      <c r="A211" s="28" t="str">
        <f aca="false">IF($C211="","",COUNTA($C$17:$C211))</f>
        <v/>
      </c>
      <c r="B211" s="29"/>
      <c r="C211" s="30"/>
      <c r="D211" s="29"/>
      <c r="E211" s="31" t="str">
        <f aca="false">IF($C211="","",IF(NOT(OR(M211="Completed",M211="NA",M211="Cancelled")),"S1 Schematic",IF(NOT(OR(Q211="Completed",Q211="NA",Q211="Cancelled")),"S2 PCB Layout",IF(NOT(OR(U211="Completed",U211="NA",U211="Cancelled")),"S3 SI &amp; PI",IF(NOT(OR(Y211="Completed",Y211="NA",Y211="Cancelled")),"S4 Bare-PCB Fab",IF(NOT(OR(AC211="Completed",AC211="NA",AC211="Cancelled")),"S5 Assembly",IF(NOT(OR(AG211="Completed",AG211="NA",AG211="Cancelled")),"S6 Bring-up",IF(NOT(OR(AK211="Completed",AK211="NA",AK211="Cancelled")),"S7 BOM Procurement","All Stages Closed"))))))))</f>
        <v/>
      </c>
      <c r="F211" s="32" t="str">
        <f aca="false">IF($C211="","",IF(COUNTIF(M211,"Cancelled")+COUNTIF(Q211,"Cancelled")+COUNTIF(U211,"Cancelled")+COUNTIF(Y211,"Cancelled")+COUNTIF(AC211,"Cancelled")+COUNTIF(AG211,"Cancelled")+COUNTIF(AK211,"Cancelled")&gt;0,"Cancelled",IF(E211="All Stages Closed","Completed",IF(E211="S1 Schematic",M211,IF(E211="S2 PCB Layout",Q211,IF(E211="S3 SI &amp; PI",U211,IF(E211="S4 Bare-PCB Fab",Y211,IF(E211="S5 Assembly",AC211,IF(E211="S6 Bring-up",AG211,AK211)))))))))</f>
        <v/>
      </c>
      <c r="G211" s="33" t="str">
        <f aca="false">IF($C211="","",IF(E211="All Stages Closed","",IF(E211="S1 Schematic",IF(N211="","Not added",N211),IF(E211="S2 PCB Layout",IF(R211="","Not added",R211),IF(E211="S3 SI &amp; PI",IF(V211="","Not added",V211),IF(E211="S4 Bare-PCB Fab",IF(Z211="","Not added",Z211),IF(E211="S5 Assembly",IF(AD211="","Not added",AD211),IF(E211="S6 Bring-up",IF(AH211="","Not added",AH211),IF(AL211="","Not added",AL211)))))))))</f>
        <v/>
      </c>
      <c r="H211" s="32" t="str">
        <f aca="true">IF($C211="","",IF(OR(F211="Completed",F211="Cancelled"),"",IF(NOT(ISNUMBER(G211)),"No date set",IF(TODAY()&gt;G211,TODAY()-G211&amp;" days late",G211-TODAY()&amp;" days left"))))</f>
        <v/>
      </c>
      <c r="I211" s="31" t="str">
        <f aca="false">IF($C211="","",COUNTIF(M211,"Completed")+COUNTIF(Q211,"Completed")+COUNTIF(U211,"Completed")+COUNTIF(Y211,"Completed")+COUNTIF(AC211,"Completed")+COUNTIF(AG211,"Completed")+COUNTIF(AK211,"Completed"))</f>
        <v/>
      </c>
      <c r="J211" s="31" t="str">
        <f aca="false">IF($C211="","",7-(COUNTIF(M211,"NA")+COUNTIF(Q211,"NA")+COUNTIF(U211,"NA")+COUNTIF(Y211,"NA")+COUNTIF(AC211,"NA")+COUNTIF(AG211,"NA")+COUNTIF(AK211,"NA")))</f>
        <v/>
      </c>
      <c r="K211" s="34" t="str">
        <f aca="false">IFERROR(I211/J211,"")</f>
        <v/>
      </c>
      <c r="L211" s="29"/>
      <c r="M211" s="35"/>
      <c r="N211" s="36"/>
      <c r="O211" s="36"/>
      <c r="P211" s="29"/>
      <c r="Q211" s="35"/>
      <c r="R211" s="36"/>
      <c r="S211" s="36"/>
      <c r="T211" s="29"/>
      <c r="U211" s="35"/>
      <c r="V211" s="36"/>
      <c r="W211" s="36"/>
      <c r="X211" s="29"/>
      <c r="Y211" s="35"/>
      <c r="Z211" s="36"/>
      <c r="AA211" s="36"/>
      <c r="AB211" s="29"/>
      <c r="AC211" s="35"/>
      <c r="AD211" s="36"/>
      <c r="AE211" s="36"/>
      <c r="AF211" s="29"/>
      <c r="AG211" s="35"/>
      <c r="AH211" s="36"/>
      <c r="AI211" s="36"/>
      <c r="AJ211" s="29"/>
      <c r="AK211" s="35"/>
      <c r="AL211" s="36"/>
      <c r="AM211" s="36"/>
      <c r="AN211" s="29"/>
      <c r="AO211" s="29"/>
      <c r="AP211" s="29"/>
      <c r="AQ211" s="37"/>
      <c r="AR211" s="29"/>
      <c r="AS211" s="38" t="str">
        <f aca="false">IF($C211="","",IF(OR(F211="Completed",F211="Cancelled"),"",IF(AND(OR(F211="On Hold",ISNUMBER(VALUE(LEFT(H211,2)))),AR211=""),"Reason not given","")))</f>
        <v/>
      </c>
      <c r="AT211" s="30"/>
      <c r="AU211" s="30"/>
    </row>
    <row r="212" customFormat="false" ht="19.5" hidden="false" customHeight="true" outlineLevel="0" collapsed="false">
      <c r="A212" s="28" t="str">
        <f aca="false">IF($C212="","",COUNTA($C$17:$C212))</f>
        <v/>
      </c>
      <c r="B212" s="29"/>
      <c r="C212" s="30"/>
      <c r="D212" s="29"/>
      <c r="E212" s="31" t="str">
        <f aca="false">IF($C212="","",IF(NOT(OR(M212="Completed",M212="NA",M212="Cancelled")),"S1 Schematic",IF(NOT(OR(Q212="Completed",Q212="NA",Q212="Cancelled")),"S2 PCB Layout",IF(NOT(OR(U212="Completed",U212="NA",U212="Cancelled")),"S3 SI &amp; PI",IF(NOT(OR(Y212="Completed",Y212="NA",Y212="Cancelled")),"S4 Bare-PCB Fab",IF(NOT(OR(AC212="Completed",AC212="NA",AC212="Cancelled")),"S5 Assembly",IF(NOT(OR(AG212="Completed",AG212="NA",AG212="Cancelled")),"S6 Bring-up",IF(NOT(OR(AK212="Completed",AK212="NA",AK212="Cancelled")),"S7 BOM Procurement","All Stages Closed"))))))))</f>
        <v/>
      </c>
      <c r="F212" s="32" t="str">
        <f aca="false">IF($C212="","",IF(COUNTIF(M212,"Cancelled")+COUNTIF(Q212,"Cancelled")+COUNTIF(U212,"Cancelled")+COUNTIF(Y212,"Cancelled")+COUNTIF(AC212,"Cancelled")+COUNTIF(AG212,"Cancelled")+COUNTIF(AK212,"Cancelled")&gt;0,"Cancelled",IF(E212="All Stages Closed","Completed",IF(E212="S1 Schematic",M212,IF(E212="S2 PCB Layout",Q212,IF(E212="S3 SI &amp; PI",U212,IF(E212="S4 Bare-PCB Fab",Y212,IF(E212="S5 Assembly",AC212,IF(E212="S6 Bring-up",AG212,AK212)))))))))</f>
        <v/>
      </c>
      <c r="G212" s="33" t="str">
        <f aca="false">IF($C212="","",IF(E212="All Stages Closed","",IF(E212="S1 Schematic",IF(N212="","Not added",N212),IF(E212="S2 PCB Layout",IF(R212="","Not added",R212),IF(E212="S3 SI &amp; PI",IF(V212="","Not added",V212),IF(E212="S4 Bare-PCB Fab",IF(Z212="","Not added",Z212),IF(E212="S5 Assembly",IF(AD212="","Not added",AD212),IF(E212="S6 Bring-up",IF(AH212="","Not added",AH212),IF(AL212="","Not added",AL212)))))))))</f>
        <v/>
      </c>
      <c r="H212" s="32" t="str">
        <f aca="true">IF($C212="","",IF(OR(F212="Completed",F212="Cancelled"),"",IF(NOT(ISNUMBER(G212)),"No date set",IF(TODAY()&gt;G212,TODAY()-G212&amp;" days late",G212-TODAY()&amp;" days left"))))</f>
        <v/>
      </c>
      <c r="I212" s="31" t="str">
        <f aca="false">IF($C212="","",COUNTIF(M212,"Completed")+COUNTIF(Q212,"Completed")+COUNTIF(U212,"Completed")+COUNTIF(Y212,"Completed")+COUNTIF(AC212,"Completed")+COUNTIF(AG212,"Completed")+COUNTIF(AK212,"Completed"))</f>
        <v/>
      </c>
      <c r="J212" s="31" t="str">
        <f aca="false">IF($C212="","",7-(COUNTIF(M212,"NA")+COUNTIF(Q212,"NA")+COUNTIF(U212,"NA")+COUNTIF(Y212,"NA")+COUNTIF(AC212,"NA")+COUNTIF(AG212,"NA")+COUNTIF(AK212,"NA")))</f>
        <v/>
      </c>
      <c r="K212" s="34" t="str">
        <f aca="false">IFERROR(I212/J212,"")</f>
        <v/>
      </c>
      <c r="L212" s="29"/>
      <c r="M212" s="35"/>
      <c r="N212" s="36"/>
      <c r="O212" s="36"/>
      <c r="P212" s="29"/>
      <c r="Q212" s="35"/>
      <c r="R212" s="36"/>
      <c r="S212" s="36"/>
      <c r="T212" s="29"/>
      <c r="U212" s="35"/>
      <c r="V212" s="36"/>
      <c r="W212" s="36"/>
      <c r="X212" s="29"/>
      <c r="Y212" s="35"/>
      <c r="Z212" s="36"/>
      <c r="AA212" s="36"/>
      <c r="AB212" s="29"/>
      <c r="AC212" s="35"/>
      <c r="AD212" s="36"/>
      <c r="AE212" s="36"/>
      <c r="AF212" s="29"/>
      <c r="AG212" s="35"/>
      <c r="AH212" s="36"/>
      <c r="AI212" s="36"/>
      <c r="AJ212" s="29"/>
      <c r="AK212" s="35"/>
      <c r="AL212" s="36"/>
      <c r="AM212" s="36"/>
      <c r="AN212" s="29"/>
      <c r="AO212" s="29"/>
      <c r="AP212" s="29"/>
      <c r="AQ212" s="37"/>
      <c r="AR212" s="29"/>
      <c r="AS212" s="38" t="str">
        <f aca="false">IF($C212="","",IF(OR(F212="Completed",F212="Cancelled"),"",IF(AND(OR(F212="On Hold",ISNUMBER(VALUE(LEFT(H212,2)))),AR212=""),"Reason not given","")))</f>
        <v/>
      </c>
      <c r="AT212" s="30"/>
      <c r="AU212" s="30"/>
    </row>
    <row r="213" customFormat="false" ht="19.5" hidden="false" customHeight="true" outlineLevel="0" collapsed="false">
      <c r="A213" s="28" t="str">
        <f aca="false">IF($C213="","",COUNTA($C$17:$C213))</f>
        <v/>
      </c>
      <c r="B213" s="29"/>
      <c r="C213" s="30"/>
      <c r="D213" s="29"/>
      <c r="E213" s="31" t="str">
        <f aca="false">IF($C213="","",IF(NOT(OR(M213="Completed",M213="NA",M213="Cancelled")),"S1 Schematic",IF(NOT(OR(Q213="Completed",Q213="NA",Q213="Cancelled")),"S2 PCB Layout",IF(NOT(OR(U213="Completed",U213="NA",U213="Cancelled")),"S3 SI &amp; PI",IF(NOT(OR(Y213="Completed",Y213="NA",Y213="Cancelled")),"S4 Bare-PCB Fab",IF(NOT(OR(AC213="Completed",AC213="NA",AC213="Cancelled")),"S5 Assembly",IF(NOT(OR(AG213="Completed",AG213="NA",AG213="Cancelled")),"S6 Bring-up",IF(NOT(OR(AK213="Completed",AK213="NA",AK213="Cancelled")),"S7 BOM Procurement","All Stages Closed"))))))))</f>
        <v/>
      </c>
      <c r="F213" s="32" t="str">
        <f aca="false">IF($C213="","",IF(COUNTIF(M213,"Cancelled")+COUNTIF(Q213,"Cancelled")+COUNTIF(U213,"Cancelled")+COUNTIF(Y213,"Cancelled")+COUNTIF(AC213,"Cancelled")+COUNTIF(AG213,"Cancelled")+COUNTIF(AK213,"Cancelled")&gt;0,"Cancelled",IF(E213="All Stages Closed","Completed",IF(E213="S1 Schematic",M213,IF(E213="S2 PCB Layout",Q213,IF(E213="S3 SI &amp; PI",U213,IF(E213="S4 Bare-PCB Fab",Y213,IF(E213="S5 Assembly",AC213,IF(E213="S6 Bring-up",AG213,AK213)))))))))</f>
        <v/>
      </c>
      <c r="G213" s="33" t="str">
        <f aca="false">IF($C213="","",IF(E213="All Stages Closed","",IF(E213="S1 Schematic",IF(N213="","Not added",N213),IF(E213="S2 PCB Layout",IF(R213="","Not added",R213),IF(E213="S3 SI &amp; PI",IF(V213="","Not added",V213),IF(E213="S4 Bare-PCB Fab",IF(Z213="","Not added",Z213),IF(E213="S5 Assembly",IF(AD213="","Not added",AD213),IF(E213="S6 Bring-up",IF(AH213="","Not added",AH213),IF(AL213="","Not added",AL213)))))))))</f>
        <v/>
      </c>
      <c r="H213" s="32" t="str">
        <f aca="true">IF($C213="","",IF(OR(F213="Completed",F213="Cancelled"),"",IF(NOT(ISNUMBER(G213)),"No date set",IF(TODAY()&gt;G213,TODAY()-G213&amp;" days late",G213-TODAY()&amp;" days left"))))</f>
        <v/>
      </c>
      <c r="I213" s="31" t="str">
        <f aca="false">IF($C213="","",COUNTIF(M213,"Completed")+COUNTIF(Q213,"Completed")+COUNTIF(U213,"Completed")+COUNTIF(Y213,"Completed")+COUNTIF(AC213,"Completed")+COUNTIF(AG213,"Completed")+COUNTIF(AK213,"Completed"))</f>
        <v/>
      </c>
      <c r="J213" s="31" t="str">
        <f aca="false">IF($C213="","",7-(COUNTIF(M213,"NA")+COUNTIF(Q213,"NA")+COUNTIF(U213,"NA")+COUNTIF(Y213,"NA")+COUNTIF(AC213,"NA")+COUNTIF(AG213,"NA")+COUNTIF(AK213,"NA")))</f>
        <v/>
      </c>
      <c r="K213" s="34" t="str">
        <f aca="false">IFERROR(I213/J213,"")</f>
        <v/>
      </c>
      <c r="L213" s="29"/>
      <c r="M213" s="35"/>
      <c r="N213" s="36"/>
      <c r="O213" s="36"/>
      <c r="P213" s="29"/>
      <c r="Q213" s="35"/>
      <c r="R213" s="36"/>
      <c r="S213" s="36"/>
      <c r="T213" s="29"/>
      <c r="U213" s="35"/>
      <c r="V213" s="36"/>
      <c r="W213" s="36"/>
      <c r="X213" s="29"/>
      <c r="Y213" s="35"/>
      <c r="Z213" s="36"/>
      <c r="AA213" s="36"/>
      <c r="AB213" s="29"/>
      <c r="AC213" s="35"/>
      <c r="AD213" s="36"/>
      <c r="AE213" s="36"/>
      <c r="AF213" s="29"/>
      <c r="AG213" s="35"/>
      <c r="AH213" s="36"/>
      <c r="AI213" s="36"/>
      <c r="AJ213" s="29"/>
      <c r="AK213" s="35"/>
      <c r="AL213" s="36"/>
      <c r="AM213" s="36"/>
      <c r="AN213" s="29"/>
      <c r="AO213" s="29"/>
      <c r="AP213" s="29"/>
      <c r="AQ213" s="37"/>
      <c r="AR213" s="29"/>
      <c r="AS213" s="38" t="str">
        <f aca="false">IF($C213="","",IF(OR(F213="Completed",F213="Cancelled"),"",IF(AND(OR(F213="On Hold",ISNUMBER(VALUE(LEFT(H213,2)))),AR213=""),"Reason not given","")))</f>
        <v/>
      </c>
      <c r="AT213" s="30"/>
      <c r="AU213" s="30"/>
    </row>
    <row r="214" customFormat="false" ht="19.5" hidden="false" customHeight="true" outlineLevel="0" collapsed="false">
      <c r="A214" s="28" t="str">
        <f aca="false">IF($C214="","",COUNTA($C$17:$C214))</f>
        <v/>
      </c>
      <c r="B214" s="29"/>
      <c r="C214" s="30"/>
      <c r="D214" s="29"/>
      <c r="E214" s="31" t="str">
        <f aca="false">IF($C214="","",IF(NOT(OR(M214="Completed",M214="NA",M214="Cancelled")),"S1 Schematic",IF(NOT(OR(Q214="Completed",Q214="NA",Q214="Cancelled")),"S2 PCB Layout",IF(NOT(OR(U214="Completed",U214="NA",U214="Cancelled")),"S3 SI &amp; PI",IF(NOT(OR(Y214="Completed",Y214="NA",Y214="Cancelled")),"S4 Bare-PCB Fab",IF(NOT(OR(AC214="Completed",AC214="NA",AC214="Cancelled")),"S5 Assembly",IF(NOT(OR(AG214="Completed",AG214="NA",AG214="Cancelled")),"S6 Bring-up",IF(NOT(OR(AK214="Completed",AK214="NA",AK214="Cancelled")),"S7 BOM Procurement","All Stages Closed"))))))))</f>
        <v/>
      </c>
      <c r="F214" s="32" t="str">
        <f aca="false">IF($C214="","",IF(COUNTIF(M214,"Cancelled")+COUNTIF(Q214,"Cancelled")+COUNTIF(U214,"Cancelled")+COUNTIF(Y214,"Cancelled")+COUNTIF(AC214,"Cancelled")+COUNTIF(AG214,"Cancelled")+COUNTIF(AK214,"Cancelled")&gt;0,"Cancelled",IF(E214="All Stages Closed","Completed",IF(E214="S1 Schematic",M214,IF(E214="S2 PCB Layout",Q214,IF(E214="S3 SI &amp; PI",U214,IF(E214="S4 Bare-PCB Fab",Y214,IF(E214="S5 Assembly",AC214,IF(E214="S6 Bring-up",AG214,AK214)))))))))</f>
        <v/>
      </c>
      <c r="G214" s="33" t="str">
        <f aca="false">IF($C214="","",IF(E214="All Stages Closed","",IF(E214="S1 Schematic",IF(N214="","Not added",N214),IF(E214="S2 PCB Layout",IF(R214="","Not added",R214),IF(E214="S3 SI &amp; PI",IF(V214="","Not added",V214),IF(E214="S4 Bare-PCB Fab",IF(Z214="","Not added",Z214),IF(E214="S5 Assembly",IF(AD214="","Not added",AD214),IF(E214="S6 Bring-up",IF(AH214="","Not added",AH214),IF(AL214="","Not added",AL214)))))))))</f>
        <v/>
      </c>
      <c r="H214" s="32" t="str">
        <f aca="true">IF($C214="","",IF(OR(F214="Completed",F214="Cancelled"),"",IF(NOT(ISNUMBER(G214)),"No date set",IF(TODAY()&gt;G214,TODAY()-G214&amp;" days late",G214-TODAY()&amp;" days left"))))</f>
        <v/>
      </c>
      <c r="I214" s="31" t="str">
        <f aca="false">IF($C214="","",COUNTIF(M214,"Completed")+COUNTIF(Q214,"Completed")+COUNTIF(U214,"Completed")+COUNTIF(Y214,"Completed")+COUNTIF(AC214,"Completed")+COUNTIF(AG214,"Completed")+COUNTIF(AK214,"Completed"))</f>
        <v/>
      </c>
      <c r="J214" s="31" t="str">
        <f aca="false">IF($C214="","",7-(COUNTIF(M214,"NA")+COUNTIF(Q214,"NA")+COUNTIF(U214,"NA")+COUNTIF(Y214,"NA")+COUNTIF(AC214,"NA")+COUNTIF(AG214,"NA")+COUNTIF(AK214,"NA")))</f>
        <v/>
      </c>
      <c r="K214" s="34" t="str">
        <f aca="false">IFERROR(I214/J214,"")</f>
        <v/>
      </c>
      <c r="L214" s="29"/>
      <c r="M214" s="35"/>
      <c r="N214" s="36"/>
      <c r="O214" s="36"/>
      <c r="P214" s="29"/>
      <c r="Q214" s="35"/>
      <c r="R214" s="36"/>
      <c r="S214" s="36"/>
      <c r="T214" s="29"/>
      <c r="U214" s="35"/>
      <c r="V214" s="36"/>
      <c r="W214" s="36"/>
      <c r="X214" s="29"/>
      <c r="Y214" s="35"/>
      <c r="Z214" s="36"/>
      <c r="AA214" s="36"/>
      <c r="AB214" s="29"/>
      <c r="AC214" s="35"/>
      <c r="AD214" s="36"/>
      <c r="AE214" s="36"/>
      <c r="AF214" s="29"/>
      <c r="AG214" s="35"/>
      <c r="AH214" s="36"/>
      <c r="AI214" s="36"/>
      <c r="AJ214" s="29"/>
      <c r="AK214" s="35"/>
      <c r="AL214" s="36"/>
      <c r="AM214" s="36"/>
      <c r="AN214" s="29"/>
      <c r="AO214" s="29"/>
      <c r="AP214" s="29"/>
      <c r="AQ214" s="37"/>
      <c r="AR214" s="29"/>
      <c r="AS214" s="38" t="str">
        <f aca="false">IF($C214="","",IF(OR(F214="Completed",F214="Cancelled"),"",IF(AND(OR(F214="On Hold",ISNUMBER(VALUE(LEFT(H214,2)))),AR214=""),"Reason not given","")))</f>
        <v/>
      </c>
      <c r="AT214" s="30"/>
      <c r="AU214" s="30"/>
    </row>
    <row r="215" customFormat="false" ht="19.5" hidden="false" customHeight="true" outlineLevel="0" collapsed="false">
      <c r="A215" s="28" t="str">
        <f aca="false">IF($C215="","",COUNTA($C$17:$C215))</f>
        <v/>
      </c>
      <c r="B215" s="29"/>
      <c r="C215" s="30"/>
      <c r="D215" s="29"/>
      <c r="E215" s="31" t="str">
        <f aca="false">IF($C215="","",IF(NOT(OR(M215="Completed",M215="NA",M215="Cancelled")),"S1 Schematic",IF(NOT(OR(Q215="Completed",Q215="NA",Q215="Cancelled")),"S2 PCB Layout",IF(NOT(OR(U215="Completed",U215="NA",U215="Cancelled")),"S3 SI &amp; PI",IF(NOT(OR(Y215="Completed",Y215="NA",Y215="Cancelled")),"S4 Bare-PCB Fab",IF(NOT(OR(AC215="Completed",AC215="NA",AC215="Cancelled")),"S5 Assembly",IF(NOT(OR(AG215="Completed",AG215="NA",AG215="Cancelled")),"S6 Bring-up",IF(NOT(OR(AK215="Completed",AK215="NA",AK215="Cancelled")),"S7 BOM Procurement","All Stages Closed"))))))))</f>
        <v/>
      </c>
      <c r="F215" s="32" t="str">
        <f aca="false">IF($C215="","",IF(COUNTIF(M215,"Cancelled")+COUNTIF(Q215,"Cancelled")+COUNTIF(U215,"Cancelled")+COUNTIF(Y215,"Cancelled")+COUNTIF(AC215,"Cancelled")+COUNTIF(AG215,"Cancelled")+COUNTIF(AK215,"Cancelled")&gt;0,"Cancelled",IF(E215="All Stages Closed","Completed",IF(E215="S1 Schematic",M215,IF(E215="S2 PCB Layout",Q215,IF(E215="S3 SI &amp; PI",U215,IF(E215="S4 Bare-PCB Fab",Y215,IF(E215="S5 Assembly",AC215,IF(E215="S6 Bring-up",AG215,AK215)))))))))</f>
        <v/>
      </c>
      <c r="G215" s="33" t="str">
        <f aca="false">IF($C215="","",IF(E215="All Stages Closed","",IF(E215="S1 Schematic",IF(N215="","Not added",N215),IF(E215="S2 PCB Layout",IF(R215="","Not added",R215),IF(E215="S3 SI &amp; PI",IF(V215="","Not added",V215),IF(E215="S4 Bare-PCB Fab",IF(Z215="","Not added",Z215),IF(E215="S5 Assembly",IF(AD215="","Not added",AD215),IF(E215="S6 Bring-up",IF(AH215="","Not added",AH215),IF(AL215="","Not added",AL215)))))))))</f>
        <v/>
      </c>
      <c r="H215" s="32" t="str">
        <f aca="true">IF($C215="","",IF(OR(F215="Completed",F215="Cancelled"),"",IF(NOT(ISNUMBER(G215)),"No date set",IF(TODAY()&gt;G215,TODAY()-G215&amp;" days late",G215-TODAY()&amp;" days left"))))</f>
        <v/>
      </c>
      <c r="I215" s="31" t="str">
        <f aca="false">IF($C215="","",COUNTIF(M215,"Completed")+COUNTIF(Q215,"Completed")+COUNTIF(U215,"Completed")+COUNTIF(Y215,"Completed")+COUNTIF(AC215,"Completed")+COUNTIF(AG215,"Completed")+COUNTIF(AK215,"Completed"))</f>
        <v/>
      </c>
      <c r="J215" s="31" t="str">
        <f aca="false">IF($C215="","",7-(COUNTIF(M215,"NA")+COUNTIF(Q215,"NA")+COUNTIF(U215,"NA")+COUNTIF(Y215,"NA")+COUNTIF(AC215,"NA")+COUNTIF(AG215,"NA")+COUNTIF(AK215,"NA")))</f>
        <v/>
      </c>
      <c r="K215" s="34" t="str">
        <f aca="false">IFERROR(I215/J215,"")</f>
        <v/>
      </c>
      <c r="L215" s="29"/>
      <c r="M215" s="35"/>
      <c r="N215" s="36"/>
      <c r="O215" s="36"/>
      <c r="P215" s="29"/>
      <c r="Q215" s="35"/>
      <c r="R215" s="36"/>
      <c r="S215" s="36"/>
      <c r="T215" s="29"/>
      <c r="U215" s="35"/>
      <c r="V215" s="36"/>
      <c r="W215" s="36"/>
      <c r="X215" s="29"/>
      <c r="Y215" s="35"/>
      <c r="Z215" s="36"/>
      <c r="AA215" s="36"/>
      <c r="AB215" s="29"/>
      <c r="AC215" s="35"/>
      <c r="AD215" s="36"/>
      <c r="AE215" s="36"/>
      <c r="AF215" s="29"/>
      <c r="AG215" s="35"/>
      <c r="AH215" s="36"/>
      <c r="AI215" s="36"/>
      <c r="AJ215" s="29"/>
      <c r="AK215" s="35"/>
      <c r="AL215" s="36"/>
      <c r="AM215" s="36"/>
      <c r="AN215" s="29"/>
      <c r="AO215" s="29"/>
      <c r="AP215" s="29"/>
      <c r="AQ215" s="37"/>
      <c r="AR215" s="29"/>
      <c r="AS215" s="38" t="str">
        <f aca="false">IF($C215="","",IF(OR(F215="Completed",F215="Cancelled"),"",IF(AND(OR(F215="On Hold",ISNUMBER(VALUE(LEFT(H215,2)))),AR215=""),"Reason not given","")))</f>
        <v/>
      </c>
      <c r="AT215" s="30"/>
      <c r="AU215" s="30"/>
    </row>
    <row r="216" customFormat="false" ht="19.5" hidden="false" customHeight="true" outlineLevel="0" collapsed="false">
      <c r="A216" s="28" t="str">
        <f aca="false">IF($C216="","",COUNTA($C$17:$C216))</f>
        <v/>
      </c>
      <c r="B216" s="29"/>
      <c r="C216" s="30"/>
      <c r="D216" s="29"/>
      <c r="E216" s="31" t="str">
        <f aca="false">IF($C216="","",IF(NOT(OR(M216="Completed",M216="NA",M216="Cancelled")),"S1 Schematic",IF(NOT(OR(Q216="Completed",Q216="NA",Q216="Cancelled")),"S2 PCB Layout",IF(NOT(OR(U216="Completed",U216="NA",U216="Cancelled")),"S3 SI &amp; PI",IF(NOT(OR(Y216="Completed",Y216="NA",Y216="Cancelled")),"S4 Bare-PCB Fab",IF(NOT(OR(AC216="Completed",AC216="NA",AC216="Cancelled")),"S5 Assembly",IF(NOT(OR(AG216="Completed",AG216="NA",AG216="Cancelled")),"S6 Bring-up",IF(NOT(OR(AK216="Completed",AK216="NA",AK216="Cancelled")),"S7 BOM Procurement","All Stages Closed"))))))))</f>
        <v/>
      </c>
      <c r="F216" s="32" t="str">
        <f aca="false">IF($C216="","",IF(COUNTIF(M216,"Cancelled")+COUNTIF(Q216,"Cancelled")+COUNTIF(U216,"Cancelled")+COUNTIF(Y216,"Cancelled")+COUNTIF(AC216,"Cancelled")+COUNTIF(AG216,"Cancelled")+COUNTIF(AK216,"Cancelled")&gt;0,"Cancelled",IF(E216="All Stages Closed","Completed",IF(E216="S1 Schematic",M216,IF(E216="S2 PCB Layout",Q216,IF(E216="S3 SI &amp; PI",U216,IF(E216="S4 Bare-PCB Fab",Y216,IF(E216="S5 Assembly",AC216,IF(E216="S6 Bring-up",AG216,AK216)))))))))</f>
        <v/>
      </c>
      <c r="G216" s="33" t="str">
        <f aca="false">IF($C216="","",IF(E216="All Stages Closed","",IF(E216="S1 Schematic",IF(N216="","Not added",N216),IF(E216="S2 PCB Layout",IF(R216="","Not added",R216),IF(E216="S3 SI &amp; PI",IF(V216="","Not added",V216),IF(E216="S4 Bare-PCB Fab",IF(Z216="","Not added",Z216),IF(E216="S5 Assembly",IF(AD216="","Not added",AD216),IF(E216="S6 Bring-up",IF(AH216="","Not added",AH216),IF(AL216="","Not added",AL216)))))))))</f>
        <v/>
      </c>
      <c r="H216" s="32" t="str">
        <f aca="true">IF($C216="","",IF(OR(F216="Completed",F216="Cancelled"),"",IF(NOT(ISNUMBER(G216)),"No date set",IF(TODAY()&gt;G216,TODAY()-G216&amp;" days late",G216-TODAY()&amp;" days left"))))</f>
        <v/>
      </c>
      <c r="I216" s="31" t="str">
        <f aca="false">IF($C216="","",COUNTIF(M216,"Completed")+COUNTIF(Q216,"Completed")+COUNTIF(U216,"Completed")+COUNTIF(Y216,"Completed")+COUNTIF(AC216,"Completed")+COUNTIF(AG216,"Completed")+COUNTIF(AK216,"Completed"))</f>
        <v/>
      </c>
      <c r="J216" s="31" t="str">
        <f aca="false">IF($C216="","",7-(COUNTIF(M216,"NA")+COUNTIF(Q216,"NA")+COUNTIF(U216,"NA")+COUNTIF(Y216,"NA")+COUNTIF(AC216,"NA")+COUNTIF(AG216,"NA")+COUNTIF(AK216,"NA")))</f>
        <v/>
      </c>
      <c r="K216" s="34" t="str">
        <f aca="false">IFERROR(I216/J216,"")</f>
        <v/>
      </c>
      <c r="L216" s="29"/>
      <c r="M216" s="35"/>
      <c r="N216" s="36"/>
      <c r="O216" s="36"/>
      <c r="P216" s="29"/>
      <c r="Q216" s="35"/>
      <c r="R216" s="36"/>
      <c r="S216" s="36"/>
      <c r="T216" s="29"/>
      <c r="U216" s="35"/>
      <c r="V216" s="36"/>
      <c r="W216" s="36"/>
      <c r="X216" s="29"/>
      <c r="Y216" s="35"/>
      <c r="Z216" s="36"/>
      <c r="AA216" s="36"/>
      <c r="AB216" s="29"/>
      <c r="AC216" s="35"/>
      <c r="AD216" s="36"/>
      <c r="AE216" s="36"/>
      <c r="AF216" s="29"/>
      <c r="AG216" s="35"/>
      <c r="AH216" s="36"/>
      <c r="AI216" s="36"/>
      <c r="AJ216" s="29"/>
      <c r="AK216" s="35"/>
      <c r="AL216" s="36"/>
      <c r="AM216" s="36"/>
      <c r="AN216" s="29"/>
      <c r="AO216" s="29"/>
      <c r="AP216" s="29"/>
      <c r="AQ216" s="37"/>
      <c r="AR216" s="29"/>
      <c r="AS216" s="38" t="str">
        <f aca="false">IF($C216="","",IF(OR(F216="Completed",F216="Cancelled"),"",IF(AND(OR(F216="On Hold",ISNUMBER(VALUE(LEFT(H216,2)))),AR216=""),"Reason not given","")))</f>
        <v/>
      </c>
      <c r="AT216" s="30"/>
      <c r="AU216" s="30"/>
    </row>
    <row r="217" customFormat="false" ht="19.5" hidden="false" customHeight="true" outlineLevel="0" collapsed="false">
      <c r="A217" s="28" t="str">
        <f aca="false">IF($C217="","",COUNTA($C$17:$C217))</f>
        <v/>
      </c>
      <c r="B217" s="29"/>
      <c r="C217" s="30"/>
      <c r="D217" s="29"/>
      <c r="E217" s="31" t="str">
        <f aca="false">IF($C217="","",IF(NOT(OR(M217="Completed",M217="NA",M217="Cancelled")),"S1 Schematic",IF(NOT(OR(Q217="Completed",Q217="NA",Q217="Cancelled")),"S2 PCB Layout",IF(NOT(OR(U217="Completed",U217="NA",U217="Cancelled")),"S3 SI &amp; PI",IF(NOT(OR(Y217="Completed",Y217="NA",Y217="Cancelled")),"S4 Bare-PCB Fab",IF(NOT(OR(AC217="Completed",AC217="NA",AC217="Cancelled")),"S5 Assembly",IF(NOT(OR(AG217="Completed",AG217="NA",AG217="Cancelled")),"S6 Bring-up",IF(NOT(OR(AK217="Completed",AK217="NA",AK217="Cancelled")),"S7 BOM Procurement","All Stages Closed"))))))))</f>
        <v/>
      </c>
      <c r="F217" s="32" t="str">
        <f aca="false">IF($C217="","",IF(COUNTIF(M217,"Cancelled")+COUNTIF(Q217,"Cancelled")+COUNTIF(U217,"Cancelled")+COUNTIF(Y217,"Cancelled")+COUNTIF(AC217,"Cancelled")+COUNTIF(AG217,"Cancelled")+COUNTIF(AK217,"Cancelled")&gt;0,"Cancelled",IF(E217="All Stages Closed","Completed",IF(E217="S1 Schematic",M217,IF(E217="S2 PCB Layout",Q217,IF(E217="S3 SI &amp; PI",U217,IF(E217="S4 Bare-PCB Fab",Y217,IF(E217="S5 Assembly",AC217,IF(E217="S6 Bring-up",AG217,AK217)))))))))</f>
        <v/>
      </c>
      <c r="G217" s="33" t="str">
        <f aca="false">IF($C217="","",IF(E217="All Stages Closed","",IF(E217="S1 Schematic",IF(N217="","Not added",N217),IF(E217="S2 PCB Layout",IF(R217="","Not added",R217),IF(E217="S3 SI &amp; PI",IF(V217="","Not added",V217),IF(E217="S4 Bare-PCB Fab",IF(Z217="","Not added",Z217),IF(E217="S5 Assembly",IF(AD217="","Not added",AD217),IF(E217="S6 Bring-up",IF(AH217="","Not added",AH217),IF(AL217="","Not added",AL217)))))))))</f>
        <v/>
      </c>
      <c r="H217" s="32" t="str">
        <f aca="true">IF($C217="","",IF(OR(F217="Completed",F217="Cancelled"),"",IF(NOT(ISNUMBER(G217)),"No date set",IF(TODAY()&gt;G217,TODAY()-G217&amp;" days late",G217-TODAY()&amp;" days left"))))</f>
        <v/>
      </c>
      <c r="I217" s="31" t="str">
        <f aca="false">IF($C217="","",COUNTIF(M217,"Completed")+COUNTIF(Q217,"Completed")+COUNTIF(U217,"Completed")+COUNTIF(Y217,"Completed")+COUNTIF(AC217,"Completed")+COUNTIF(AG217,"Completed")+COUNTIF(AK217,"Completed"))</f>
        <v/>
      </c>
      <c r="J217" s="31" t="str">
        <f aca="false">IF($C217="","",7-(COUNTIF(M217,"NA")+COUNTIF(Q217,"NA")+COUNTIF(U217,"NA")+COUNTIF(Y217,"NA")+COUNTIF(AC217,"NA")+COUNTIF(AG217,"NA")+COUNTIF(AK217,"NA")))</f>
        <v/>
      </c>
      <c r="K217" s="34" t="str">
        <f aca="false">IFERROR(I217/J217,"")</f>
        <v/>
      </c>
      <c r="L217" s="29"/>
      <c r="M217" s="35"/>
      <c r="N217" s="36"/>
      <c r="O217" s="36"/>
      <c r="P217" s="29"/>
      <c r="Q217" s="35"/>
      <c r="R217" s="36"/>
      <c r="S217" s="36"/>
      <c r="T217" s="29"/>
      <c r="U217" s="35"/>
      <c r="V217" s="36"/>
      <c r="W217" s="36"/>
      <c r="X217" s="29"/>
      <c r="Y217" s="35"/>
      <c r="Z217" s="36"/>
      <c r="AA217" s="36"/>
      <c r="AB217" s="29"/>
      <c r="AC217" s="35"/>
      <c r="AD217" s="36"/>
      <c r="AE217" s="36"/>
      <c r="AF217" s="29"/>
      <c r="AG217" s="35"/>
      <c r="AH217" s="36"/>
      <c r="AI217" s="36"/>
      <c r="AJ217" s="29"/>
      <c r="AK217" s="35"/>
      <c r="AL217" s="36"/>
      <c r="AM217" s="36"/>
      <c r="AN217" s="29"/>
      <c r="AO217" s="29"/>
      <c r="AP217" s="29"/>
      <c r="AQ217" s="37"/>
      <c r="AR217" s="29"/>
      <c r="AS217" s="38" t="str">
        <f aca="false">IF($C217="","",IF(OR(F217="Completed",F217="Cancelled"),"",IF(AND(OR(F217="On Hold",ISNUMBER(VALUE(LEFT(H217,2)))),AR217=""),"Reason not given","")))</f>
        <v/>
      </c>
      <c r="AT217" s="30"/>
      <c r="AU217" s="30"/>
    </row>
    <row r="218" customFormat="false" ht="19.5" hidden="false" customHeight="true" outlineLevel="0" collapsed="false">
      <c r="A218" s="28" t="str">
        <f aca="false">IF($C218="","",COUNTA($C$17:$C218))</f>
        <v/>
      </c>
      <c r="B218" s="29"/>
      <c r="C218" s="30"/>
      <c r="D218" s="29"/>
      <c r="E218" s="31" t="str">
        <f aca="false">IF($C218="","",IF(NOT(OR(M218="Completed",M218="NA",M218="Cancelled")),"S1 Schematic",IF(NOT(OR(Q218="Completed",Q218="NA",Q218="Cancelled")),"S2 PCB Layout",IF(NOT(OR(U218="Completed",U218="NA",U218="Cancelled")),"S3 SI &amp; PI",IF(NOT(OR(Y218="Completed",Y218="NA",Y218="Cancelled")),"S4 Bare-PCB Fab",IF(NOT(OR(AC218="Completed",AC218="NA",AC218="Cancelled")),"S5 Assembly",IF(NOT(OR(AG218="Completed",AG218="NA",AG218="Cancelled")),"S6 Bring-up",IF(NOT(OR(AK218="Completed",AK218="NA",AK218="Cancelled")),"S7 BOM Procurement","All Stages Closed"))))))))</f>
        <v/>
      </c>
      <c r="F218" s="32" t="str">
        <f aca="false">IF($C218="","",IF(COUNTIF(M218,"Cancelled")+COUNTIF(Q218,"Cancelled")+COUNTIF(U218,"Cancelled")+COUNTIF(Y218,"Cancelled")+COUNTIF(AC218,"Cancelled")+COUNTIF(AG218,"Cancelled")+COUNTIF(AK218,"Cancelled")&gt;0,"Cancelled",IF(E218="All Stages Closed","Completed",IF(E218="S1 Schematic",M218,IF(E218="S2 PCB Layout",Q218,IF(E218="S3 SI &amp; PI",U218,IF(E218="S4 Bare-PCB Fab",Y218,IF(E218="S5 Assembly",AC218,IF(E218="S6 Bring-up",AG218,AK218)))))))))</f>
        <v/>
      </c>
      <c r="G218" s="33" t="str">
        <f aca="false">IF($C218="","",IF(E218="All Stages Closed","",IF(E218="S1 Schematic",IF(N218="","Not added",N218),IF(E218="S2 PCB Layout",IF(R218="","Not added",R218),IF(E218="S3 SI &amp; PI",IF(V218="","Not added",V218),IF(E218="S4 Bare-PCB Fab",IF(Z218="","Not added",Z218),IF(E218="S5 Assembly",IF(AD218="","Not added",AD218),IF(E218="S6 Bring-up",IF(AH218="","Not added",AH218),IF(AL218="","Not added",AL218)))))))))</f>
        <v/>
      </c>
      <c r="H218" s="32" t="str">
        <f aca="true">IF($C218="","",IF(OR(F218="Completed",F218="Cancelled"),"",IF(NOT(ISNUMBER(G218)),"No date set",IF(TODAY()&gt;G218,TODAY()-G218&amp;" days late",G218-TODAY()&amp;" days left"))))</f>
        <v/>
      </c>
      <c r="I218" s="31" t="str">
        <f aca="false">IF($C218="","",COUNTIF(M218,"Completed")+COUNTIF(Q218,"Completed")+COUNTIF(U218,"Completed")+COUNTIF(Y218,"Completed")+COUNTIF(AC218,"Completed")+COUNTIF(AG218,"Completed")+COUNTIF(AK218,"Completed"))</f>
        <v/>
      </c>
      <c r="J218" s="31" t="str">
        <f aca="false">IF($C218="","",7-(COUNTIF(M218,"NA")+COUNTIF(Q218,"NA")+COUNTIF(U218,"NA")+COUNTIF(Y218,"NA")+COUNTIF(AC218,"NA")+COUNTIF(AG218,"NA")+COUNTIF(AK218,"NA")))</f>
        <v/>
      </c>
      <c r="K218" s="34" t="str">
        <f aca="false">IFERROR(I218/J218,"")</f>
        <v/>
      </c>
      <c r="L218" s="29"/>
      <c r="M218" s="35"/>
      <c r="N218" s="36"/>
      <c r="O218" s="36"/>
      <c r="P218" s="29"/>
      <c r="Q218" s="35"/>
      <c r="R218" s="36"/>
      <c r="S218" s="36"/>
      <c r="T218" s="29"/>
      <c r="U218" s="35"/>
      <c r="V218" s="36"/>
      <c r="W218" s="36"/>
      <c r="X218" s="29"/>
      <c r="Y218" s="35"/>
      <c r="Z218" s="36"/>
      <c r="AA218" s="36"/>
      <c r="AB218" s="29"/>
      <c r="AC218" s="35"/>
      <c r="AD218" s="36"/>
      <c r="AE218" s="36"/>
      <c r="AF218" s="29"/>
      <c r="AG218" s="35"/>
      <c r="AH218" s="36"/>
      <c r="AI218" s="36"/>
      <c r="AJ218" s="29"/>
      <c r="AK218" s="35"/>
      <c r="AL218" s="36"/>
      <c r="AM218" s="36"/>
      <c r="AN218" s="29"/>
      <c r="AO218" s="29"/>
      <c r="AP218" s="29"/>
      <c r="AQ218" s="37"/>
      <c r="AR218" s="29"/>
      <c r="AS218" s="38" t="str">
        <f aca="false">IF($C218="","",IF(OR(F218="Completed",F218="Cancelled"),"",IF(AND(OR(F218="On Hold",ISNUMBER(VALUE(LEFT(H218,2)))),AR218=""),"Reason not given","")))</f>
        <v/>
      </c>
      <c r="AT218" s="30"/>
      <c r="AU218" s="30"/>
    </row>
    <row r="219" customFormat="false" ht="19.5" hidden="false" customHeight="true" outlineLevel="0" collapsed="false">
      <c r="A219" s="28" t="str">
        <f aca="false">IF($C219="","",COUNTA($C$17:$C219))</f>
        <v/>
      </c>
      <c r="B219" s="29"/>
      <c r="C219" s="30"/>
      <c r="D219" s="29"/>
      <c r="E219" s="31" t="str">
        <f aca="false">IF($C219="","",IF(NOT(OR(M219="Completed",M219="NA",M219="Cancelled")),"S1 Schematic",IF(NOT(OR(Q219="Completed",Q219="NA",Q219="Cancelled")),"S2 PCB Layout",IF(NOT(OR(U219="Completed",U219="NA",U219="Cancelled")),"S3 SI &amp; PI",IF(NOT(OR(Y219="Completed",Y219="NA",Y219="Cancelled")),"S4 Bare-PCB Fab",IF(NOT(OR(AC219="Completed",AC219="NA",AC219="Cancelled")),"S5 Assembly",IF(NOT(OR(AG219="Completed",AG219="NA",AG219="Cancelled")),"S6 Bring-up",IF(NOT(OR(AK219="Completed",AK219="NA",AK219="Cancelled")),"S7 BOM Procurement","All Stages Closed"))))))))</f>
        <v/>
      </c>
      <c r="F219" s="32" t="str">
        <f aca="false">IF($C219="","",IF(COUNTIF(M219,"Cancelled")+COUNTIF(Q219,"Cancelled")+COUNTIF(U219,"Cancelled")+COUNTIF(Y219,"Cancelled")+COUNTIF(AC219,"Cancelled")+COUNTIF(AG219,"Cancelled")+COUNTIF(AK219,"Cancelled")&gt;0,"Cancelled",IF(E219="All Stages Closed","Completed",IF(E219="S1 Schematic",M219,IF(E219="S2 PCB Layout",Q219,IF(E219="S3 SI &amp; PI",U219,IF(E219="S4 Bare-PCB Fab",Y219,IF(E219="S5 Assembly",AC219,IF(E219="S6 Bring-up",AG219,AK219)))))))))</f>
        <v/>
      </c>
      <c r="G219" s="33" t="str">
        <f aca="false">IF($C219="","",IF(E219="All Stages Closed","",IF(E219="S1 Schematic",IF(N219="","Not added",N219),IF(E219="S2 PCB Layout",IF(R219="","Not added",R219),IF(E219="S3 SI &amp; PI",IF(V219="","Not added",V219),IF(E219="S4 Bare-PCB Fab",IF(Z219="","Not added",Z219),IF(E219="S5 Assembly",IF(AD219="","Not added",AD219),IF(E219="S6 Bring-up",IF(AH219="","Not added",AH219),IF(AL219="","Not added",AL219)))))))))</f>
        <v/>
      </c>
      <c r="H219" s="32" t="str">
        <f aca="true">IF($C219="","",IF(OR(F219="Completed",F219="Cancelled"),"",IF(NOT(ISNUMBER(G219)),"No date set",IF(TODAY()&gt;G219,TODAY()-G219&amp;" days late",G219-TODAY()&amp;" days left"))))</f>
        <v/>
      </c>
      <c r="I219" s="31" t="str">
        <f aca="false">IF($C219="","",COUNTIF(M219,"Completed")+COUNTIF(Q219,"Completed")+COUNTIF(U219,"Completed")+COUNTIF(Y219,"Completed")+COUNTIF(AC219,"Completed")+COUNTIF(AG219,"Completed")+COUNTIF(AK219,"Completed"))</f>
        <v/>
      </c>
      <c r="J219" s="31" t="str">
        <f aca="false">IF($C219="","",7-(COUNTIF(M219,"NA")+COUNTIF(Q219,"NA")+COUNTIF(U219,"NA")+COUNTIF(Y219,"NA")+COUNTIF(AC219,"NA")+COUNTIF(AG219,"NA")+COUNTIF(AK219,"NA")))</f>
        <v/>
      </c>
      <c r="K219" s="34" t="str">
        <f aca="false">IFERROR(I219/J219,"")</f>
        <v/>
      </c>
      <c r="L219" s="29"/>
      <c r="M219" s="35"/>
      <c r="N219" s="36"/>
      <c r="O219" s="36"/>
      <c r="P219" s="29"/>
      <c r="Q219" s="35"/>
      <c r="R219" s="36"/>
      <c r="S219" s="36"/>
      <c r="T219" s="29"/>
      <c r="U219" s="35"/>
      <c r="V219" s="36"/>
      <c r="W219" s="36"/>
      <c r="X219" s="29"/>
      <c r="Y219" s="35"/>
      <c r="Z219" s="36"/>
      <c r="AA219" s="36"/>
      <c r="AB219" s="29"/>
      <c r="AC219" s="35"/>
      <c r="AD219" s="36"/>
      <c r="AE219" s="36"/>
      <c r="AF219" s="29"/>
      <c r="AG219" s="35"/>
      <c r="AH219" s="36"/>
      <c r="AI219" s="36"/>
      <c r="AJ219" s="29"/>
      <c r="AK219" s="35"/>
      <c r="AL219" s="36"/>
      <c r="AM219" s="36"/>
      <c r="AN219" s="29"/>
      <c r="AO219" s="29"/>
      <c r="AP219" s="29"/>
      <c r="AQ219" s="37"/>
      <c r="AR219" s="29"/>
      <c r="AS219" s="38" t="str">
        <f aca="false">IF($C219="","",IF(OR(F219="Completed",F219="Cancelled"),"",IF(AND(OR(F219="On Hold",ISNUMBER(VALUE(LEFT(H219,2)))),AR219=""),"Reason not given","")))</f>
        <v/>
      </c>
      <c r="AT219" s="30"/>
      <c r="AU219" s="30"/>
    </row>
    <row r="220" customFormat="false" ht="19.5" hidden="false" customHeight="true" outlineLevel="0" collapsed="false">
      <c r="A220" s="28" t="str">
        <f aca="false">IF($C220="","",COUNTA($C$17:$C220))</f>
        <v/>
      </c>
      <c r="B220" s="29"/>
      <c r="C220" s="30"/>
      <c r="D220" s="29"/>
      <c r="E220" s="31" t="str">
        <f aca="false">IF($C220="","",IF(NOT(OR(M220="Completed",M220="NA",M220="Cancelled")),"S1 Schematic",IF(NOT(OR(Q220="Completed",Q220="NA",Q220="Cancelled")),"S2 PCB Layout",IF(NOT(OR(U220="Completed",U220="NA",U220="Cancelled")),"S3 SI &amp; PI",IF(NOT(OR(Y220="Completed",Y220="NA",Y220="Cancelled")),"S4 Bare-PCB Fab",IF(NOT(OR(AC220="Completed",AC220="NA",AC220="Cancelled")),"S5 Assembly",IF(NOT(OR(AG220="Completed",AG220="NA",AG220="Cancelled")),"S6 Bring-up",IF(NOT(OR(AK220="Completed",AK220="NA",AK220="Cancelled")),"S7 BOM Procurement","All Stages Closed"))))))))</f>
        <v/>
      </c>
      <c r="F220" s="32" t="str">
        <f aca="false">IF($C220="","",IF(COUNTIF(M220,"Cancelled")+COUNTIF(Q220,"Cancelled")+COUNTIF(U220,"Cancelled")+COUNTIF(Y220,"Cancelled")+COUNTIF(AC220,"Cancelled")+COUNTIF(AG220,"Cancelled")+COUNTIF(AK220,"Cancelled")&gt;0,"Cancelled",IF(E220="All Stages Closed","Completed",IF(E220="S1 Schematic",M220,IF(E220="S2 PCB Layout",Q220,IF(E220="S3 SI &amp; PI",U220,IF(E220="S4 Bare-PCB Fab",Y220,IF(E220="S5 Assembly",AC220,IF(E220="S6 Bring-up",AG220,AK220)))))))))</f>
        <v/>
      </c>
      <c r="G220" s="33" t="str">
        <f aca="false">IF($C220="","",IF(E220="All Stages Closed","",IF(E220="S1 Schematic",IF(N220="","Not added",N220),IF(E220="S2 PCB Layout",IF(R220="","Not added",R220),IF(E220="S3 SI &amp; PI",IF(V220="","Not added",V220),IF(E220="S4 Bare-PCB Fab",IF(Z220="","Not added",Z220),IF(E220="S5 Assembly",IF(AD220="","Not added",AD220),IF(E220="S6 Bring-up",IF(AH220="","Not added",AH220),IF(AL220="","Not added",AL220)))))))))</f>
        <v/>
      </c>
      <c r="H220" s="32" t="str">
        <f aca="true">IF($C220="","",IF(OR(F220="Completed",F220="Cancelled"),"",IF(NOT(ISNUMBER(G220)),"No date set",IF(TODAY()&gt;G220,TODAY()-G220&amp;" days late",G220-TODAY()&amp;" days left"))))</f>
        <v/>
      </c>
      <c r="I220" s="31" t="str">
        <f aca="false">IF($C220="","",COUNTIF(M220,"Completed")+COUNTIF(Q220,"Completed")+COUNTIF(U220,"Completed")+COUNTIF(Y220,"Completed")+COUNTIF(AC220,"Completed")+COUNTIF(AG220,"Completed")+COUNTIF(AK220,"Completed"))</f>
        <v/>
      </c>
      <c r="J220" s="31" t="str">
        <f aca="false">IF($C220="","",7-(COUNTIF(M220,"NA")+COUNTIF(Q220,"NA")+COUNTIF(U220,"NA")+COUNTIF(Y220,"NA")+COUNTIF(AC220,"NA")+COUNTIF(AG220,"NA")+COUNTIF(AK220,"NA")))</f>
        <v/>
      </c>
      <c r="K220" s="34" t="str">
        <f aca="false">IFERROR(I220/J220,"")</f>
        <v/>
      </c>
      <c r="L220" s="29"/>
      <c r="M220" s="35"/>
      <c r="N220" s="36"/>
      <c r="O220" s="36"/>
      <c r="P220" s="29"/>
      <c r="Q220" s="35"/>
      <c r="R220" s="36"/>
      <c r="S220" s="36"/>
      <c r="T220" s="29"/>
      <c r="U220" s="35"/>
      <c r="V220" s="36"/>
      <c r="W220" s="36"/>
      <c r="X220" s="29"/>
      <c r="Y220" s="35"/>
      <c r="Z220" s="36"/>
      <c r="AA220" s="36"/>
      <c r="AB220" s="29"/>
      <c r="AC220" s="35"/>
      <c r="AD220" s="36"/>
      <c r="AE220" s="36"/>
      <c r="AF220" s="29"/>
      <c r="AG220" s="35"/>
      <c r="AH220" s="36"/>
      <c r="AI220" s="36"/>
      <c r="AJ220" s="29"/>
      <c r="AK220" s="35"/>
      <c r="AL220" s="36"/>
      <c r="AM220" s="36"/>
      <c r="AN220" s="29"/>
      <c r="AO220" s="29"/>
      <c r="AP220" s="29"/>
      <c r="AQ220" s="37"/>
      <c r="AR220" s="29"/>
      <c r="AS220" s="38" t="str">
        <f aca="false">IF($C220="","",IF(OR(F220="Completed",F220="Cancelled"),"",IF(AND(OR(F220="On Hold",ISNUMBER(VALUE(LEFT(H220,2)))),AR220=""),"Reason not given","")))</f>
        <v/>
      </c>
      <c r="AT220" s="30"/>
      <c r="AU220" s="30"/>
    </row>
    <row r="221" customFormat="false" ht="19.5" hidden="false" customHeight="true" outlineLevel="0" collapsed="false">
      <c r="A221" s="28" t="str">
        <f aca="false">IF($C221="","",COUNTA($C$17:$C221))</f>
        <v/>
      </c>
      <c r="B221" s="29"/>
      <c r="C221" s="30"/>
      <c r="D221" s="29"/>
      <c r="E221" s="31" t="str">
        <f aca="false">IF($C221="","",IF(NOT(OR(M221="Completed",M221="NA",M221="Cancelled")),"S1 Schematic",IF(NOT(OR(Q221="Completed",Q221="NA",Q221="Cancelled")),"S2 PCB Layout",IF(NOT(OR(U221="Completed",U221="NA",U221="Cancelled")),"S3 SI &amp; PI",IF(NOT(OR(Y221="Completed",Y221="NA",Y221="Cancelled")),"S4 Bare-PCB Fab",IF(NOT(OR(AC221="Completed",AC221="NA",AC221="Cancelled")),"S5 Assembly",IF(NOT(OR(AG221="Completed",AG221="NA",AG221="Cancelled")),"S6 Bring-up",IF(NOT(OR(AK221="Completed",AK221="NA",AK221="Cancelled")),"S7 BOM Procurement","All Stages Closed"))))))))</f>
        <v/>
      </c>
      <c r="F221" s="32" t="str">
        <f aca="false">IF($C221="","",IF(COUNTIF(M221,"Cancelled")+COUNTIF(Q221,"Cancelled")+COUNTIF(U221,"Cancelled")+COUNTIF(Y221,"Cancelled")+COUNTIF(AC221,"Cancelled")+COUNTIF(AG221,"Cancelled")+COUNTIF(AK221,"Cancelled")&gt;0,"Cancelled",IF(E221="All Stages Closed","Completed",IF(E221="S1 Schematic",M221,IF(E221="S2 PCB Layout",Q221,IF(E221="S3 SI &amp; PI",U221,IF(E221="S4 Bare-PCB Fab",Y221,IF(E221="S5 Assembly",AC221,IF(E221="S6 Bring-up",AG221,AK221)))))))))</f>
        <v/>
      </c>
      <c r="G221" s="33" t="str">
        <f aca="false">IF($C221="","",IF(E221="All Stages Closed","",IF(E221="S1 Schematic",IF(N221="","Not added",N221),IF(E221="S2 PCB Layout",IF(R221="","Not added",R221),IF(E221="S3 SI &amp; PI",IF(V221="","Not added",V221),IF(E221="S4 Bare-PCB Fab",IF(Z221="","Not added",Z221),IF(E221="S5 Assembly",IF(AD221="","Not added",AD221),IF(E221="S6 Bring-up",IF(AH221="","Not added",AH221),IF(AL221="","Not added",AL221)))))))))</f>
        <v/>
      </c>
      <c r="H221" s="32" t="str">
        <f aca="true">IF($C221="","",IF(OR(F221="Completed",F221="Cancelled"),"",IF(NOT(ISNUMBER(G221)),"No date set",IF(TODAY()&gt;G221,TODAY()-G221&amp;" days late",G221-TODAY()&amp;" days left"))))</f>
        <v/>
      </c>
      <c r="I221" s="31" t="str">
        <f aca="false">IF($C221="","",COUNTIF(M221,"Completed")+COUNTIF(Q221,"Completed")+COUNTIF(U221,"Completed")+COUNTIF(Y221,"Completed")+COUNTIF(AC221,"Completed")+COUNTIF(AG221,"Completed")+COUNTIF(AK221,"Completed"))</f>
        <v/>
      </c>
      <c r="J221" s="31" t="str">
        <f aca="false">IF($C221="","",7-(COUNTIF(M221,"NA")+COUNTIF(Q221,"NA")+COUNTIF(U221,"NA")+COUNTIF(Y221,"NA")+COUNTIF(AC221,"NA")+COUNTIF(AG221,"NA")+COUNTIF(AK221,"NA")))</f>
        <v/>
      </c>
      <c r="K221" s="34" t="str">
        <f aca="false">IFERROR(I221/J221,"")</f>
        <v/>
      </c>
      <c r="L221" s="29"/>
      <c r="M221" s="35"/>
      <c r="N221" s="36"/>
      <c r="O221" s="36"/>
      <c r="P221" s="29"/>
      <c r="Q221" s="35"/>
      <c r="R221" s="36"/>
      <c r="S221" s="36"/>
      <c r="T221" s="29"/>
      <c r="U221" s="35"/>
      <c r="V221" s="36"/>
      <c r="W221" s="36"/>
      <c r="X221" s="29"/>
      <c r="Y221" s="35"/>
      <c r="Z221" s="36"/>
      <c r="AA221" s="36"/>
      <c r="AB221" s="29"/>
      <c r="AC221" s="35"/>
      <c r="AD221" s="36"/>
      <c r="AE221" s="36"/>
      <c r="AF221" s="29"/>
      <c r="AG221" s="35"/>
      <c r="AH221" s="36"/>
      <c r="AI221" s="36"/>
      <c r="AJ221" s="29"/>
      <c r="AK221" s="35"/>
      <c r="AL221" s="36"/>
      <c r="AM221" s="36"/>
      <c r="AN221" s="29"/>
      <c r="AO221" s="29"/>
      <c r="AP221" s="29"/>
      <c r="AQ221" s="37"/>
      <c r="AR221" s="29"/>
      <c r="AS221" s="38" t="str">
        <f aca="false">IF($C221="","",IF(OR(F221="Completed",F221="Cancelled"),"",IF(AND(OR(F221="On Hold",ISNUMBER(VALUE(LEFT(H221,2)))),AR221=""),"Reason not given","")))</f>
        <v/>
      </c>
      <c r="AT221" s="30"/>
      <c r="AU221" s="30"/>
    </row>
    <row r="222" customFormat="false" ht="19.5" hidden="false" customHeight="true" outlineLevel="0" collapsed="false">
      <c r="A222" s="28" t="str">
        <f aca="false">IF($C222="","",COUNTA($C$17:$C222))</f>
        <v/>
      </c>
      <c r="B222" s="29"/>
      <c r="C222" s="30"/>
      <c r="D222" s="29"/>
      <c r="E222" s="31" t="str">
        <f aca="false">IF($C222="","",IF(NOT(OR(M222="Completed",M222="NA",M222="Cancelled")),"S1 Schematic",IF(NOT(OR(Q222="Completed",Q222="NA",Q222="Cancelled")),"S2 PCB Layout",IF(NOT(OR(U222="Completed",U222="NA",U222="Cancelled")),"S3 SI &amp; PI",IF(NOT(OR(Y222="Completed",Y222="NA",Y222="Cancelled")),"S4 Bare-PCB Fab",IF(NOT(OR(AC222="Completed",AC222="NA",AC222="Cancelled")),"S5 Assembly",IF(NOT(OR(AG222="Completed",AG222="NA",AG222="Cancelled")),"S6 Bring-up",IF(NOT(OR(AK222="Completed",AK222="NA",AK222="Cancelled")),"S7 BOM Procurement","All Stages Closed"))))))))</f>
        <v/>
      </c>
      <c r="F222" s="32" t="str">
        <f aca="false">IF($C222="","",IF(COUNTIF(M222,"Cancelled")+COUNTIF(Q222,"Cancelled")+COUNTIF(U222,"Cancelled")+COUNTIF(Y222,"Cancelled")+COUNTIF(AC222,"Cancelled")+COUNTIF(AG222,"Cancelled")+COUNTIF(AK222,"Cancelled")&gt;0,"Cancelled",IF(E222="All Stages Closed","Completed",IF(E222="S1 Schematic",M222,IF(E222="S2 PCB Layout",Q222,IF(E222="S3 SI &amp; PI",U222,IF(E222="S4 Bare-PCB Fab",Y222,IF(E222="S5 Assembly",AC222,IF(E222="S6 Bring-up",AG222,AK222)))))))))</f>
        <v/>
      </c>
      <c r="G222" s="33" t="str">
        <f aca="false">IF($C222="","",IF(E222="All Stages Closed","",IF(E222="S1 Schematic",IF(N222="","Not added",N222),IF(E222="S2 PCB Layout",IF(R222="","Not added",R222),IF(E222="S3 SI &amp; PI",IF(V222="","Not added",V222),IF(E222="S4 Bare-PCB Fab",IF(Z222="","Not added",Z222),IF(E222="S5 Assembly",IF(AD222="","Not added",AD222),IF(E222="S6 Bring-up",IF(AH222="","Not added",AH222),IF(AL222="","Not added",AL222)))))))))</f>
        <v/>
      </c>
      <c r="H222" s="32" t="str">
        <f aca="true">IF($C222="","",IF(OR(F222="Completed",F222="Cancelled"),"",IF(NOT(ISNUMBER(G222)),"No date set",IF(TODAY()&gt;G222,TODAY()-G222&amp;" days late",G222-TODAY()&amp;" days left"))))</f>
        <v/>
      </c>
      <c r="I222" s="31" t="str">
        <f aca="false">IF($C222="","",COUNTIF(M222,"Completed")+COUNTIF(Q222,"Completed")+COUNTIF(U222,"Completed")+COUNTIF(Y222,"Completed")+COUNTIF(AC222,"Completed")+COUNTIF(AG222,"Completed")+COUNTIF(AK222,"Completed"))</f>
        <v/>
      </c>
      <c r="J222" s="31" t="str">
        <f aca="false">IF($C222="","",7-(COUNTIF(M222,"NA")+COUNTIF(Q222,"NA")+COUNTIF(U222,"NA")+COUNTIF(Y222,"NA")+COUNTIF(AC222,"NA")+COUNTIF(AG222,"NA")+COUNTIF(AK222,"NA")))</f>
        <v/>
      </c>
      <c r="K222" s="34" t="str">
        <f aca="false">IFERROR(I222/J222,"")</f>
        <v/>
      </c>
      <c r="L222" s="29"/>
      <c r="M222" s="35"/>
      <c r="N222" s="36"/>
      <c r="O222" s="36"/>
      <c r="P222" s="29"/>
      <c r="Q222" s="35"/>
      <c r="R222" s="36"/>
      <c r="S222" s="36"/>
      <c r="T222" s="29"/>
      <c r="U222" s="35"/>
      <c r="V222" s="36"/>
      <c r="W222" s="36"/>
      <c r="X222" s="29"/>
      <c r="Y222" s="35"/>
      <c r="Z222" s="36"/>
      <c r="AA222" s="36"/>
      <c r="AB222" s="29"/>
      <c r="AC222" s="35"/>
      <c r="AD222" s="36"/>
      <c r="AE222" s="36"/>
      <c r="AF222" s="29"/>
      <c r="AG222" s="35"/>
      <c r="AH222" s="36"/>
      <c r="AI222" s="36"/>
      <c r="AJ222" s="29"/>
      <c r="AK222" s="35"/>
      <c r="AL222" s="36"/>
      <c r="AM222" s="36"/>
      <c r="AN222" s="29"/>
      <c r="AO222" s="29"/>
      <c r="AP222" s="29"/>
      <c r="AQ222" s="37"/>
      <c r="AR222" s="29"/>
      <c r="AS222" s="38" t="str">
        <f aca="false">IF($C222="","",IF(OR(F222="Completed",F222="Cancelled"),"",IF(AND(OR(F222="On Hold",ISNUMBER(VALUE(LEFT(H222,2)))),AR222=""),"Reason not given","")))</f>
        <v/>
      </c>
      <c r="AT222" s="30"/>
      <c r="AU222" s="30"/>
    </row>
    <row r="223" customFormat="false" ht="19.5" hidden="false" customHeight="true" outlineLevel="0" collapsed="false">
      <c r="A223" s="28" t="str">
        <f aca="false">IF($C223="","",COUNTA($C$17:$C223))</f>
        <v/>
      </c>
      <c r="B223" s="29"/>
      <c r="C223" s="30"/>
      <c r="D223" s="29"/>
      <c r="E223" s="31" t="str">
        <f aca="false">IF($C223="","",IF(NOT(OR(M223="Completed",M223="NA",M223="Cancelled")),"S1 Schematic",IF(NOT(OR(Q223="Completed",Q223="NA",Q223="Cancelled")),"S2 PCB Layout",IF(NOT(OR(U223="Completed",U223="NA",U223="Cancelled")),"S3 SI &amp; PI",IF(NOT(OR(Y223="Completed",Y223="NA",Y223="Cancelled")),"S4 Bare-PCB Fab",IF(NOT(OR(AC223="Completed",AC223="NA",AC223="Cancelled")),"S5 Assembly",IF(NOT(OR(AG223="Completed",AG223="NA",AG223="Cancelled")),"S6 Bring-up",IF(NOT(OR(AK223="Completed",AK223="NA",AK223="Cancelled")),"S7 BOM Procurement","All Stages Closed"))))))))</f>
        <v/>
      </c>
      <c r="F223" s="32" t="str">
        <f aca="false">IF($C223="","",IF(COUNTIF(M223,"Cancelled")+COUNTIF(Q223,"Cancelled")+COUNTIF(U223,"Cancelled")+COUNTIF(Y223,"Cancelled")+COUNTIF(AC223,"Cancelled")+COUNTIF(AG223,"Cancelled")+COUNTIF(AK223,"Cancelled")&gt;0,"Cancelled",IF(E223="All Stages Closed","Completed",IF(E223="S1 Schematic",M223,IF(E223="S2 PCB Layout",Q223,IF(E223="S3 SI &amp; PI",U223,IF(E223="S4 Bare-PCB Fab",Y223,IF(E223="S5 Assembly",AC223,IF(E223="S6 Bring-up",AG223,AK223)))))))))</f>
        <v/>
      </c>
      <c r="G223" s="33" t="str">
        <f aca="false">IF($C223="","",IF(E223="All Stages Closed","",IF(E223="S1 Schematic",IF(N223="","Not added",N223),IF(E223="S2 PCB Layout",IF(R223="","Not added",R223),IF(E223="S3 SI &amp; PI",IF(V223="","Not added",V223),IF(E223="S4 Bare-PCB Fab",IF(Z223="","Not added",Z223),IF(E223="S5 Assembly",IF(AD223="","Not added",AD223),IF(E223="S6 Bring-up",IF(AH223="","Not added",AH223),IF(AL223="","Not added",AL223)))))))))</f>
        <v/>
      </c>
      <c r="H223" s="32" t="str">
        <f aca="true">IF($C223="","",IF(OR(F223="Completed",F223="Cancelled"),"",IF(NOT(ISNUMBER(G223)),"No date set",IF(TODAY()&gt;G223,TODAY()-G223&amp;" days late",G223-TODAY()&amp;" days left"))))</f>
        <v/>
      </c>
      <c r="I223" s="31" t="str">
        <f aca="false">IF($C223="","",COUNTIF(M223,"Completed")+COUNTIF(Q223,"Completed")+COUNTIF(U223,"Completed")+COUNTIF(Y223,"Completed")+COUNTIF(AC223,"Completed")+COUNTIF(AG223,"Completed")+COUNTIF(AK223,"Completed"))</f>
        <v/>
      </c>
      <c r="J223" s="31" t="str">
        <f aca="false">IF($C223="","",7-(COUNTIF(M223,"NA")+COUNTIF(Q223,"NA")+COUNTIF(U223,"NA")+COUNTIF(Y223,"NA")+COUNTIF(AC223,"NA")+COUNTIF(AG223,"NA")+COUNTIF(AK223,"NA")))</f>
        <v/>
      </c>
      <c r="K223" s="34" t="str">
        <f aca="false">IFERROR(I223/J223,"")</f>
        <v/>
      </c>
      <c r="L223" s="29"/>
      <c r="M223" s="35"/>
      <c r="N223" s="36"/>
      <c r="O223" s="36"/>
      <c r="P223" s="29"/>
      <c r="Q223" s="35"/>
      <c r="R223" s="36"/>
      <c r="S223" s="36"/>
      <c r="T223" s="29"/>
      <c r="U223" s="35"/>
      <c r="V223" s="36"/>
      <c r="W223" s="36"/>
      <c r="X223" s="29"/>
      <c r="Y223" s="35"/>
      <c r="Z223" s="36"/>
      <c r="AA223" s="36"/>
      <c r="AB223" s="29"/>
      <c r="AC223" s="35"/>
      <c r="AD223" s="36"/>
      <c r="AE223" s="36"/>
      <c r="AF223" s="29"/>
      <c r="AG223" s="35"/>
      <c r="AH223" s="36"/>
      <c r="AI223" s="36"/>
      <c r="AJ223" s="29"/>
      <c r="AK223" s="35"/>
      <c r="AL223" s="36"/>
      <c r="AM223" s="36"/>
      <c r="AN223" s="29"/>
      <c r="AO223" s="29"/>
      <c r="AP223" s="29"/>
      <c r="AQ223" s="37"/>
      <c r="AR223" s="29"/>
      <c r="AS223" s="38" t="str">
        <f aca="false">IF($C223="","",IF(OR(F223="Completed",F223="Cancelled"),"",IF(AND(OR(F223="On Hold",ISNUMBER(VALUE(LEFT(H223,2)))),AR223=""),"Reason not given","")))</f>
        <v/>
      </c>
      <c r="AT223" s="30"/>
      <c r="AU223" s="30"/>
    </row>
    <row r="224" customFormat="false" ht="19.5" hidden="false" customHeight="true" outlineLevel="0" collapsed="false">
      <c r="A224" s="28" t="str">
        <f aca="false">IF($C224="","",COUNTA($C$17:$C224))</f>
        <v/>
      </c>
      <c r="B224" s="29"/>
      <c r="C224" s="30"/>
      <c r="D224" s="29"/>
      <c r="E224" s="31" t="str">
        <f aca="false">IF($C224="","",IF(NOT(OR(M224="Completed",M224="NA",M224="Cancelled")),"S1 Schematic",IF(NOT(OR(Q224="Completed",Q224="NA",Q224="Cancelled")),"S2 PCB Layout",IF(NOT(OR(U224="Completed",U224="NA",U224="Cancelled")),"S3 SI &amp; PI",IF(NOT(OR(Y224="Completed",Y224="NA",Y224="Cancelled")),"S4 Bare-PCB Fab",IF(NOT(OR(AC224="Completed",AC224="NA",AC224="Cancelled")),"S5 Assembly",IF(NOT(OR(AG224="Completed",AG224="NA",AG224="Cancelled")),"S6 Bring-up",IF(NOT(OR(AK224="Completed",AK224="NA",AK224="Cancelled")),"S7 BOM Procurement","All Stages Closed"))))))))</f>
        <v/>
      </c>
      <c r="F224" s="32" t="str">
        <f aca="false">IF($C224="","",IF(COUNTIF(M224,"Cancelled")+COUNTIF(Q224,"Cancelled")+COUNTIF(U224,"Cancelled")+COUNTIF(Y224,"Cancelled")+COUNTIF(AC224,"Cancelled")+COUNTIF(AG224,"Cancelled")+COUNTIF(AK224,"Cancelled")&gt;0,"Cancelled",IF(E224="All Stages Closed","Completed",IF(E224="S1 Schematic",M224,IF(E224="S2 PCB Layout",Q224,IF(E224="S3 SI &amp; PI",U224,IF(E224="S4 Bare-PCB Fab",Y224,IF(E224="S5 Assembly",AC224,IF(E224="S6 Bring-up",AG224,AK224)))))))))</f>
        <v/>
      </c>
      <c r="G224" s="33" t="str">
        <f aca="false">IF($C224="","",IF(E224="All Stages Closed","",IF(E224="S1 Schematic",IF(N224="","Not added",N224),IF(E224="S2 PCB Layout",IF(R224="","Not added",R224),IF(E224="S3 SI &amp; PI",IF(V224="","Not added",V224),IF(E224="S4 Bare-PCB Fab",IF(Z224="","Not added",Z224),IF(E224="S5 Assembly",IF(AD224="","Not added",AD224),IF(E224="S6 Bring-up",IF(AH224="","Not added",AH224),IF(AL224="","Not added",AL224)))))))))</f>
        <v/>
      </c>
      <c r="H224" s="32" t="str">
        <f aca="true">IF($C224="","",IF(OR(F224="Completed",F224="Cancelled"),"",IF(NOT(ISNUMBER(G224)),"No date set",IF(TODAY()&gt;G224,TODAY()-G224&amp;" days late",G224-TODAY()&amp;" days left"))))</f>
        <v/>
      </c>
      <c r="I224" s="31" t="str">
        <f aca="false">IF($C224="","",COUNTIF(M224,"Completed")+COUNTIF(Q224,"Completed")+COUNTIF(U224,"Completed")+COUNTIF(Y224,"Completed")+COUNTIF(AC224,"Completed")+COUNTIF(AG224,"Completed")+COUNTIF(AK224,"Completed"))</f>
        <v/>
      </c>
      <c r="J224" s="31" t="str">
        <f aca="false">IF($C224="","",7-(COUNTIF(M224,"NA")+COUNTIF(Q224,"NA")+COUNTIF(U224,"NA")+COUNTIF(Y224,"NA")+COUNTIF(AC224,"NA")+COUNTIF(AG224,"NA")+COUNTIF(AK224,"NA")))</f>
        <v/>
      </c>
      <c r="K224" s="34" t="str">
        <f aca="false">IFERROR(I224/J224,"")</f>
        <v/>
      </c>
      <c r="L224" s="29"/>
      <c r="M224" s="35"/>
      <c r="N224" s="36"/>
      <c r="O224" s="36"/>
      <c r="P224" s="29"/>
      <c r="Q224" s="35"/>
      <c r="R224" s="36"/>
      <c r="S224" s="36"/>
      <c r="T224" s="29"/>
      <c r="U224" s="35"/>
      <c r="V224" s="36"/>
      <c r="W224" s="36"/>
      <c r="X224" s="29"/>
      <c r="Y224" s="35"/>
      <c r="Z224" s="36"/>
      <c r="AA224" s="36"/>
      <c r="AB224" s="29"/>
      <c r="AC224" s="35"/>
      <c r="AD224" s="36"/>
      <c r="AE224" s="36"/>
      <c r="AF224" s="29"/>
      <c r="AG224" s="35"/>
      <c r="AH224" s="36"/>
      <c r="AI224" s="36"/>
      <c r="AJ224" s="29"/>
      <c r="AK224" s="35"/>
      <c r="AL224" s="36"/>
      <c r="AM224" s="36"/>
      <c r="AN224" s="29"/>
      <c r="AO224" s="29"/>
      <c r="AP224" s="29"/>
      <c r="AQ224" s="37"/>
      <c r="AR224" s="29"/>
      <c r="AS224" s="38" t="str">
        <f aca="false">IF($C224="","",IF(OR(F224="Completed",F224="Cancelled"),"",IF(AND(OR(F224="On Hold",ISNUMBER(VALUE(LEFT(H224,2)))),AR224=""),"Reason not given","")))</f>
        <v/>
      </c>
      <c r="AT224" s="30"/>
      <c r="AU224" s="30"/>
    </row>
    <row r="225" customFormat="false" ht="19.5" hidden="false" customHeight="true" outlineLevel="0" collapsed="false">
      <c r="A225" s="28" t="str">
        <f aca="false">IF($C225="","",COUNTA($C$17:$C225))</f>
        <v/>
      </c>
      <c r="B225" s="29"/>
      <c r="C225" s="30"/>
      <c r="D225" s="29"/>
      <c r="E225" s="31" t="str">
        <f aca="false">IF($C225="","",IF(NOT(OR(M225="Completed",M225="NA",M225="Cancelled")),"S1 Schematic",IF(NOT(OR(Q225="Completed",Q225="NA",Q225="Cancelled")),"S2 PCB Layout",IF(NOT(OR(U225="Completed",U225="NA",U225="Cancelled")),"S3 SI &amp; PI",IF(NOT(OR(Y225="Completed",Y225="NA",Y225="Cancelled")),"S4 Bare-PCB Fab",IF(NOT(OR(AC225="Completed",AC225="NA",AC225="Cancelled")),"S5 Assembly",IF(NOT(OR(AG225="Completed",AG225="NA",AG225="Cancelled")),"S6 Bring-up",IF(NOT(OR(AK225="Completed",AK225="NA",AK225="Cancelled")),"S7 BOM Procurement","All Stages Closed"))))))))</f>
        <v/>
      </c>
      <c r="F225" s="32" t="str">
        <f aca="false">IF($C225="","",IF(COUNTIF(M225,"Cancelled")+COUNTIF(Q225,"Cancelled")+COUNTIF(U225,"Cancelled")+COUNTIF(Y225,"Cancelled")+COUNTIF(AC225,"Cancelled")+COUNTIF(AG225,"Cancelled")+COUNTIF(AK225,"Cancelled")&gt;0,"Cancelled",IF(E225="All Stages Closed","Completed",IF(E225="S1 Schematic",M225,IF(E225="S2 PCB Layout",Q225,IF(E225="S3 SI &amp; PI",U225,IF(E225="S4 Bare-PCB Fab",Y225,IF(E225="S5 Assembly",AC225,IF(E225="S6 Bring-up",AG225,AK225)))))))))</f>
        <v/>
      </c>
      <c r="G225" s="33" t="str">
        <f aca="false">IF($C225="","",IF(E225="All Stages Closed","",IF(E225="S1 Schematic",IF(N225="","Not added",N225),IF(E225="S2 PCB Layout",IF(R225="","Not added",R225),IF(E225="S3 SI &amp; PI",IF(V225="","Not added",V225),IF(E225="S4 Bare-PCB Fab",IF(Z225="","Not added",Z225),IF(E225="S5 Assembly",IF(AD225="","Not added",AD225),IF(E225="S6 Bring-up",IF(AH225="","Not added",AH225),IF(AL225="","Not added",AL225)))))))))</f>
        <v/>
      </c>
      <c r="H225" s="32" t="str">
        <f aca="true">IF($C225="","",IF(OR(F225="Completed",F225="Cancelled"),"",IF(NOT(ISNUMBER(G225)),"No date set",IF(TODAY()&gt;G225,TODAY()-G225&amp;" days late",G225-TODAY()&amp;" days left"))))</f>
        <v/>
      </c>
      <c r="I225" s="31" t="str">
        <f aca="false">IF($C225="","",COUNTIF(M225,"Completed")+COUNTIF(Q225,"Completed")+COUNTIF(U225,"Completed")+COUNTIF(Y225,"Completed")+COUNTIF(AC225,"Completed")+COUNTIF(AG225,"Completed")+COUNTIF(AK225,"Completed"))</f>
        <v/>
      </c>
      <c r="J225" s="31" t="str">
        <f aca="false">IF($C225="","",7-(COUNTIF(M225,"NA")+COUNTIF(Q225,"NA")+COUNTIF(U225,"NA")+COUNTIF(Y225,"NA")+COUNTIF(AC225,"NA")+COUNTIF(AG225,"NA")+COUNTIF(AK225,"NA")))</f>
        <v/>
      </c>
      <c r="K225" s="34" t="str">
        <f aca="false">IFERROR(I225/J225,"")</f>
        <v/>
      </c>
      <c r="L225" s="29"/>
      <c r="M225" s="35"/>
      <c r="N225" s="36"/>
      <c r="O225" s="36"/>
      <c r="P225" s="29"/>
      <c r="Q225" s="35"/>
      <c r="R225" s="36"/>
      <c r="S225" s="36"/>
      <c r="T225" s="29"/>
      <c r="U225" s="35"/>
      <c r="V225" s="36"/>
      <c r="W225" s="36"/>
      <c r="X225" s="29"/>
      <c r="Y225" s="35"/>
      <c r="Z225" s="36"/>
      <c r="AA225" s="36"/>
      <c r="AB225" s="29"/>
      <c r="AC225" s="35"/>
      <c r="AD225" s="36"/>
      <c r="AE225" s="36"/>
      <c r="AF225" s="29"/>
      <c r="AG225" s="35"/>
      <c r="AH225" s="36"/>
      <c r="AI225" s="36"/>
      <c r="AJ225" s="29"/>
      <c r="AK225" s="35"/>
      <c r="AL225" s="36"/>
      <c r="AM225" s="36"/>
      <c r="AN225" s="29"/>
      <c r="AO225" s="29"/>
      <c r="AP225" s="29"/>
      <c r="AQ225" s="37"/>
      <c r="AR225" s="29"/>
      <c r="AS225" s="38" t="str">
        <f aca="false">IF($C225="","",IF(OR(F225="Completed",F225="Cancelled"),"",IF(AND(OR(F225="On Hold",ISNUMBER(VALUE(LEFT(H225,2)))),AR225=""),"Reason not given","")))</f>
        <v/>
      </c>
      <c r="AT225" s="30"/>
      <c r="AU225" s="30"/>
    </row>
    <row r="226" customFormat="false" ht="19.5" hidden="false" customHeight="true" outlineLevel="0" collapsed="false">
      <c r="A226" s="28" t="str">
        <f aca="false">IF($C226="","",COUNTA($C$17:$C226))</f>
        <v/>
      </c>
      <c r="B226" s="29"/>
      <c r="C226" s="30"/>
      <c r="D226" s="29"/>
      <c r="E226" s="31" t="str">
        <f aca="false">IF($C226="","",IF(NOT(OR(M226="Completed",M226="NA",M226="Cancelled")),"S1 Schematic",IF(NOT(OR(Q226="Completed",Q226="NA",Q226="Cancelled")),"S2 PCB Layout",IF(NOT(OR(U226="Completed",U226="NA",U226="Cancelled")),"S3 SI &amp; PI",IF(NOT(OR(Y226="Completed",Y226="NA",Y226="Cancelled")),"S4 Bare-PCB Fab",IF(NOT(OR(AC226="Completed",AC226="NA",AC226="Cancelled")),"S5 Assembly",IF(NOT(OR(AG226="Completed",AG226="NA",AG226="Cancelled")),"S6 Bring-up",IF(NOT(OR(AK226="Completed",AK226="NA",AK226="Cancelled")),"S7 BOM Procurement","All Stages Closed"))))))))</f>
        <v/>
      </c>
      <c r="F226" s="32" t="str">
        <f aca="false">IF($C226="","",IF(COUNTIF(M226,"Cancelled")+COUNTIF(Q226,"Cancelled")+COUNTIF(U226,"Cancelled")+COUNTIF(Y226,"Cancelled")+COUNTIF(AC226,"Cancelled")+COUNTIF(AG226,"Cancelled")+COUNTIF(AK226,"Cancelled")&gt;0,"Cancelled",IF(E226="All Stages Closed","Completed",IF(E226="S1 Schematic",M226,IF(E226="S2 PCB Layout",Q226,IF(E226="S3 SI &amp; PI",U226,IF(E226="S4 Bare-PCB Fab",Y226,IF(E226="S5 Assembly",AC226,IF(E226="S6 Bring-up",AG226,AK226)))))))))</f>
        <v/>
      </c>
      <c r="G226" s="33" t="str">
        <f aca="false">IF($C226="","",IF(E226="All Stages Closed","",IF(E226="S1 Schematic",IF(N226="","Not added",N226),IF(E226="S2 PCB Layout",IF(R226="","Not added",R226),IF(E226="S3 SI &amp; PI",IF(V226="","Not added",V226),IF(E226="S4 Bare-PCB Fab",IF(Z226="","Not added",Z226),IF(E226="S5 Assembly",IF(AD226="","Not added",AD226),IF(E226="S6 Bring-up",IF(AH226="","Not added",AH226),IF(AL226="","Not added",AL226)))))))))</f>
        <v/>
      </c>
      <c r="H226" s="32" t="str">
        <f aca="true">IF($C226="","",IF(OR(F226="Completed",F226="Cancelled"),"",IF(NOT(ISNUMBER(G226)),"No date set",IF(TODAY()&gt;G226,TODAY()-G226&amp;" days late",G226-TODAY()&amp;" days left"))))</f>
        <v/>
      </c>
      <c r="I226" s="31" t="str">
        <f aca="false">IF($C226="","",COUNTIF(M226,"Completed")+COUNTIF(Q226,"Completed")+COUNTIF(U226,"Completed")+COUNTIF(Y226,"Completed")+COUNTIF(AC226,"Completed")+COUNTIF(AG226,"Completed")+COUNTIF(AK226,"Completed"))</f>
        <v/>
      </c>
      <c r="J226" s="31" t="str">
        <f aca="false">IF($C226="","",7-(COUNTIF(M226,"NA")+COUNTIF(Q226,"NA")+COUNTIF(U226,"NA")+COUNTIF(Y226,"NA")+COUNTIF(AC226,"NA")+COUNTIF(AG226,"NA")+COUNTIF(AK226,"NA")))</f>
        <v/>
      </c>
      <c r="K226" s="34" t="str">
        <f aca="false">IFERROR(I226/J226,"")</f>
        <v/>
      </c>
      <c r="L226" s="29"/>
      <c r="M226" s="35"/>
      <c r="N226" s="36"/>
      <c r="O226" s="36"/>
      <c r="P226" s="29"/>
      <c r="Q226" s="35"/>
      <c r="R226" s="36"/>
      <c r="S226" s="36"/>
      <c r="T226" s="29"/>
      <c r="U226" s="35"/>
      <c r="V226" s="36"/>
      <c r="W226" s="36"/>
      <c r="X226" s="29"/>
      <c r="Y226" s="35"/>
      <c r="Z226" s="36"/>
      <c r="AA226" s="36"/>
      <c r="AB226" s="29"/>
      <c r="AC226" s="35"/>
      <c r="AD226" s="36"/>
      <c r="AE226" s="36"/>
      <c r="AF226" s="29"/>
      <c r="AG226" s="35"/>
      <c r="AH226" s="36"/>
      <c r="AI226" s="36"/>
      <c r="AJ226" s="29"/>
      <c r="AK226" s="35"/>
      <c r="AL226" s="36"/>
      <c r="AM226" s="36"/>
      <c r="AN226" s="29"/>
      <c r="AO226" s="29"/>
      <c r="AP226" s="29"/>
      <c r="AQ226" s="37"/>
      <c r="AR226" s="29"/>
      <c r="AS226" s="38" t="str">
        <f aca="false">IF($C226="","",IF(OR(F226="Completed",F226="Cancelled"),"",IF(AND(OR(F226="On Hold",ISNUMBER(VALUE(LEFT(H226,2)))),AR226=""),"Reason not given","")))</f>
        <v/>
      </c>
      <c r="AT226" s="30"/>
      <c r="AU226" s="30"/>
    </row>
    <row r="227" customFormat="false" ht="19.5" hidden="false" customHeight="true" outlineLevel="0" collapsed="false">
      <c r="A227" s="28" t="str">
        <f aca="false">IF($C227="","",COUNTA($C$17:$C227))</f>
        <v/>
      </c>
      <c r="B227" s="29"/>
      <c r="C227" s="30"/>
      <c r="D227" s="29"/>
      <c r="E227" s="31" t="str">
        <f aca="false">IF($C227="","",IF(NOT(OR(M227="Completed",M227="NA",M227="Cancelled")),"S1 Schematic",IF(NOT(OR(Q227="Completed",Q227="NA",Q227="Cancelled")),"S2 PCB Layout",IF(NOT(OR(U227="Completed",U227="NA",U227="Cancelled")),"S3 SI &amp; PI",IF(NOT(OR(Y227="Completed",Y227="NA",Y227="Cancelled")),"S4 Bare-PCB Fab",IF(NOT(OR(AC227="Completed",AC227="NA",AC227="Cancelled")),"S5 Assembly",IF(NOT(OR(AG227="Completed",AG227="NA",AG227="Cancelled")),"S6 Bring-up",IF(NOT(OR(AK227="Completed",AK227="NA",AK227="Cancelled")),"S7 BOM Procurement","All Stages Closed"))))))))</f>
        <v/>
      </c>
      <c r="F227" s="32" t="str">
        <f aca="false">IF($C227="","",IF(COUNTIF(M227,"Cancelled")+COUNTIF(Q227,"Cancelled")+COUNTIF(U227,"Cancelled")+COUNTIF(Y227,"Cancelled")+COUNTIF(AC227,"Cancelled")+COUNTIF(AG227,"Cancelled")+COUNTIF(AK227,"Cancelled")&gt;0,"Cancelled",IF(E227="All Stages Closed","Completed",IF(E227="S1 Schematic",M227,IF(E227="S2 PCB Layout",Q227,IF(E227="S3 SI &amp; PI",U227,IF(E227="S4 Bare-PCB Fab",Y227,IF(E227="S5 Assembly",AC227,IF(E227="S6 Bring-up",AG227,AK227)))))))))</f>
        <v/>
      </c>
      <c r="G227" s="33" t="str">
        <f aca="false">IF($C227="","",IF(E227="All Stages Closed","",IF(E227="S1 Schematic",IF(N227="","Not added",N227),IF(E227="S2 PCB Layout",IF(R227="","Not added",R227),IF(E227="S3 SI &amp; PI",IF(V227="","Not added",V227),IF(E227="S4 Bare-PCB Fab",IF(Z227="","Not added",Z227),IF(E227="S5 Assembly",IF(AD227="","Not added",AD227),IF(E227="S6 Bring-up",IF(AH227="","Not added",AH227),IF(AL227="","Not added",AL227)))))))))</f>
        <v/>
      </c>
      <c r="H227" s="32" t="str">
        <f aca="true">IF($C227="","",IF(OR(F227="Completed",F227="Cancelled"),"",IF(NOT(ISNUMBER(G227)),"No date set",IF(TODAY()&gt;G227,TODAY()-G227&amp;" days late",G227-TODAY()&amp;" days left"))))</f>
        <v/>
      </c>
      <c r="I227" s="31" t="str">
        <f aca="false">IF($C227="","",COUNTIF(M227,"Completed")+COUNTIF(Q227,"Completed")+COUNTIF(U227,"Completed")+COUNTIF(Y227,"Completed")+COUNTIF(AC227,"Completed")+COUNTIF(AG227,"Completed")+COUNTIF(AK227,"Completed"))</f>
        <v/>
      </c>
      <c r="J227" s="31" t="str">
        <f aca="false">IF($C227="","",7-(COUNTIF(M227,"NA")+COUNTIF(Q227,"NA")+COUNTIF(U227,"NA")+COUNTIF(Y227,"NA")+COUNTIF(AC227,"NA")+COUNTIF(AG227,"NA")+COUNTIF(AK227,"NA")))</f>
        <v/>
      </c>
      <c r="K227" s="34" t="str">
        <f aca="false">IFERROR(I227/J227,"")</f>
        <v/>
      </c>
      <c r="L227" s="29"/>
      <c r="M227" s="35"/>
      <c r="N227" s="36"/>
      <c r="O227" s="36"/>
      <c r="P227" s="29"/>
      <c r="Q227" s="35"/>
      <c r="R227" s="36"/>
      <c r="S227" s="36"/>
      <c r="T227" s="29"/>
      <c r="U227" s="35"/>
      <c r="V227" s="36"/>
      <c r="W227" s="36"/>
      <c r="X227" s="29"/>
      <c r="Y227" s="35"/>
      <c r="Z227" s="36"/>
      <c r="AA227" s="36"/>
      <c r="AB227" s="29"/>
      <c r="AC227" s="35"/>
      <c r="AD227" s="36"/>
      <c r="AE227" s="36"/>
      <c r="AF227" s="29"/>
      <c r="AG227" s="35"/>
      <c r="AH227" s="36"/>
      <c r="AI227" s="36"/>
      <c r="AJ227" s="29"/>
      <c r="AK227" s="35"/>
      <c r="AL227" s="36"/>
      <c r="AM227" s="36"/>
      <c r="AN227" s="29"/>
      <c r="AO227" s="29"/>
      <c r="AP227" s="29"/>
      <c r="AQ227" s="37"/>
      <c r="AR227" s="29"/>
      <c r="AS227" s="38" t="str">
        <f aca="false">IF($C227="","",IF(OR(F227="Completed",F227="Cancelled"),"",IF(AND(OR(F227="On Hold",ISNUMBER(VALUE(LEFT(H227,2)))),AR227=""),"Reason not given","")))</f>
        <v/>
      </c>
      <c r="AT227" s="30"/>
      <c r="AU227" s="30"/>
    </row>
    <row r="228" customFormat="false" ht="19.5" hidden="false" customHeight="true" outlineLevel="0" collapsed="false">
      <c r="A228" s="28" t="str">
        <f aca="false">IF($C228="","",COUNTA($C$17:$C228))</f>
        <v/>
      </c>
      <c r="B228" s="29"/>
      <c r="C228" s="30"/>
      <c r="D228" s="29"/>
      <c r="E228" s="31" t="str">
        <f aca="false">IF($C228="","",IF(NOT(OR(M228="Completed",M228="NA",M228="Cancelled")),"S1 Schematic",IF(NOT(OR(Q228="Completed",Q228="NA",Q228="Cancelled")),"S2 PCB Layout",IF(NOT(OR(U228="Completed",U228="NA",U228="Cancelled")),"S3 SI &amp; PI",IF(NOT(OR(Y228="Completed",Y228="NA",Y228="Cancelled")),"S4 Bare-PCB Fab",IF(NOT(OR(AC228="Completed",AC228="NA",AC228="Cancelled")),"S5 Assembly",IF(NOT(OR(AG228="Completed",AG228="NA",AG228="Cancelled")),"S6 Bring-up",IF(NOT(OR(AK228="Completed",AK228="NA",AK228="Cancelled")),"S7 BOM Procurement","All Stages Closed"))))))))</f>
        <v/>
      </c>
      <c r="F228" s="32" t="str">
        <f aca="false">IF($C228="","",IF(COUNTIF(M228,"Cancelled")+COUNTIF(Q228,"Cancelled")+COUNTIF(U228,"Cancelled")+COUNTIF(Y228,"Cancelled")+COUNTIF(AC228,"Cancelled")+COUNTIF(AG228,"Cancelled")+COUNTIF(AK228,"Cancelled")&gt;0,"Cancelled",IF(E228="All Stages Closed","Completed",IF(E228="S1 Schematic",M228,IF(E228="S2 PCB Layout",Q228,IF(E228="S3 SI &amp; PI",U228,IF(E228="S4 Bare-PCB Fab",Y228,IF(E228="S5 Assembly",AC228,IF(E228="S6 Bring-up",AG228,AK228)))))))))</f>
        <v/>
      </c>
      <c r="G228" s="33" t="str">
        <f aca="false">IF($C228="","",IF(E228="All Stages Closed","",IF(E228="S1 Schematic",IF(N228="","Not added",N228),IF(E228="S2 PCB Layout",IF(R228="","Not added",R228),IF(E228="S3 SI &amp; PI",IF(V228="","Not added",V228),IF(E228="S4 Bare-PCB Fab",IF(Z228="","Not added",Z228),IF(E228="S5 Assembly",IF(AD228="","Not added",AD228),IF(E228="S6 Bring-up",IF(AH228="","Not added",AH228),IF(AL228="","Not added",AL228)))))))))</f>
        <v/>
      </c>
      <c r="H228" s="32" t="str">
        <f aca="true">IF($C228="","",IF(OR(F228="Completed",F228="Cancelled"),"",IF(NOT(ISNUMBER(G228)),"No date set",IF(TODAY()&gt;G228,TODAY()-G228&amp;" days late",G228-TODAY()&amp;" days left"))))</f>
        <v/>
      </c>
      <c r="I228" s="31" t="str">
        <f aca="false">IF($C228="","",COUNTIF(M228,"Completed")+COUNTIF(Q228,"Completed")+COUNTIF(U228,"Completed")+COUNTIF(Y228,"Completed")+COUNTIF(AC228,"Completed")+COUNTIF(AG228,"Completed")+COUNTIF(AK228,"Completed"))</f>
        <v/>
      </c>
      <c r="J228" s="31" t="str">
        <f aca="false">IF($C228="","",7-(COUNTIF(M228,"NA")+COUNTIF(Q228,"NA")+COUNTIF(U228,"NA")+COUNTIF(Y228,"NA")+COUNTIF(AC228,"NA")+COUNTIF(AG228,"NA")+COUNTIF(AK228,"NA")))</f>
        <v/>
      </c>
      <c r="K228" s="34" t="str">
        <f aca="false">IFERROR(I228/J228,"")</f>
        <v/>
      </c>
      <c r="L228" s="29"/>
      <c r="M228" s="35"/>
      <c r="N228" s="36"/>
      <c r="O228" s="36"/>
      <c r="P228" s="29"/>
      <c r="Q228" s="35"/>
      <c r="R228" s="36"/>
      <c r="S228" s="36"/>
      <c r="T228" s="29"/>
      <c r="U228" s="35"/>
      <c r="V228" s="36"/>
      <c r="W228" s="36"/>
      <c r="X228" s="29"/>
      <c r="Y228" s="35"/>
      <c r="Z228" s="36"/>
      <c r="AA228" s="36"/>
      <c r="AB228" s="29"/>
      <c r="AC228" s="35"/>
      <c r="AD228" s="36"/>
      <c r="AE228" s="36"/>
      <c r="AF228" s="29"/>
      <c r="AG228" s="35"/>
      <c r="AH228" s="36"/>
      <c r="AI228" s="36"/>
      <c r="AJ228" s="29"/>
      <c r="AK228" s="35"/>
      <c r="AL228" s="36"/>
      <c r="AM228" s="36"/>
      <c r="AN228" s="29"/>
      <c r="AO228" s="29"/>
      <c r="AP228" s="29"/>
      <c r="AQ228" s="37"/>
      <c r="AR228" s="29"/>
      <c r="AS228" s="38" t="str">
        <f aca="false">IF($C228="","",IF(OR(F228="Completed",F228="Cancelled"),"",IF(AND(OR(F228="On Hold",ISNUMBER(VALUE(LEFT(H228,2)))),AR228=""),"Reason not given","")))</f>
        <v/>
      </c>
      <c r="AT228" s="30"/>
      <c r="AU228" s="30"/>
    </row>
    <row r="229" customFormat="false" ht="19.5" hidden="false" customHeight="true" outlineLevel="0" collapsed="false">
      <c r="A229" s="28" t="str">
        <f aca="false">IF($C229="","",COUNTA($C$17:$C229))</f>
        <v/>
      </c>
      <c r="B229" s="29"/>
      <c r="C229" s="30"/>
      <c r="D229" s="29"/>
      <c r="E229" s="31" t="str">
        <f aca="false">IF($C229="","",IF(NOT(OR(M229="Completed",M229="NA",M229="Cancelled")),"S1 Schematic",IF(NOT(OR(Q229="Completed",Q229="NA",Q229="Cancelled")),"S2 PCB Layout",IF(NOT(OR(U229="Completed",U229="NA",U229="Cancelled")),"S3 SI &amp; PI",IF(NOT(OR(Y229="Completed",Y229="NA",Y229="Cancelled")),"S4 Bare-PCB Fab",IF(NOT(OR(AC229="Completed",AC229="NA",AC229="Cancelled")),"S5 Assembly",IF(NOT(OR(AG229="Completed",AG229="NA",AG229="Cancelled")),"S6 Bring-up",IF(NOT(OR(AK229="Completed",AK229="NA",AK229="Cancelled")),"S7 BOM Procurement","All Stages Closed"))))))))</f>
        <v/>
      </c>
      <c r="F229" s="32" t="str">
        <f aca="false">IF($C229="","",IF(COUNTIF(M229,"Cancelled")+COUNTIF(Q229,"Cancelled")+COUNTIF(U229,"Cancelled")+COUNTIF(Y229,"Cancelled")+COUNTIF(AC229,"Cancelled")+COUNTIF(AG229,"Cancelled")+COUNTIF(AK229,"Cancelled")&gt;0,"Cancelled",IF(E229="All Stages Closed","Completed",IF(E229="S1 Schematic",M229,IF(E229="S2 PCB Layout",Q229,IF(E229="S3 SI &amp; PI",U229,IF(E229="S4 Bare-PCB Fab",Y229,IF(E229="S5 Assembly",AC229,IF(E229="S6 Bring-up",AG229,AK229)))))))))</f>
        <v/>
      </c>
      <c r="G229" s="33" t="str">
        <f aca="false">IF($C229="","",IF(E229="All Stages Closed","",IF(E229="S1 Schematic",IF(N229="","Not added",N229),IF(E229="S2 PCB Layout",IF(R229="","Not added",R229),IF(E229="S3 SI &amp; PI",IF(V229="","Not added",V229),IF(E229="S4 Bare-PCB Fab",IF(Z229="","Not added",Z229),IF(E229="S5 Assembly",IF(AD229="","Not added",AD229),IF(E229="S6 Bring-up",IF(AH229="","Not added",AH229),IF(AL229="","Not added",AL229)))))))))</f>
        <v/>
      </c>
      <c r="H229" s="32" t="str">
        <f aca="true">IF($C229="","",IF(OR(F229="Completed",F229="Cancelled"),"",IF(NOT(ISNUMBER(G229)),"No date set",IF(TODAY()&gt;G229,TODAY()-G229&amp;" days late",G229-TODAY()&amp;" days left"))))</f>
        <v/>
      </c>
      <c r="I229" s="31" t="str">
        <f aca="false">IF($C229="","",COUNTIF(M229,"Completed")+COUNTIF(Q229,"Completed")+COUNTIF(U229,"Completed")+COUNTIF(Y229,"Completed")+COUNTIF(AC229,"Completed")+COUNTIF(AG229,"Completed")+COUNTIF(AK229,"Completed"))</f>
        <v/>
      </c>
      <c r="J229" s="31" t="str">
        <f aca="false">IF($C229="","",7-(COUNTIF(M229,"NA")+COUNTIF(Q229,"NA")+COUNTIF(U229,"NA")+COUNTIF(Y229,"NA")+COUNTIF(AC229,"NA")+COUNTIF(AG229,"NA")+COUNTIF(AK229,"NA")))</f>
        <v/>
      </c>
      <c r="K229" s="34" t="str">
        <f aca="false">IFERROR(I229/J229,"")</f>
        <v/>
      </c>
      <c r="L229" s="29"/>
      <c r="M229" s="35"/>
      <c r="N229" s="36"/>
      <c r="O229" s="36"/>
      <c r="P229" s="29"/>
      <c r="Q229" s="35"/>
      <c r="R229" s="36"/>
      <c r="S229" s="36"/>
      <c r="T229" s="29"/>
      <c r="U229" s="35"/>
      <c r="V229" s="36"/>
      <c r="W229" s="36"/>
      <c r="X229" s="29"/>
      <c r="Y229" s="35"/>
      <c r="Z229" s="36"/>
      <c r="AA229" s="36"/>
      <c r="AB229" s="29"/>
      <c r="AC229" s="35"/>
      <c r="AD229" s="36"/>
      <c r="AE229" s="36"/>
      <c r="AF229" s="29"/>
      <c r="AG229" s="35"/>
      <c r="AH229" s="36"/>
      <c r="AI229" s="36"/>
      <c r="AJ229" s="29"/>
      <c r="AK229" s="35"/>
      <c r="AL229" s="36"/>
      <c r="AM229" s="36"/>
      <c r="AN229" s="29"/>
      <c r="AO229" s="29"/>
      <c r="AP229" s="29"/>
      <c r="AQ229" s="37"/>
      <c r="AR229" s="29"/>
      <c r="AS229" s="38" t="str">
        <f aca="false">IF($C229="","",IF(OR(F229="Completed",F229="Cancelled"),"",IF(AND(OR(F229="On Hold",ISNUMBER(VALUE(LEFT(H229,2)))),AR229=""),"Reason not given","")))</f>
        <v/>
      </c>
      <c r="AT229" s="30"/>
      <c r="AU229" s="30"/>
    </row>
    <row r="230" customFormat="false" ht="19.5" hidden="false" customHeight="true" outlineLevel="0" collapsed="false">
      <c r="A230" s="28" t="str">
        <f aca="false">IF($C230="","",COUNTA($C$17:$C230))</f>
        <v/>
      </c>
      <c r="B230" s="29"/>
      <c r="C230" s="30"/>
      <c r="D230" s="29"/>
      <c r="E230" s="31" t="str">
        <f aca="false">IF($C230="","",IF(NOT(OR(M230="Completed",M230="NA",M230="Cancelled")),"S1 Schematic",IF(NOT(OR(Q230="Completed",Q230="NA",Q230="Cancelled")),"S2 PCB Layout",IF(NOT(OR(U230="Completed",U230="NA",U230="Cancelled")),"S3 SI &amp; PI",IF(NOT(OR(Y230="Completed",Y230="NA",Y230="Cancelled")),"S4 Bare-PCB Fab",IF(NOT(OR(AC230="Completed",AC230="NA",AC230="Cancelled")),"S5 Assembly",IF(NOT(OR(AG230="Completed",AG230="NA",AG230="Cancelled")),"S6 Bring-up",IF(NOT(OR(AK230="Completed",AK230="NA",AK230="Cancelled")),"S7 BOM Procurement","All Stages Closed"))))))))</f>
        <v/>
      </c>
      <c r="F230" s="32" t="str">
        <f aca="false">IF($C230="","",IF(COUNTIF(M230,"Cancelled")+COUNTIF(Q230,"Cancelled")+COUNTIF(U230,"Cancelled")+COUNTIF(Y230,"Cancelled")+COUNTIF(AC230,"Cancelled")+COUNTIF(AG230,"Cancelled")+COUNTIF(AK230,"Cancelled")&gt;0,"Cancelled",IF(E230="All Stages Closed","Completed",IF(E230="S1 Schematic",M230,IF(E230="S2 PCB Layout",Q230,IF(E230="S3 SI &amp; PI",U230,IF(E230="S4 Bare-PCB Fab",Y230,IF(E230="S5 Assembly",AC230,IF(E230="S6 Bring-up",AG230,AK230)))))))))</f>
        <v/>
      </c>
      <c r="G230" s="33" t="str">
        <f aca="false">IF($C230="","",IF(E230="All Stages Closed","",IF(E230="S1 Schematic",IF(N230="","Not added",N230),IF(E230="S2 PCB Layout",IF(R230="","Not added",R230),IF(E230="S3 SI &amp; PI",IF(V230="","Not added",V230),IF(E230="S4 Bare-PCB Fab",IF(Z230="","Not added",Z230),IF(E230="S5 Assembly",IF(AD230="","Not added",AD230),IF(E230="S6 Bring-up",IF(AH230="","Not added",AH230),IF(AL230="","Not added",AL230)))))))))</f>
        <v/>
      </c>
      <c r="H230" s="32" t="str">
        <f aca="true">IF($C230="","",IF(OR(F230="Completed",F230="Cancelled"),"",IF(NOT(ISNUMBER(G230)),"No date set",IF(TODAY()&gt;G230,TODAY()-G230&amp;" days late",G230-TODAY()&amp;" days left"))))</f>
        <v/>
      </c>
      <c r="I230" s="31" t="str">
        <f aca="false">IF($C230="","",COUNTIF(M230,"Completed")+COUNTIF(Q230,"Completed")+COUNTIF(U230,"Completed")+COUNTIF(Y230,"Completed")+COUNTIF(AC230,"Completed")+COUNTIF(AG230,"Completed")+COUNTIF(AK230,"Completed"))</f>
        <v/>
      </c>
      <c r="J230" s="31" t="str">
        <f aca="false">IF($C230="","",7-(COUNTIF(M230,"NA")+COUNTIF(Q230,"NA")+COUNTIF(U230,"NA")+COUNTIF(Y230,"NA")+COUNTIF(AC230,"NA")+COUNTIF(AG230,"NA")+COUNTIF(AK230,"NA")))</f>
        <v/>
      </c>
      <c r="K230" s="34" t="str">
        <f aca="false">IFERROR(I230/J230,"")</f>
        <v/>
      </c>
      <c r="L230" s="29"/>
      <c r="M230" s="35"/>
      <c r="N230" s="36"/>
      <c r="O230" s="36"/>
      <c r="P230" s="29"/>
      <c r="Q230" s="35"/>
      <c r="R230" s="36"/>
      <c r="S230" s="36"/>
      <c r="T230" s="29"/>
      <c r="U230" s="35"/>
      <c r="V230" s="36"/>
      <c r="W230" s="36"/>
      <c r="X230" s="29"/>
      <c r="Y230" s="35"/>
      <c r="Z230" s="36"/>
      <c r="AA230" s="36"/>
      <c r="AB230" s="29"/>
      <c r="AC230" s="35"/>
      <c r="AD230" s="36"/>
      <c r="AE230" s="36"/>
      <c r="AF230" s="29"/>
      <c r="AG230" s="35"/>
      <c r="AH230" s="36"/>
      <c r="AI230" s="36"/>
      <c r="AJ230" s="29"/>
      <c r="AK230" s="35"/>
      <c r="AL230" s="36"/>
      <c r="AM230" s="36"/>
      <c r="AN230" s="29"/>
      <c r="AO230" s="29"/>
      <c r="AP230" s="29"/>
      <c r="AQ230" s="37"/>
      <c r="AR230" s="29"/>
      <c r="AS230" s="38" t="str">
        <f aca="false">IF($C230="","",IF(OR(F230="Completed",F230="Cancelled"),"",IF(AND(OR(F230="On Hold",ISNUMBER(VALUE(LEFT(H230,2)))),AR230=""),"Reason not given","")))</f>
        <v/>
      </c>
      <c r="AT230" s="30"/>
      <c r="AU230" s="30"/>
    </row>
    <row r="231" customFormat="false" ht="19.5" hidden="false" customHeight="true" outlineLevel="0" collapsed="false">
      <c r="A231" s="28" t="str">
        <f aca="false">IF($C231="","",COUNTA($C$17:$C231))</f>
        <v/>
      </c>
      <c r="B231" s="29"/>
      <c r="C231" s="30"/>
      <c r="D231" s="29"/>
      <c r="E231" s="31" t="str">
        <f aca="false">IF($C231="","",IF(NOT(OR(M231="Completed",M231="NA",M231="Cancelled")),"S1 Schematic",IF(NOT(OR(Q231="Completed",Q231="NA",Q231="Cancelled")),"S2 PCB Layout",IF(NOT(OR(U231="Completed",U231="NA",U231="Cancelled")),"S3 SI &amp; PI",IF(NOT(OR(Y231="Completed",Y231="NA",Y231="Cancelled")),"S4 Bare-PCB Fab",IF(NOT(OR(AC231="Completed",AC231="NA",AC231="Cancelled")),"S5 Assembly",IF(NOT(OR(AG231="Completed",AG231="NA",AG231="Cancelled")),"S6 Bring-up",IF(NOT(OR(AK231="Completed",AK231="NA",AK231="Cancelled")),"S7 BOM Procurement","All Stages Closed"))))))))</f>
        <v/>
      </c>
      <c r="F231" s="32" t="str">
        <f aca="false">IF($C231="","",IF(COUNTIF(M231,"Cancelled")+COUNTIF(Q231,"Cancelled")+COUNTIF(U231,"Cancelled")+COUNTIF(Y231,"Cancelled")+COUNTIF(AC231,"Cancelled")+COUNTIF(AG231,"Cancelled")+COUNTIF(AK231,"Cancelled")&gt;0,"Cancelled",IF(E231="All Stages Closed","Completed",IF(E231="S1 Schematic",M231,IF(E231="S2 PCB Layout",Q231,IF(E231="S3 SI &amp; PI",U231,IF(E231="S4 Bare-PCB Fab",Y231,IF(E231="S5 Assembly",AC231,IF(E231="S6 Bring-up",AG231,AK231)))))))))</f>
        <v/>
      </c>
      <c r="G231" s="33" t="str">
        <f aca="false">IF($C231="","",IF(E231="All Stages Closed","",IF(E231="S1 Schematic",IF(N231="","Not added",N231),IF(E231="S2 PCB Layout",IF(R231="","Not added",R231),IF(E231="S3 SI &amp; PI",IF(V231="","Not added",V231),IF(E231="S4 Bare-PCB Fab",IF(Z231="","Not added",Z231),IF(E231="S5 Assembly",IF(AD231="","Not added",AD231),IF(E231="S6 Bring-up",IF(AH231="","Not added",AH231),IF(AL231="","Not added",AL231)))))))))</f>
        <v/>
      </c>
      <c r="H231" s="32" t="str">
        <f aca="true">IF($C231="","",IF(OR(F231="Completed",F231="Cancelled"),"",IF(NOT(ISNUMBER(G231)),"No date set",IF(TODAY()&gt;G231,TODAY()-G231&amp;" days late",G231-TODAY()&amp;" days left"))))</f>
        <v/>
      </c>
      <c r="I231" s="31" t="str">
        <f aca="false">IF($C231="","",COUNTIF(M231,"Completed")+COUNTIF(Q231,"Completed")+COUNTIF(U231,"Completed")+COUNTIF(Y231,"Completed")+COUNTIF(AC231,"Completed")+COUNTIF(AG231,"Completed")+COUNTIF(AK231,"Completed"))</f>
        <v/>
      </c>
      <c r="J231" s="31" t="str">
        <f aca="false">IF($C231="","",7-(COUNTIF(M231,"NA")+COUNTIF(Q231,"NA")+COUNTIF(U231,"NA")+COUNTIF(Y231,"NA")+COUNTIF(AC231,"NA")+COUNTIF(AG231,"NA")+COUNTIF(AK231,"NA")))</f>
        <v/>
      </c>
      <c r="K231" s="34" t="str">
        <f aca="false">IFERROR(I231/J231,"")</f>
        <v/>
      </c>
      <c r="L231" s="29"/>
      <c r="M231" s="35"/>
      <c r="N231" s="36"/>
      <c r="O231" s="36"/>
      <c r="P231" s="29"/>
      <c r="Q231" s="35"/>
      <c r="R231" s="36"/>
      <c r="S231" s="36"/>
      <c r="T231" s="29"/>
      <c r="U231" s="35"/>
      <c r="V231" s="36"/>
      <c r="W231" s="36"/>
      <c r="X231" s="29"/>
      <c r="Y231" s="35"/>
      <c r="Z231" s="36"/>
      <c r="AA231" s="36"/>
      <c r="AB231" s="29"/>
      <c r="AC231" s="35"/>
      <c r="AD231" s="36"/>
      <c r="AE231" s="36"/>
      <c r="AF231" s="29"/>
      <c r="AG231" s="35"/>
      <c r="AH231" s="36"/>
      <c r="AI231" s="36"/>
      <c r="AJ231" s="29"/>
      <c r="AK231" s="35"/>
      <c r="AL231" s="36"/>
      <c r="AM231" s="36"/>
      <c r="AN231" s="29"/>
      <c r="AO231" s="29"/>
      <c r="AP231" s="29"/>
      <c r="AQ231" s="37"/>
      <c r="AR231" s="29"/>
      <c r="AS231" s="38" t="str">
        <f aca="false">IF($C231="","",IF(OR(F231="Completed",F231="Cancelled"),"",IF(AND(OR(F231="On Hold",ISNUMBER(VALUE(LEFT(H231,2)))),AR231=""),"Reason not given","")))</f>
        <v/>
      </c>
      <c r="AT231" s="30"/>
      <c r="AU231" s="30"/>
    </row>
    <row r="232" customFormat="false" ht="19.5" hidden="false" customHeight="true" outlineLevel="0" collapsed="false">
      <c r="A232" s="28" t="str">
        <f aca="false">IF($C232="","",COUNTA($C$17:$C232))</f>
        <v/>
      </c>
      <c r="B232" s="29"/>
      <c r="C232" s="30"/>
      <c r="D232" s="29"/>
      <c r="E232" s="31" t="str">
        <f aca="false">IF($C232="","",IF(NOT(OR(M232="Completed",M232="NA",M232="Cancelled")),"S1 Schematic",IF(NOT(OR(Q232="Completed",Q232="NA",Q232="Cancelled")),"S2 PCB Layout",IF(NOT(OR(U232="Completed",U232="NA",U232="Cancelled")),"S3 SI &amp; PI",IF(NOT(OR(Y232="Completed",Y232="NA",Y232="Cancelled")),"S4 Bare-PCB Fab",IF(NOT(OR(AC232="Completed",AC232="NA",AC232="Cancelled")),"S5 Assembly",IF(NOT(OR(AG232="Completed",AG232="NA",AG232="Cancelled")),"S6 Bring-up",IF(NOT(OR(AK232="Completed",AK232="NA",AK232="Cancelled")),"S7 BOM Procurement","All Stages Closed"))))))))</f>
        <v/>
      </c>
      <c r="F232" s="32" t="str">
        <f aca="false">IF($C232="","",IF(COUNTIF(M232,"Cancelled")+COUNTIF(Q232,"Cancelled")+COUNTIF(U232,"Cancelled")+COUNTIF(Y232,"Cancelled")+COUNTIF(AC232,"Cancelled")+COUNTIF(AG232,"Cancelled")+COUNTIF(AK232,"Cancelled")&gt;0,"Cancelled",IF(E232="All Stages Closed","Completed",IF(E232="S1 Schematic",M232,IF(E232="S2 PCB Layout",Q232,IF(E232="S3 SI &amp; PI",U232,IF(E232="S4 Bare-PCB Fab",Y232,IF(E232="S5 Assembly",AC232,IF(E232="S6 Bring-up",AG232,AK232)))))))))</f>
        <v/>
      </c>
      <c r="G232" s="33" t="str">
        <f aca="false">IF($C232="","",IF(E232="All Stages Closed","",IF(E232="S1 Schematic",IF(N232="","Not added",N232),IF(E232="S2 PCB Layout",IF(R232="","Not added",R232),IF(E232="S3 SI &amp; PI",IF(V232="","Not added",V232),IF(E232="S4 Bare-PCB Fab",IF(Z232="","Not added",Z232),IF(E232="S5 Assembly",IF(AD232="","Not added",AD232),IF(E232="S6 Bring-up",IF(AH232="","Not added",AH232),IF(AL232="","Not added",AL232)))))))))</f>
        <v/>
      </c>
      <c r="H232" s="32" t="str">
        <f aca="true">IF($C232="","",IF(OR(F232="Completed",F232="Cancelled"),"",IF(NOT(ISNUMBER(G232)),"No date set",IF(TODAY()&gt;G232,TODAY()-G232&amp;" days late",G232-TODAY()&amp;" days left"))))</f>
        <v/>
      </c>
      <c r="I232" s="31" t="str">
        <f aca="false">IF($C232="","",COUNTIF(M232,"Completed")+COUNTIF(Q232,"Completed")+COUNTIF(U232,"Completed")+COUNTIF(Y232,"Completed")+COUNTIF(AC232,"Completed")+COUNTIF(AG232,"Completed")+COUNTIF(AK232,"Completed"))</f>
        <v/>
      </c>
      <c r="J232" s="31" t="str">
        <f aca="false">IF($C232="","",7-(COUNTIF(M232,"NA")+COUNTIF(Q232,"NA")+COUNTIF(U232,"NA")+COUNTIF(Y232,"NA")+COUNTIF(AC232,"NA")+COUNTIF(AG232,"NA")+COUNTIF(AK232,"NA")))</f>
        <v/>
      </c>
      <c r="K232" s="34" t="str">
        <f aca="false">IFERROR(I232/J232,"")</f>
        <v/>
      </c>
      <c r="L232" s="29"/>
      <c r="M232" s="35"/>
      <c r="N232" s="36"/>
      <c r="O232" s="36"/>
      <c r="P232" s="29"/>
      <c r="Q232" s="35"/>
      <c r="R232" s="36"/>
      <c r="S232" s="36"/>
      <c r="T232" s="29"/>
      <c r="U232" s="35"/>
      <c r="V232" s="36"/>
      <c r="W232" s="36"/>
      <c r="X232" s="29"/>
      <c r="Y232" s="35"/>
      <c r="Z232" s="36"/>
      <c r="AA232" s="36"/>
      <c r="AB232" s="29"/>
      <c r="AC232" s="35"/>
      <c r="AD232" s="36"/>
      <c r="AE232" s="36"/>
      <c r="AF232" s="29"/>
      <c r="AG232" s="35"/>
      <c r="AH232" s="36"/>
      <c r="AI232" s="36"/>
      <c r="AJ232" s="29"/>
      <c r="AK232" s="35"/>
      <c r="AL232" s="36"/>
      <c r="AM232" s="36"/>
      <c r="AN232" s="29"/>
      <c r="AO232" s="29"/>
      <c r="AP232" s="29"/>
      <c r="AQ232" s="37"/>
      <c r="AR232" s="29"/>
      <c r="AS232" s="38" t="str">
        <f aca="false">IF($C232="","",IF(OR(F232="Completed",F232="Cancelled"),"",IF(AND(OR(F232="On Hold",ISNUMBER(VALUE(LEFT(H232,2)))),AR232=""),"Reason not given","")))</f>
        <v/>
      </c>
      <c r="AT232" s="30"/>
      <c r="AU232" s="30"/>
    </row>
    <row r="233" customFormat="false" ht="19.5" hidden="false" customHeight="true" outlineLevel="0" collapsed="false">
      <c r="A233" s="28" t="str">
        <f aca="false">IF($C233="","",COUNTA($C$17:$C233))</f>
        <v/>
      </c>
      <c r="B233" s="29"/>
      <c r="C233" s="30"/>
      <c r="D233" s="29"/>
      <c r="E233" s="31" t="str">
        <f aca="false">IF($C233="","",IF(NOT(OR(M233="Completed",M233="NA",M233="Cancelled")),"S1 Schematic",IF(NOT(OR(Q233="Completed",Q233="NA",Q233="Cancelled")),"S2 PCB Layout",IF(NOT(OR(U233="Completed",U233="NA",U233="Cancelled")),"S3 SI &amp; PI",IF(NOT(OR(Y233="Completed",Y233="NA",Y233="Cancelled")),"S4 Bare-PCB Fab",IF(NOT(OR(AC233="Completed",AC233="NA",AC233="Cancelled")),"S5 Assembly",IF(NOT(OR(AG233="Completed",AG233="NA",AG233="Cancelled")),"S6 Bring-up",IF(NOT(OR(AK233="Completed",AK233="NA",AK233="Cancelled")),"S7 BOM Procurement","All Stages Closed"))))))))</f>
        <v/>
      </c>
      <c r="F233" s="32" t="str">
        <f aca="false">IF($C233="","",IF(COUNTIF(M233,"Cancelled")+COUNTIF(Q233,"Cancelled")+COUNTIF(U233,"Cancelled")+COUNTIF(Y233,"Cancelled")+COUNTIF(AC233,"Cancelled")+COUNTIF(AG233,"Cancelled")+COUNTIF(AK233,"Cancelled")&gt;0,"Cancelled",IF(E233="All Stages Closed","Completed",IF(E233="S1 Schematic",M233,IF(E233="S2 PCB Layout",Q233,IF(E233="S3 SI &amp; PI",U233,IF(E233="S4 Bare-PCB Fab",Y233,IF(E233="S5 Assembly",AC233,IF(E233="S6 Bring-up",AG233,AK233)))))))))</f>
        <v/>
      </c>
      <c r="G233" s="33" t="str">
        <f aca="false">IF($C233="","",IF(E233="All Stages Closed","",IF(E233="S1 Schematic",IF(N233="","Not added",N233),IF(E233="S2 PCB Layout",IF(R233="","Not added",R233),IF(E233="S3 SI &amp; PI",IF(V233="","Not added",V233),IF(E233="S4 Bare-PCB Fab",IF(Z233="","Not added",Z233),IF(E233="S5 Assembly",IF(AD233="","Not added",AD233),IF(E233="S6 Bring-up",IF(AH233="","Not added",AH233),IF(AL233="","Not added",AL233)))))))))</f>
        <v/>
      </c>
      <c r="H233" s="32" t="str">
        <f aca="true">IF($C233="","",IF(OR(F233="Completed",F233="Cancelled"),"",IF(NOT(ISNUMBER(G233)),"No date set",IF(TODAY()&gt;G233,TODAY()-G233&amp;" days late",G233-TODAY()&amp;" days left"))))</f>
        <v/>
      </c>
      <c r="I233" s="31" t="str">
        <f aca="false">IF($C233="","",COUNTIF(M233,"Completed")+COUNTIF(Q233,"Completed")+COUNTIF(U233,"Completed")+COUNTIF(Y233,"Completed")+COUNTIF(AC233,"Completed")+COUNTIF(AG233,"Completed")+COUNTIF(AK233,"Completed"))</f>
        <v/>
      </c>
      <c r="J233" s="31" t="str">
        <f aca="false">IF($C233="","",7-(COUNTIF(M233,"NA")+COUNTIF(Q233,"NA")+COUNTIF(U233,"NA")+COUNTIF(Y233,"NA")+COUNTIF(AC233,"NA")+COUNTIF(AG233,"NA")+COUNTIF(AK233,"NA")))</f>
        <v/>
      </c>
      <c r="K233" s="34" t="str">
        <f aca="false">IFERROR(I233/J233,"")</f>
        <v/>
      </c>
      <c r="L233" s="29"/>
      <c r="M233" s="35"/>
      <c r="N233" s="36"/>
      <c r="O233" s="36"/>
      <c r="P233" s="29"/>
      <c r="Q233" s="35"/>
      <c r="R233" s="36"/>
      <c r="S233" s="36"/>
      <c r="T233" s="29"/>
      <c r="U233" s="35"/>
      <c r="V233" s="36"/>
      <c r="W233" s="36"/>
      <c r="X233" s="29"/>
      <c r="Y233" s="35"/>
      <c r="Z233" s="36"/>
      <c r="AA233" s="36"/>
      <c r="AB233" s="29"/>
      <c r="AC233" s="35"/>
      <c r="AD233" s="36"/>
      <c r="AE233" s="36"/>
      <c r="AF233" s="29"/>
      <c r="AG233" s="35"/>
      <c r="AH233" s="36"/>
      <c r="AI233" s="36"/>
      <c r="AJ233" s="29"/>
      <c r="AK233" s="35"/>
      <c r="AL233" s="36"/>
      <c r="AM233" s="36"/>
      <c r="AN233" s="29"/>
      <c r="AO233" s="29"/>
      <c r="AP233" s="29"/>
      <c r="AQ233" s="37"/>
      <c r="AR233" s="29"/>
      <c r="AS233" s="38" t="str">
        <f aca="false">IF($C233="","",IF(OR(F233="Completed",F233="Cancelled"),"",IF(AND(OR(F233="On Hold",ISNUMBER(VALUE(LEFT(H233,2)))),AR233=""),"Reason not given","")))</f>
        <v/>
      </c>
      <c r="AT233" s="30"/>
      <c r="AU233" s="30"/>
    </row>
    <row r="234" customFormat="false" ht="19.5" hidden="false" customHeight="true" outlineLevel="0" collapsed="false">
      <c r="A234" s="28" t="str">
        <f aca="false">IF($C234="","",COUNTA($C$17:$C234))</f>
        <v/>
      </c>
      <c r="B234" s="29"/>
      <c r="C234" s="30"/>
      <c r="D234" s="29"/>
      <c r="E234" s="31" t="str">
        <f aca="false">IF($C234="","",IF(NOT(OR(M234="Completed",M234="NA",M234="Cancelled")),"S1 Schematic",IF(NOT(OR(Q234="Completed",Q234="NA",Q234="Cancelled")),"S2 PCB Layout",IF(NOT(OR(U234="Completed",U234="NA",U234="Cancelled")),"S3 SI &amp; PI",IF(NOT(OR(Y234="Completed",Y234="NA",Y234="Cancelled")),"S4 Bare-PCB Fab",IF(NOT(OR(AC234="Completed",AC234="NA",AC234="Cancelled")),"S5 Assembly",IF(NOT(OR(AG234="Completed",AG234="NA",AG234="Cancelled")),"S6 Bring-up",IF(NOT(OR(AK234="Completed",AK234="NA",AK234="Cancelled")),"S7 BOM Procurement","All Stages Closed"))))))))</f>
        <v/>
      </c>
      <c r="F234" s="32" t="str">
        <f aca="false">IF($C234="","",IF(COUNTIF(M234,"Cancelled")+COUNTIF(Q234,"Cancelled")+COUNTIF(U234,"Cancelled")+COUNTIF(Y234,"Cancelled")+COUNTIF(AC234,"Cancelled")+COUNTIF(AG234,"Cancelled")+COUNTIF(AK234,"Cancelled")&gt;0,"Cancelled",IF(E234="All Stages Closed","Completed",IF(E234="S1 Schematic",M234,IF(E234="S2 PCB Layout",Q234,IF(E234="S3 SI &amp; PI",U234,IF(E234="S4 Bare-PCB Fab",Y234,IF(E234="S5 Assembly",AC234,IF(E234="S6 Bring-up",AG234,AK234)))))))))</f>
        <v/>
      </c>
      <c r="G234" s="33" t="str">
        <f aca="false">IF($C234="","",IF(E234="All Stages Closed","",IF(E234="S1 Schematic",IF(N234="","Not added",N234),IF(E234="S2 PCB Layout",IF(R234="","Not added",R234),IF(E234="S3 SI &amp; PI",IF(V234="","Not added",V234),IF(E234="S4 Bare-PCB Fab",IF(Z234="","Not added",Z234),IF(E234="S5 Assembly",IF(AD234="","Not added",AD234),IF(E234="S6 Bring-up",IF(AH234="","Not added",AH234),IF(AL234="","Not added",AL234)))))))))</f>
        <v/>
      </c>
      <c r="H234" s="32" t="str">
        <f aca="true">IF($C234="","",IF(OR(F234="Completed",F234="Cancelled"),"",IF(NOT(ISNUMBER(G234)),"No date set",IF(TODAY()&gt;G234,TODAY()-G234&amp;" days late",G234-TODAY()&amp;" days left"))))</f>
        <v/>
      </c>
      <c r="I234" s="31" t="str">
        <f aca="false">IF($C234="","",COUNTIF(M234,"Completed")+COUNTIF(Q234,"Completed")+COUNTIF(U234,"Completed")+COUNTIF(Y234,"Completed")+COUNTIF(AC234,"Completed")+COUNTIF(AG234,"Completed")+COUNTIF(AK234,"Completed"))</f>
        <v/>
      </c>
      <c r="J234" s="31" t="str">
        <f aca="false">IF($C234="","",7-(COUNTIF(M234,"NA")+COUNTIF(Q234,"NA")+COUNTIF(U234,"NA")+COUNTIF(Y234,"NA")+COUNTIF(AC234,"NA")+COUNTIF(AG234,"NA")+COUNTIF(AK234,"NA")))</f>
        <v/>
      </c>
      <c r="K234" s="34" t="str">
        <f aca="false">IFERROR(I234/J234,"")</f>
        <v/>
      </c>
      <c r="L234" s="29"/>
      <c r="M234" s="35"/>
      <c r="N234" s="36"/>
      <c r="O234" s="36"/>
      <c r="P234" s="29"/>
      <c r="Q234" s="35"/>
      <c r="R234" s="36"/>
      <c r="S234" s="36"/>
      <c r="T234" s="29"/>
      <c r="U234" s="35"/>
      <c r="V234" s="36"/>
      <c r="W234" s="36"/>
      <c r="X234" s="29"/>
      <c r="Y234" s="35"/>
      <c r="Z234" s="36"/>
      <c r="AA234" s="36"/>
      <c r="AB234" s="29"/>
      <c r="AC234" s="35"/>
      <c r="AD234" s="36"/>
      <c r="AE234" s="36"/>
      <c r="AF234" s="29"/>
      <c r="AG234" s="35"/>
      <c r="AH234" s="36"/>
      <c r="AI234" s="36"/>
      <c r="AJ234" s="29"/>
      <c r="AK234" s="35"/>
      <c r="AL234" s="36"/>
      <c r="AM234" s="36"/>
      <c r="AN234" s="29"/>
      <c r="AO234" s="29"/>
      <c r="AP234" s="29"/>
      <c r="AQ234" s="37"/>
      <c r="AR234" s="29"/>
      <c r="AS234" s="38" t="str">
        <f aca="false">IF($C234="","",IF(OR(F234="Completed",F234="Cancelled"),"",IF(AND(OR(F234="On Hold",ISNUMBER(VALUE(LEFT(H234,2)))),AR234=""),"Reason not given","")))</f>
        <v/>
      </c>
      <c r="AT234" s="30"/>
      <c r="AU234" s="30"/>
    </row>
    <row r="235" customFormat="false" ht="19.5" hidden="false" customHeight="true" outlineLevel="0" collapsed="false">
      <c r="A235" s="28" t="str">
        <f aca="false">IF($C235="","",COUNTA($C$17:$C235))</f>
        <v/>
      </c>
      <c r="B235" s="29"/>
      <c r="C235" s="30"/>
      <c r="D235" s="29"/>
      <c r="E235" s="31" t="str">
        <f aca="false">IF($C235="","",IF(NOT(OR(M235="Completed",M235="NA",M235="Cancelled")),"S1 Schematic",IF(NOT(OR(Q235="Completed",Q235="NA",Q235="Cancelled")),"S2 PCB Layout",IF(NOT(OR(U235="Completed",U235="NA",U235="Cancelled")),"S3 SI &amp; PI",IF(NOT(OR(Y235="Completed",Y235="NA",Y235="Cancelled")),"S4 Bare-PCB Fab",IF(NOT(OR(AC235="Completed",AC235="NA",AC235="Cancelled")),"S5 Assembly",IF(NOT(OR(AG235="Completed",AG235="NA",AG235="Cancelled")),"S6 Bring-up",IF(NOT(OR(AK235="Completed",AK235="NA",AK235="Cancelled")),"S7 BOM Procurement","All Stages Closed"))))))))</f>
        <v/>
      </c>
      <c r="F235" s="32" t="str">
        <f aca="false">IF($C235="","",IF(COUNTIF(M235,"Cancelled")+COUNTIF(Q235,"Cancelled")+COUNTIF(U235,"Cancelled")+COUNTIF(Y235,"Cancelled")+COUNTIF(AC235,"Cancelled")+COUNTIF(AG235,"Cancelled")+COUNTIF(AK235,"Cancelled")&gt;0,"Cancelled",IF(E235="All Stages Closed","Completed",IF(E235="S1 Schematic",M235,IF(E235="S2 PCB Layout",Q235,IF(E235="S3 SI &amp; PI",U235,IF(E235="S4 Bare-PCB Fab",Y235,IF(E235="S5 Assembly",AC235,IF(E235="S6 Bring-up",AG235,AK235)))))))))</f>
        <v/>
      </c>
      <c r="G235" s="33" t="str">
        <f aca="false">IF($C235="","",IF(E235="All Stages Closed","",IF(E235="S1 Schematic",IF(N235="","Not added",N235),IF(E235="S2 PCB Layout",IF(R235="","Not added",R235),IF(E235="S3 SI &amp; PI",IF(V235="","Not added",V235),IF(E235="S4 Bare-PCB Fab",IF(Z235="","Not added",Z235),IF(E235="S5 Assembly",IF(AD235="","Not added",AD235),IF(E235="S6 Bring-up",IF(AH235="","Not added",AH235),IF(AL235="","Not added",AL235)))))))))</f>
        <v/>
      </c>
      <c r="H235" s="32" t="str">
        <f aca="true">IF($C235="","",IF(OR(F235="Completed",F235="Cancelled"),"",IF(NOT(ISNUMBER(G235)),"No date set",IF(TODAY()&gt;G235,TODAY()-G235&amp;" days late",G235-TODAY()&amp;" days left"))))</f>
        <v/>
      </c>
      <c r="I235" s="31" t="str">
        <f aca="false">IF($C235="","",COUNTIF(M235,"Completed")+COUNTIF(Q235,"Completed")+COUNTIF(U235,"Completed")+COUNTIF(Y235,"Completed")+COUNTIF(AC235,"Completed")+COUNTIF(AG235,"Completed")+COUNTIF(AK235,"Completed"))</f>
        <v/>
      </c>
      <c r="J235" s="31" t="str">
        <f aca="false">IF($C235="","",7-(COUNTIF(M235,"NA")+COUNTIF(Q235,"NA")+COUNTIF(U235,"NA")+COUNTIF(Y235,"NA")+COUNTIF(AC235,"NA")+COUNTIF(AG235,"NA")+COUNTIF(AK235,"NA")))</f>
        <v/>
      </c>
      <c r="K235" s="34" t="str">
        <f aca="false">IFERROR(I235/J235,"")</f>
        <v/>
      </c>
      <c r="L235" s="29"/>
      <c r="M235" s="35"/>
      <c r="N235" s="36"/>
      <c r="O235" s="36"/>
      <c r="P235" s="29"/>
      <c r="Q235" s="35"/>
      <c r="R235" s="36"/>
      <c r="S235" s="36"/>
      <c r="T235" s="29"/>
      <c r="U235" s="35"/>
      <c r="V235" s="36"/>
      <c r="W235" s="36"/>
      <c r="X235" s="29"/>
      <c r="Y235" s="35"/>
      <c r="Z235" s="36"/>
      <c r="AA235" s="36"/>
      <c r="AB235" s="29"/>
      <c r="AC235" s="35"/>
      <c r="AD235" s="36"/>
      <c r="AE235" s="36"/>
      <c r="AF235" s="29"/>
      <c r="AG235" s="35"/>
      <c r="AH235" s="36"/>
      <c r="AI235" s="36"/>
      <c r="AJ235" s="29"/>
      <c r="AK235" s="35"/>
      <c r="AL235" s="36"/>
      <c r="AM235" s="36"/>
      <c r="AN235" s="29"/>
      <c r="AO235" s="29"/>
      <c r="AP235" s="29"/>
      <c r="AQ235" s="37"/>
      <c r="AR235" s="29"/>
      <c r="AS235" s="38" t="str">
        <f aca="false">IF($C235="","",IF(OR(F235="Completed",F235="Cancelled"),"",IF(AND(OR(F235="On Hold",ISNUMBER(VALUE(LEFT(H235,2)))),AR235=""),"Reason not given","")))</f>
        <v/>
      </c>
      <c r="AT235" s="30"/>
      <c r="AU235" s="30"/>
    </row>
    <row r="236" customFormat="false" ht="19.5" hidden="false" customHeight="true" outlineLevel="0" collapsed="false">
      <c r="A236" s="28" t="str">
        <f aca="false">IF($C236="","",COUNTA($C$17:$C236))</f>
        <v/>
      </c>
      <c r="B236" s="29"/>
      <c r="C236" s="30"/>
      <c r="D236" s="29"/>
      <c r="E236" s="31" t="str">
        <f aca="false">IF($C236="","",IF(NOT(OR(M236="Completed",M236="NA",M236="Cancelled")),"S1 Schematic",IF(NOT(OR(Q236="Completed",Q236="NA",Q236="Cancelled")),"S2 PCB Layout",IF(NOT(OR(U236="Completed",U236="NA",U236="Cancelled")),"S3 SI &amp; PI",IF(NOT(OR(Y236="Completed",Y236="NA",Y236="Cancelled")),"S4 Bare-PCB Fab",IF(NOT(OR(AC236="Completed",AC236="NA",AC236="Cancelled")),"S5 Assembly",IF(NOT(OR(AG236="Completed",AG236="NA",AG236="Cancelled")),"S6 Bring-up",IF(NOT(OR(AK236="Completed",AK236="NA",AK236="Cancelled")),"S7 BOM Procurement","All Stages Closed"))))))))</f>
        <v/>
      </c>
      <c r="F236" s="32" t="str">
        <f aca="false">IF($C236="","",IF(COUNTIF(M236,"Cancelled")+COUNTIF(Q236,"Cancelled")+COUNTIF(U236,"Cancelled")+COUNTIF(Y236,"Cancelled")+COUNTIF(AC236,"Cancelled")+COUNTIF(AG236,"Cancelled")+COUNTIF(AK236,"Cancelled")&gt;0,"Cancelled",IF(E236="All Stages Closed","Completed",IF(E236="S1 Schematic",M236,IF(E236="S2 PCB Layout",Q236,IF(E236="S3 SI &amp; PI",U236,IF(E236="S4 Bare-PCB Fab",Y236,IF(E236="S5 Assembly",AC236,IF(E236="S6 Bring-up",AG236,AK236)))))))))</f>
        <v/>
      </c>
      <c r="G236" s="33" t="str">
        <f aca="false">IF($C236="","",IF(E236="All Stages Closed","",IF(E236="S1 Schematic",IF(N236="","Not added",N236),IF(E236="S2 PCB Layout",IF(R236="","Not added",R236),IF(E236="S3 SI &amp; PI",IF(V236="","Not added",V236),IF(E236="S4 Bare-PCB Fab",IF(Z236="","Not added",Z236),IF(E236="S5 Assembly",IF(AD236="","Not added",AD236),IF(E236="S6 Bring-up",IF(AH236="","Not added",AH236),IF(AL236="","Not added",AL236)))))))))</f>
        <v/>
      </c>
      <c r="H236" s="32" t="str">
        <f aca="true">IF($C236="","",IF(OR(F236="Completed",F236="Cancelled"),"",IF(NOT(ISNUMBER(G236)),"No date set",IF(TODAY()&gt;G236,TODAY()-G236&amp;" days late",G236-TODAY()&amp;" days left"))))</f>
        <v/>
      </c>
      <c r="I236" s="31" t="str">
        <f aca="false">IF($C236="","",COUNTIF(M236,"Completed")+COUNTIF(Q236,"Completed")+COUNTIF(U236,"Completed")+COUNTIF(Y236,"Completed")+COUNTIF(AC236,"Completed")+COUNTIF(AG236,"Completed")+COUNTIF(AK236,"Completed"))</f>
        <v/>
      </c>
      <c r="J236" s="31" t="str">
        <f aca="false">IF($C236="","",7-(COUNTIF(M236,"NA")+COUNTIF(Q236,"NA")+COUNTIF(U236,"NA")+COUNTIF(Y236,"NA")+COUNTIF(AC236,"NA")+COUNTIF(AG236,"NA")+COUNTIF(AK236,"NA")))</f>
        <v/>
      </c>
      <c r="K236" s="34" t="str">
        <f aca="false">IFERROR(I236/J236,"")</f>
        <v/>
      </c>
      <c r="L236" s="29"/>
      <c r="M236" s="35"/>
      <c r="N236" s="36"/>
      <c r="O236" s="36"/>
      <c r="P236" s="29"/>
      <c r="Q236" s="35"/>
      <c r="R236" s="36"/>
      <c r="S236" s="36"/>
      <c r="T236" s="29"/>
      <c r="U236" s="35"/>
      <c r="V236" s="36"/>
      <c r="W236" s="36"/>
      <c r="X236" s="29"/>
      <c r="Y236" s="35"/>
      <c r="Z236" s="36"/>
      <c r="AA236" s="36"/>
      <c r="AB236" s="29"/>
      <c r="AC236" s="35"/>
      <c r="AD236" s="36"/>
      <c r="AE236" s="36"/>
      <c r="AF236" s="29"/>
      <c r="AG236" s="35"/>
      <c r="AH236" s="36"/>
      <c r="AI236" s="36"/>
      <c r="AJ236" s="29"/>
      <c r="AK236" s="35"/>
      <c r="AL236" s="36"/>
      <c r="AM236" s="36"/>
      <c r="AN236" s="29"/>
      <c r="AO236" s="29"/>
      <c r="AP236" s="29"/>
      <c r="AQ236" s="37"/>
      <c r="AR236" s="29"/>
      <c r="AS236" s="38" t="str">
        <f aca="false">IF($C236="","",IF(OR(F236="Completed",F236="Cancelled"),"",IF(AND(OR(F236="On Hold",ISNUMBER(VALUE(LEFT(H236,2)))),AR236=""),"Reason not given","")))</f>
        <v/>
      </c>
      <c r="AT236" s="30"/>
      <c r="AU236" s="30"/>
    </row>
    <row r="237" customFormat="false" ht="19.5" hidden="false" customHeight="true" outlineLevel="0" collapsed="false">
      <c r="A237" s="28" t="str">
        <f aca="false">IF($C237="","",COUNTA($C$17:$C237))</f>
        <v/>
      </c>
      <c r="B237" s="29"/>
      <c r="C237" s="30"/>
      <c r="D237" s="29"/>
      <c r="E237" s="31" t="str">
        <f aca="false">IF($C237="","",IF(NOT(OR(M237="Completed",M237="NA",M237="Cancelled")),"S1 Schematic",IF(NOT(OR(Q237="Completed",Q237="NA",Q237="Cancelled")),"S2 PCB Layout",IF(NOT(OR(U237="Completed",U237="NA",U237="Cancelled")),"S3 SI &amp; PI",IF(NOT(OR(Y237="Completed",Y237="NA",Y237="Cancelled")),"S4 Bare-PCB Fab",IF(NOT(OR(AC237="Completed",AC237="NA",AC237="Cancelled")),"S5 Assembly",IF(NOT(OR(AG237="Completed",AG237="NA",AG237="Cancelled")),"S6 Bring-up",IF(NOT(OR(AK237="Completed",AK237="NA",AK237="Cancelled")),"S7 BOM Procurement","All Stages Closed"))))))))</f>
        <v/>
      </c>
      <c r="F237" s="32" t="str">
        <f aca="false">IF($C237="","",IF(COUNTIF(M237,"Cancelled")+COUNTIF(Q237,"Cancelled")+COUNTIF(U237,"Cancelled")+COUNTIF(Y237,"Cancelled")+COUNTIF(AC237,"Cancelled")+COUNTIF(AG237,"Cancelled")+COUNTIF(AK237,"Cancelled")&gt;0,"Cancelled",IF(E237="All Stages Closed","Completed",IF(E237="S1 Schematic",M237,IF(E237="S2 PCB Layout",Q237,IF(E237="S3 SI &amp; PI",U237,IF(E237="S4 Bare-PCB Fab",Y237,IF(E237="S5 Assembly",AC237,IF(E237="S6 Bring-up",AG237,AK237)))))))))</f>
        <v/>
      </c>
      <c r="G237" s="33" t="str">
        <f aca="false">IF($C237="","",IF(E237="All Stages Closed","",IF(E237="S1 Schematic",IF(N237="","Not added",N237),IF(E237="S2 PCB Layout",IF(R237="","Not added",R237),IF(E237="S3 SI &amp; PI",IF(V237="","Not added",V237),IF(E237="S4 Bare-PCB Fab",IF(Z237="","Not added",Z237),IF(E237="S5 Assembly",IF(AD237="","Not added",AD237),IF(E237="S6 Bring-up",IF(AH237="","Not added",AH237),IF(AL237="","Not added",AL237)))))))))</f>
        <v/>
      </c>
      <c r="H237" s="32" t="str">
        <f aca="true">IF($C237="","",IF(OR(F237="Completed",F237="Cancelled"),"",IF(NOT(ISNUMBER(G237)),"No date set",IF(TODAY()&gt;G237,TODAY()-G237&amp;" days late",G237-TODAY()&amp;" days left"))))</f>
        <v/>
      </c>
      <c r="I237" s="31" t="str">
        <f aca="false">IF($C237="","",COUNTIF(M237,"Completed")+COUNTIF(Q237,"Completed")+COUNTIF(U237,"Completed")+COUNTIF(Y237,"Completed")+COUNTIF(AC237,"Completed")+COUNTIF(AG237,"Completed")+COUNTIF(AK237,"Completed"))</f>
        <v/>
      </c>
      <c r="J237" s="31" t="str">
        <f aca="false">IF($C237="","",7-(COUNTIF(M237,"NA")+COUNTIF(Q237,"NA")+COUNTIF(U237,"NA")+COUNTIF(Y237,"NA")+COUNTIF(AC237,"NA")+COUNTIF(AG237,"NA")+COUNTIF(AK237,"NA")))</f>
        <v/>
      </c>
      <c r="K237" s="34" t="str">
        <f aca="false">IFERROR(I237/J237,"")</f>
        <v/>
      </c>
      <c r="L237" s="29"/>
      <c r="M237" s="35"/>
      <c r="N237" s="36"/>
      <c r="O237" s="36"/>
      <c r="P237" s="29"/>
      <c r="Q237" s="35"/>
      <c r="R237" s="36"/>
      <c r="S237" s="36"/>
      <c r="T237" s="29"/>
      <c r="U237" s="35"/>
      <c r="V237" s="36"/>
      <c r="W237" s="36"/>
      <c r="X237" s="29"/>
      <c r="Y237" s="35"/>
      <c r="Z237" s="36"/>
      <c r="AA237" s="36"/>
      <c r="AB237" s="29"/>
      <c r="AC237" s="35"/>
      <c r="AD237" s="36"/>
      <c r="AE237" s="36"/>
      <c r="AF237" s="29"/>
      <c r="AG237" s="35"/>
      <c r="AH237" s="36"/>
      <c r="AI237" s="36"/>
      <c r="AJ237" s="29"/>
      <c r="AK237" s="35"/>
      <c r="AL237" s="36"/>
      <c r="AM237" s="36"/>
      <c r="AN237" s="29"/>
      <c r="AO237" s="29"/>
      <c r="AP237" s="29"/>
      <c r="AQ237" s="37"/>
      <c r="AR237" s="29"/>
      <c r="AS237" s="38" t="str">
        <f aca="false">IF($C237="","",IF(OR(F237="Completed",F237="Cancelled"),"",IF(AND(OR(F237="On Hold",ISNUMBER(VALUE(LEFT(H237,2)))),AR237=""),"Reason not given","")))</f>
        <v/>
      </c>
      <c r="AT237" s="30"/>
      <c r="AU237" s="30"/>
    </row>
    <row r="238" customFormat="false" ht="19.5" hidden="false" customHeight="true" outlineLevel="0" collapsed="false">
      <c r="A238" s="28" t="str">
        <f aca="false">IF($C238="","",COUNTA($C$17:$C238))</f>
        <v/>
      </c>
      <c r="B238" s="29"/>
      <c r="C238" s="30"/>
      <c r="D238" s="29"/>
      <c r="E238" s="31" t="str">
        <f aca="false">IF($C238="","",IF(NOT(OR(M238="Completed",M238="NA",M238="Cancelled")),"S1 Schematic",IF(NOT(OR(Q238="Completed",Q238="NA",Q238="Cancelled")),"S2 PCB Layout",IF(NOT(OR(U238="Completed",U238="NA",U238="Cancelled")),"S3 SI &amp; PI",IF(NOT(OR(Y238="Completed",Y238="NA",Y238="Cancelled")),"S4 Bare-PCB Fab",IF(NOT(OR(AC238="Completed",AC238="NA",AC238="Cancelled")),"S5 Assembly",IF(NOT(OR(AG238="Completed",AG238="NA",AG238="Cancelled")),"S6 Bring-up",IF(NOT(OR(AK238="Completed",AK238="NA",AK238="Cancelled")),"S7 BOM Procurement","All Stages Closed"))))))))</f>
        <v/>
      </c>
      <c r="F238" s="32" t="str">
        <f aca="false">IF($C238="","",IF(COUNTIF(M238,"Cancelled")+COUNTIF(Q238,"Cancelled")+COUNTIF(U238,"Cancelled")+COUNTIF(Y238,"Cancelled")+COUNTIF(AC238,"Cancelled")+COUNTIF(AG238,"Cancelled")+COUNTIF(AK238,"Cancelled")&gt;0,"Cancelled",IF(E238="All Stages Closed","Completed",IF(E238="S1 Schematic",M238,IF(E238="S2 PCB Layout",Q238,IF(E238="S3 SI &amp; PI",U238,IF(E238="S4 Bare-PCB Fab",Y238,IF(E238="S5 Assembly",AC238,IF(E238="S6 Bring-up",AG238,AK238)))))))))</f>
        <v/>
      </c>
      <c r="G238" s="33" t="str">
        <f aca="false">IF($C238="","",IF(E238="All Stages Closed","",IF(E238="S1 Schematic",IF(N238="","Not added",N238),IF(E238="S2 PCB Layout",IF(R238="","Not added",R238),IF(E238="S3 SI &amp; PI",IF(V238="","Not added",V238),IF(E238="S4 Bare-PCB Fab",IF(Z238="","Not added",Z238),IF(E238="S5 Assembly",IF(AD238="","Not added",AD238),IF(E238="S6 Bring-up",IF(AH238="","Not added",AH238),IF(AL238="","Not added",AL238)))))))))</f>
        <v/>
      </c>
      <c r="H238" s="32" t="str">
        <f aca="true">IF($C238="","",IF(OR(F238="Completed",F238="Cancelled"),"",IF(NOT(ISNUMBER(G238)),"No date set",IF(TODAY()&gt;G238,TODAY()-G238&amp;" days late",G238-TODAY()&amp;" days left"))))</f>
        <v/>
      </c>
      <c r="I238" s="31" t="str">
        <f aca="false">IF($C238="","",COUNTIF(M238,"Completed")+COUNTIF(Q238,"Completed")+COUNTIF(U238,"Completed")+COUNTIF(Y238,"Completed")+COUNTIF(AC238,"Completed")+COUNTIF(AG238,"Completed")+COUNTIF(AK238,"Completed"))</f>
        <v/>
      </c>
      <c r="J238" s="31" t="str">
        <f aca="false">IF($C238="","",7-(COUNTIF(M238,"NA")+COUNTIF(Q238,"NA")+COUNTIF(U238,"NA")+COUNTIF(Y238,"NA")+COUNTIF(AC238,"NA")+COUNTIF(AG238,"NA")+COUNTIF(AK238,"NA")))</f>
        <v/>
      </c>
      <c r="K238" s="34" t="str">
        <f aca="false">IFERROR(I238/J238,"")</f>
        <v/>
      </c>
      <c r="L238" s="29"/>
      <c r="M238" s="35"/>
      <c r="N238" s="36"/>
      <c r="O238" s="36"/>
      <c r="P238" s="29"/>
      <c r="Q238" s="35"/>
      <c r="R238" s="36"/>
      <c r="S238" s="36"/>
      <c r="T238" s="29"/>
      <c r="U238" s="35"/>
      <c r="V238" s="36"/>
      <c r="W238" s="36"/>
      <c r="X238" s="29"/>
      <c r="Y238" s="35"/>
      <c r="Z238" s="36"/>
      <c r="AA238" s="36"/>
      <c r="AB238" s="29"/>
      <c r="AC238" s="35"/>
      <c r="AD238" s="36"/>
      <c r="AE238" s="36"/>
      <c r="AF238" s="29"/>
      <c r="AG238" s="35"/>
      <c r="AH238" s="36"/>
      <c r="AI238" s="36"/>
      <c r="AJ238" s="29"/>
      <c r="AK238" s="35"/>
      <c r="AL238" s="36"/>
      <c r="AM238" s="36"/>
      <c r="AN238" s="29"/>
      <c r="AO238" s="29"/>
      <c r="AP238" s="29"/>
      <c r="AQ238" s="37"/>
      <c r="AR238" s="29"/>
      <c r="AS238" s="38" t="str">
        <f aca="false">IF($C238="","",IF(OR(F238="Completed",F238="Cancelled"),"",IF(AND(OR(F238="On Hold",ISNUMBER(VALUE(LEFT(H238,2)))),AR238=""),"Reason not given","")))</f>
        <v/>
      </c>
      <c r="AT238" s="30"/>
      <c r="AU238" s="30"/>
    </row>
    <row r="239" customFormat="false" ht="19.5" hidden="false" customHeight="true" outlineLevel="0" collapsed="false">
      <c r="A239" s="28" t="str">
        <f aca="false">IF($C239="","",COUNTA($C$17:$C239))</f>
        <v/>
      </c>
      <c r="B239" s="29"/>
      <c r="C239" s="30"/>
      <c r="D239" s="29"/>
      <c r="E239" s="31" t="str">
        <f aca="false">IF($C239="","",IF(NOT(OR(M239="Completed",M239="NA",M239="Cancelled")),"S1 Schematic",IF(NOT(OR(Q239="Completed",Q239="NA",Q239="Cancelled")),"S2 PCB Layout",IF(NOT(OR(U239="Completed",U239="NA",U239="Cancelled")),"S3 SI &amp; PI",IF(NOT(OR(Y239="Completed",Y239="NA",Y239="Cancelled")),"S4 Bare-PCB Fab",IF(NOT(OR(AC239="Completed",AC239="NA",AC239="Cancelled")),"S5 Assembly",IF(NOT(OR(AG239="Completed",AG239="NA",AG239="Cancelled")),"S6 Bring-up",IF(NOT(OR(AK239="Completed",AK239="NA",AK239="Cancelled")),"S7 BOM Procurement","All Stages Closed"))))))))</f>
        <v/>
      </c>
      <c r="F239" s="32" t="str">
        <f aca="false">IF($C239="","",IF(COUNTIF(M239,"Cancelled")+COUNTIF(Q239,"Cancelled")+COUNTIF(U239,"Cancelled")+COUNTIF(Y239,"Cancelled")+COUNTIF(AC239,"Cancelled")+COUNTIF(AG239,"Cancelled")+COUNTIF(AK239,"Cancelled")&gt;0,"Cancelled",IF(E239="All Stages Closed","Completed",IF(E239="S1 Schematic",M239,IF(E239="S2 PCB Layout",Q239,IF(E239="S3 SI &amp; PI",U239,IF(E239="S4 Bare-PCB Fab",Y239,IF(E239="S5 Assembly",AC239,IF(E239="S6 Bring-up",AG239,AK239)))))))))</f>
        <v/>
      </c>
      <c r="G239" s="33" t="str">
        <f aca="false">IF($C239="","",IF(E239="All Stages Closed","",IF(E239="S1 Schematic",IF(N239="","Not added",N239),IF(E239="S2 PCB Layout",IF(R239="","Not added",R239),IF(E239="S3 SI &amp; PI",IF(V239="","Not added",V239),IF(E239="S4 Bare-PCB Fab",IF(Z239="","Not added",Z239),IF(E239="S5 Assembly",IF(AD239="","Not added",AD239),IF(E239="S6 Bring-up",IF(AH239="","Not added",AH239),IF(AL239="","Not added",AL239)))))))))</f>
        <v/>
      </c>
      <c r="H239" s="32" t="str">
        <f aca="true">IF($C239="","",IF(OR(F239="Completed",F239="Cancelled"),"",IF(NOT(ISNUMBER(G239)),"No date set",IF(TODAY()&gt;G239,TODAY()-G239&amp;" days late",G239-TODAY()&amp;" days left"))))</f>
        <v/>
      </c>
      <c r="I239" s="31" t="str">
        <f aca="false">IF($C239="","",COUNTIF(M239,"Completed")+COUNTIF(Q239,"Completed")+COUNTIF(U239,"Completed")+COUNTIF(Y239,"Completed")+COUNTIF(AC239,"Completed")+COUNTIF(AG239,"Completed")+COUNTIF(AK239,"Completed"))</f>
        <v/>
      </c>
      <c r="J239" s="31" t="str">
        <f aca="false">IF($C239="","",7-(COUNTIF(M239,"NA")+COUNTIF(Q239,"NA")+COUNTIF(U239,"NA")+COUNTIF(Y239,"NA")+COUNTIF(AC239,"NA")+COUNTIF(AG239,"NA")+COUNTIF(AK239,"NA")))</f>
        <v/>
      </c>
      <c r="K239" s="34" t="str">
        <f aca="false">IFERROR(I239/J239,"")</f>
        <v/>
      </c>
      <c r="L239" s="29"/>
      <c r="M239" s="35"/>
      <c r="N239" s="36"/>
      <c r="O239" s="36"/>
      <c r="P239" s="29"/>
      <c r="Q239" s="35"/>
      <c r="R239" s="36"/>
      <c r="S239" s="36"/>
      <c r="T239" s="29"/>
      <c r="U239" s="35"/>
      <c r="V239" s="36"/>
      <c r="W239" s="36"/>
      <c r="X239" s="29"/>
      <c r="Y239" s="35"/>
      <c r="Z239" s="36"/>
      <c r="AA239" s="36"/>
      <c r="AB239" s="29"/>
      <c r="AC239" s="35"/>
      <c r="AD239" s="36"/>
      <c r="AE239" s="36"/>
      <c r="AF239" s="29"/>
      <c r="AG239" s="35"/>
      <c r="AH239" s="36"/>
      <c r="AI239" s="36"/>
      <c r="AJ239" s="29"/>
      <c r="AK239" s="35"/>
      <c r="AL239" s="36"/>
      <c r="AM239" s="36"/>
      <c r="AN239" s="29"/>
      <c r="AO239" s="29"/>
      <c r="AP239" s="29"/>
      <c r="AQ239" s="37"/>
      <c r="AR239" s="29"/>
      <c r="AS239" s="38" t="str">
        <f aca="false">IF($C239="","",IF(OR(F239="Completed",F239="Cancelled"),"",IF(AND(OR(F239="On Hold",ISNUMBER(VALUE(LEFT(H239,2)))),AR239=""),"Reason not given","")))</f>
        <v/>
      </c>
      <c r="AT239" s="30"/>
      <c r="AU239" s="30"/>
    </row>
    <row r="240" customFormat="false" ht="19.5" hidden="false" customHeight="true" outlineLevel="0" collapsed="false">
      <c r="A240" s="28" t="str">
        <f aca="false">IF($C240="","",COUNTA($C$17:$C240))</f>
        <v/>
      </c>
      <c r="B240" s="29"/>
      <c r="C240" s="30"/>
      <c r="D240" s="29"/>
      <c r="E240" s="31" t="str">
        <f aca="false">IF($C240="","",IF(NOT(OR(M240="Completed",M240="NA",M240="Cancelled")),"S1 Schematic",IF(NOT(OR(Q240="Completed",Q240="NA",Q240="Cancelled")),"S2 PCB Layout",IF(NOT(OR(U240="Completed",U240="NA",U240="Cancelled")),"S3 SI &amp; PI",IF(NOT(OR(Y240="Completed",Y240="NA",Y240="Cancelled")),"S4 Bare-PCB Fab",IF(NOT(OR(AC240="Completed",AC240="NA",AC240="Cancelled")),"S5 Assembly",IF(NOT(OR(AG240="Completed",AG240="NA",AG240="Cancelled")),"S6 Bring-up",IF(NOT(OR(AK240="Completed",AK240="NA",AK240="Cancelled")),"S7 BOM Procurement","All Stages Closed"))))))))</f>
        <v/>
      </c>
      <c r="F240" s="32" t="str">
        <f aca="false">IF($C240="","",IF(COUNTIF(M240,"Cancelled")+COUNTIF(Q240,"Cancelled")+COUNTIF(U240,"Cancelled")+COUNTIF(Y240,"Cancelled")+COUNTIF(AC240,"Cancelled")+COUNTIF(AG240,"Cancelled")+COUNTIF(AK240,"Cancelled")&gt;0,"Cancelled",IF(E240="All Stages Closed","Completed",IF(E240="S1 Schematic",M240,IF(E240="S2 PCB Layout",Q240,IF(E240="S3 SI &amp; PI",U240,IF(E240="S4 Bare-PCB Fab",Y240,IF(E240="S5 Assembly",AC240,IF(E240="S6 Bring-up",AG240,AK240)))))))))</f>
        <v/>
      </c>
      <c r="G240" s="33" t="str">
        <f aca="false">IF($C240="","",IF(E240="All Stages Closed","",IF(E240="S1 Schematic",IF(N240="","Not added",N240),IF(E240="S2 PCB Layout",IF(R240="","Not added",R240),IF(E240="S3 SI &amp; PI",IF(V240="","Not added",V240),IF(E240="S4 Bare-PCB Fab",IF(Z240="","Not added",Z240),IF(E240="S5 Assembly",IF(AD240="","Not added",AD240),IF(E240="S6 Bring-up",IF(AH240="","Not added",AH240),IF(AL240="","Not added",AL240)))))))))</f>
        <v/>
      </c>
      <c r="H240" s="32" t="str">
        <f aca="true">IF($C240="","",IF(OR(F240="Completed",F240="Cancelled"),"",IF(NOT(ISNUMBER(G240)),"No date set",IF(TODAY()&gt;G240,TODAY()-G240&amp;" days late",G240-TODAY()&amp;" days left"))))</f>
        <v/>
      </c>
      <c r="I240" s="31" t="str">
        <f aca="false">IF($C240="","",COUNTIF(M240,"Completed")+COUNTIF(Q240,"Completed")+COUNTIF(U240,"Completed")+COUNTIF(Y240,"Completed")+COUNTIF(AC240,"Completed")+COUNTIF(AG240,"Completed")+COUNTIF(AK240,"Completed"))</f>
        <v/>
      </c>
      <c r="J240" s="31" t="str">
        <f aca="false">IF($C240="","",7-(COUNTIF(M240,"NA")+COUNTIF(Q240,"NA")+COUNTIF(U240,"NA")+COUNTIF(Y240,"NA")+COUNTIF(AC240,"NA")+COUNTIF(AG240,"NA")+COUNTIF(AK240,"NA")))</f>
        <v/>
      </c>
      <c r="K240" s="34" t="str">
        <f aca="false">IFERROR(I240/J240,"")</f>
        <v/>
      </c>
      <c r="L240" s="29"/>
      <c r="M240" s="35"/>
      <c r="N240" s="36"/>
      <c r="O240" s="36"/>
      <c r="P240" s="29"/>
      <c r="Q240" s="35"/>
      <c r="R240" s="36"/>
      <c r="S240" s="36"/>
      <c r="T240" s="29"/>
      <c r="U240" s="35"/>
      <c r="V240" s="36"/>
      <c r="W240" s="36"/>
      <c r="X240" s="29"/>
      <c r="Y240" s="35"/>
      <c r="Z240" s="36"/>
      <c r="AA240" s="36"/>
      <c r="AB240" s="29"/>
      <c r="AC240" s="35"/>
      <c r="AD240" s="36"/>
      <c r="AE240" s="36"/>
      <c r="AF240" s="29"/>
      <c r="AG240" s="35"/>
      <c r="AH240" s="36"/>
      <c r="AI240" s="36"/>
      <c r="AJ240" s="29"/>
      <c r="AK240" s="35"/>
      <c r="AL240" s="36"/>
      <c r="AM240" s="36"/>
      <c r="AN240" s="29"/>
      <c r="AO240" s="29"/>
      <c r="AP240" s="29"/>
      <c r="AQ240" s="37"/>
      <c r="AR240" s="29"/>
      <c r="AS240" s="38" t="str">
        <f aca="false">IF($C240="","",IF(OR(F240="Completed",F240="Cancelled"),"",IF(AND(OR(F240="On Hold",ISNUMBER(VALUE(LEFT(H240,2)))),AR240=""),"Reason not given","")))</f>
        <v/>
      </c>
      <c r="AT240" s="30"/>
      <c r="AU240" s="30"/>
    </row>
    <row r="241" customFormat="false" ht="19.5" hidden="false" customHeight="true" outlineLevel="0" collapsed="false">
      <c r="A241" s="28" t="str">
        <f aca="false">IF($C241="","",COUNTA($C$17:$C241))</f>
        <v/>
      </c>
      <c r="B241" s="29"/>
      <c r="C241" s="30"/>
      <c r="D241" s="29"/>
      <c r="E241" s="31" t="str">
        <f aca="false">IF($C241="","",IF(NOT(OR(M241="Completed",M241="NA",M241="Cancelled")),"S1 Schematic",IF(NOT(OR(Q241="Completed",Q241="NA",Q241="Cancelled")),"S2 PCB Layout",IF(NOT(OR(U241="Completed",U241="NA",U241="Cancelled")),"S3 SI &amp; PI",IF(NOT(OR(Y241="Completed",Y241="NA",Y241="Cancelled")),"S4 Bare-PCB Fab",IF(NOT(OR(AC241="Completed",AC241="NA",AC241="Cancelled")),"S5 Assembly",IF(NOT(OR(AG241="Completed",AG241="NA",AG241="Cancelled")),"S6 Bring-up",IF(NOT(OR(AK241="Completed",AK241="NA",AK241="Cancelled")),"S7 BOM Procurement","All Stages Closed"))))))))</f>
        <v/>
      </c>
      <c r="F241" s="32" t="str">
        <f aca="false">IF($C241="","",IF(COUNTIF(M241,"Cancelled")+COUNTIF(Q241,"Cancelled")+COUNTIF(U241,"Cancelled")+COUNTIF(Y241,"Cancelled")+COUNTIF(AC241,"Cancelled")+COUNTIF(AG241,"Cancelled")+COUNTIF(AK241,"Cancelled")&gt;0,"Cancelled",IF(E241="All Stages Closed","Completed",IF(E241="S1 Schematic",M241,IF(E241="S2 PCB Layout",Q241,IF(E241="S3 SI &amp; PI",U241,IF(E241="S4 Bare-PCB Fab",Y241,IF(E241="S5 Assembly",AC241,IF(E241="S6 Bring-up",AG241,AK241)))))))))</f>
        <v/>
      </c>
      <c r="G241" s="33" t="str">
        <f aca="false">IF($C241="","",IF(E241="All Stages Closed","",IF(E241="S1 Schematic",IF(N241="","Not added",N241),IF(E241="S2 PCB Layout",IF(R241="","Not added",R241),IF(E241="S3 SI &amp; PI",IF(V241="","Not added",V241),IF(E241="S4 Bare-PCB Fab",IF(Z241="","Not added",Z241),IF(E241="S5 Assembly",IF(AD241="","Not added",AD241),IF(E241="S6 Bring-up",IF(AH241="","Not added",AH241),IF(AL241="","Not added",AL241)))))))))</f>
        <v/>
      </c>
      <c r="H241" s="32" t="str">
        <f aca="true">IF($C241="","",IF(OR(F241="Completed",F241="Cancelled"),"",IF(NOT(ISNUMBER(G241)),"No date set",IF(TODAY()&gt;G241,TODAY()-G241&amp;" days late",G241-TODAY()&amp;" days left"))))</f>
        <v/>
      </c>
      <c r="I241" s="31" t="str">
        <f aca="false">IF($C241="","",COUNTIF(M241,"Completed")+COUNTIF(Q241,"Completed")+COUNTIF(U241,"Completed")+COUNTIF(Y241,"Completed")+COUNTIF(AC241,"Completed")+COUNTIF(AG241,"Completed")+COUNTIF(AK241,"Completed"))</f>
        <v/>
      </c>
      <c r="J241" s="31" t="str">
        <f aca="false">IF($C241="","",7-(COUNTIF(M241,"NA")+COUNTIF(Q241,"NA")+COUNTIF(U241,"NA")+COUNTIF(Y241,"NA")+COUNTIF(AC241,"NA")+COUNTIF(AG241,"NA")+COUNTIF(AK241,"NA")))</f>
        <v/>
      </c>
      <c r="K241" s="34" t="str">
        <f aca="false">IFERROR(I241/J241,"")</f>
        <v/>
      </c>
      <c r="L241" s="29"/>
      <c r="M241" s="35"/>
      <c r="N241" s="36"/>
      <c r="O241" s="36"/>
      <c r="P241" s="29"/>
      <c r="Q241" s="35"/>
      <c r="R241" s="36"/>
      <c r="S241" s="36"/>
      <c r="T241" s="29"/>
      <c r="U241" s="35"/>
      <c r="V241" s="36"/>
      <c r="W241" s="36"/>
      <c r="X241" s="29"/>
      <c r="Y241" s="35"/>
      <c r="Z241" s="36"/>
      <c r="AA241" s="36"/>
      <c r="AB241" s="29"/>
      <c r="AC241" s="35"/>
      <c r="AD241" s="36"/>
      <c r="AE241" s="36"/>
      <c r="AF241" s="29"/>
      <c r="AG241" s="35"/>
      <c r="AH241" s="36"/>
      <c r="AI241" s="36"/>
      <c r="AJ241" s="29"/>
      <c r="AK241" s="35"/>
      <c r="AL241" s="36"/>
      <c r="AM241" s="36"/>
      <c r="AN241" s="29"/>
      <c r="AO241" s="29"/>
      <c r="AP241" s="29"/>
      <c r="AQ241" s="37"/>
      <c r="AR241" s="29"/>
      <c r="AS241" s="38" t="str">
        <f aca="false">IF($C241="","",IF(OR(F241="Completed",F241="Cancelled"),"",IF(AND(OR(F241="On Hold",ISNUMBER(VALUE(LEFT(H241,2)))),AR241=""),"Reason not given","")))</f>
        <v/>
      </c>
      <c r="AT241" s="30"/>
      <c r="AU241" s="30"/>
    </row>
    <row r="242" customFormat="false" ht="19.5" hidden="false" customHeight="true" outlineLevel="0" collapsed="false">
      <c r="A242" s="28" t="str">
        <f aca="false">IF($C242="","",COUNTA($C$17:$C242))</f>
        <v/>
      </c>
      <c r="B242" s="29"/>
      <c r="C242" s="30"/>
      <c r="D242" s="29"/>
      <c r="E242" s="31" t="str">
        <f aca="false">IF($C242="","",IF(NOT(OR(M242="Completed",M242="NA",M242="Cancelled")),"S1 Schematic",IF(NOT(OR(Q242="Completed",Q242="NA",Q242="Cancelled")),"S2 PCB Layout",IF(NOT(OR(U242="Completed",U242="NA",U242="Cancelled")),"S3 SI &amp; PI",IF(NOT(OR(Y242="Completed",Y242="NA",Y242="Cancelled")),"S4 Bare-PCB Fab",IF(NOT(OR(AC242="Completed",AC242="NA",AC242="Cancelled")),"S5 Assembly",IF(NOT(OR(AG242="Completed",AG242="NA",AG242="Cancelled")),"S6 Bring-up",IF(NOT(OR(AK242="Completed",AK242="NA",AK242="Cancelled")),"S7 BOM Procurement","All Stages Closed"))))))))</f>
        <v/>
      </c>
      <c r="F242" s="32" t="str">
        <f aca="false">IF($C242="","",IF(COUNTIF(M242,"Cancelled")+COUNTIF(Q242,"Cancelled")+COUNTIF(U242,"Cancelled")+COUNTIF(Y242,"Cancelled")+COUNTIF(AC242,"Cancelled")+COUNTIF(AG242,"Cancelled")+COUNTIF(AK242,"Cancelled")&gt;0,"Cancelled",IF(E242="All Stages Closed","Completed",IF(E242="S1 Schematic",M242,IF(E242="S2 PCB Layout",Q242,IF(E242="S3 SI &amp; PI",U242,IF(E242="S4 Bare-PCB Fab",Y242,IF(E242="S5 Assembly",AC242,IF(E242="S6 Bring-up",AG242,AK242)))))))))</f>
        <v/>
      </c>
      <c r="G242" s="33" t="str">
        <f aca="false">IF($C242="","",IF(E242="All Stages Closed","",IF(E242="S1 Schematic",IF(N242="","Not added",N242),IF(E242="S2 PCB Layout",IF(R242="","Not added",R242),IF(E242="S3 SI &amp; PI",IF(V242="","Not added",V242),IF(E242="S4 Bare-PCB Fab",IF(Z242="","Not added",Z242),IF(E242="S5 Assembly",IF(AD242="","Not added",AD242),IF(E242="S6 Bring-up",IF(AH242="","Not added",AH242),IF(AL242="","Not added",AL242)))))))))</f>
        <v/>
      </c>
      <c r="H242" s="32" t="str">
        <f aca="true">IF($C242="","",IF(OR(F242="Completed",F242="Cancelled"),"",IF(NOT(ISNUMBER(G242)),"No date set",IF(TODAY()&gt;G242,TODAY()-G242&amp;" days late",G242-TODAY()&amp;" days left"))))</f>
        <v/>
      </c>
      <c r="I242" s="31" t="str">
        <f aca="false">IF($C242="","",COUNTIF(M242,"Completed")+COUNTIF(Q242,"Completed")+COUNTIF(U242,"Completed")+COUNTIF(Y242,"Completed")+COUNTIF(AC242,"Completed")+COUNTIF(AG242,"Completed")+COUNTIF(AK242,"Completed"))</f>
        <v/>
      </c>
      <c r="J242" s="31" t="str">
        <f aca="false">IF($C242="","",7-(COUNTIF(M242,"NA")+COUNTIF(Q242,"NA")+COUNTIF(U242,"NA")+COUNTIF(Y242,"NA")+COUNTIF(AC242,"NA")+COUNTIF(AG242,"NA")+COUNTIF(AK242,"NA")))</f>
        <v/>
      </c>
      <c r="K242" s="34" t="str">
        <f aca="false">IFERROR(I242/J242,"")</f>
        <v/>
      </c>
      <c r="L242" s="29"/>
      <c r="M242" s="35"/>
      <c r="N242" s="36"/>
      <c r="O242" s="36"/>
      <c r="P242" s="29"/>
      <c r="Q242" s="35"/>
      <c r="R242" s="36"/>
      <c r="S242" s="36"/>
      <c r="T242" s="29"/>
      <c r="U242" s="35"/>
      <c r="V242" s="36"/>
      <c r="W242" s="36"/>
      <c r="X242" s="29"/>
      <c r="Y242" s="35"/>
      <c r="Z242" s="36"/>
      <c r="AA242" s="36"/>
      <c r="AB242" s="29"/>
      <c r="AC242" s="35"/>
      <c r="AD242" s="36"/>
      <c r="AE242" s="36"/>
      <c r="AF242" s="29"/>
      <c r="AG242" s="35"/>
      <c r="AH242" s="36"/>
      <c r="AI242" s="36"/>
      <c r="AJ242" s="29"/>
      <c r="AK242" s="35"/>
      <c r="AL242" s="36"/>
      <c r="AM242" s="36"/>
      <c r="AN242" s="29"/>
      <c r="AO242" s="29"/>
      <c r="AP242" s="29"/>
      <c r="AQ242" s="37"/>
      <c r="AR242" s="29"/>
      <c r="AS242" s="38" t="str">
        <f aca="false">IF($C242="","",IF(OR(F242="Completed",F242="Cancelled"),"",IF(AND(OR(F242="On Hold",ISNUMBER(VALUE(LEFT(H242,2)))),AR242=""),"Reason not given","")))</f>
        <v/>
      </c>
      <c r="AT242" s="30"/>
      <c r="AU242" s="30"/>
    </row>
    <row r="243" customFormat="false" ht="19.5" hidden="false" customHeight="true" outlineLevel="0" collapsed="false">
      <c r="A243" s="28" t="str">
        <f aca="false">IF($C243="","",COUNTA($C$17:$C243))</f>
        <v/>
      </c>
      <c r="B243" s="29"/>
      <c r="C243" s="30"/>
      <c r="D243" s="29"/>
      <c r="E243" s="31" t="str">
        <f aca="false">IF($C243="","",IF(NOT(OR(M243="Completed",M243="NA",M243="Cancelled")),"S1 Schematic",IF(NOT(OR(Q243="Completed",Q243="NA",Q243="Cancelled")),"S2 PCB Layout",IF(NOT(OR(U243="Completed",U243="NA",U243="Cancelled")),"S3 SI &amp; PI",IF(NOT(OR(Y243="Completed",Y243="NA",Y243="Cancelled")),"S4 Bare-PCB Fab",IF(NOT(OR(AC243="Completed",AC243="NA",AC243="Cancelled")),"S5 Assembly",IF(NOT(OR(AG243="Completed",AG243="NA",AG243="Cancelled")),"S6 Bring-up",IF(NOT(OR(AK243="Completed",AK243="NA",AK243="Cancelled")),"S7 BOM Procurement","All Stages Closed"))))))))</f>
        <v/>
      </c>
      <c r="F243" s="32" t="str">
        <f aca="false">IF($C243="","",IF(COUNTIF(M243,"Cancelled")+COUNTIF(Q243,"Cancelled")+COUNTIF(U243,"Cancelled")+COUNTIF(Y243,"Cancelled")+COUNTIF(AC243,"Cancelled")+COUNTIF(AG243,"Cancelled")+COUNTIF(AK243,"Cancelled")&gt;0,"Cancelled",IF(E243="All Stages Closed","Completed",IF(E243="S1 Schematic",M243,IF(E243="S2 PCB Layout",Q243,IF(E243="S3 SI &amp; PI",U243,IF(E243="S4 Bare-PCB Fab",Y243,IF(E243="S5 Assembly",AC243,IF(E243="S6 Bring-up",AG243,AK243)))))))))</f>
        <v/>
      </c>
      <c r="G243" s="33" t="str">
        <f aca="false">IF($C243="","",IF(E243="All Stages Closed","",IF(E243="S1 Schematic",IF(N243="","Not added",N243),IF(E243="S2 PCB Layout",IF(R243="","Not added",R243),IF(E243="S3 SI &amp; PI",IF(V243="","Not added",V243),IF(E243="S4 Bare-PCB Fab",IF(Z243="","Not added",Z243),IF(E243="S5 Assembly",IF(AD243="","Not added",AD243),IF(E243="S6 Bring-up",IF(AH243="","Not added",AH243),IF(AL243="","Not added",AL243)))))))))</f>
        <v/>
      </c>
      <c r="H243" s="32" t="str">
        <f aca="true">IF($C243="","",IF(OR(F243="Completed",F243="Cancelled"),"",IF(NOT(ISNUMBER(G243)),"No date set",IF(TODAY()&gt;G243,TODAY()-G243&amp;" days late",G243-TODAY()&amp;" days left"))))</f>
        <v/>
      </c>
      <c r="I243" s="31" t="str">
        <f aca="false">IF($C243="","",COUNTIF(M243,"Completed")+COUNTIF(Q243,"Completed")+COUNTIF(U243,"Completed")+COUNTIF(Y243,"Completed")+COUNTIF(AC243,"Completed")+COUNTIF(AG243,"Completed")+COUNTIF(AK243,"Completed"))</f>
        <v/>
      </c>
      <c r="J243" s="31" t="str">
        <f aca="false">IF($C243="","",7-(COUNTIF(M243,"NA")+COUNTIF(Q243,"NA")+COUNTIF(U243,"NA")+COUNTIF(Y243,"NA")+COUNTIF(AC243,"NA")+COUNTIF(AG243,"NA")+COUNTIF(AK243,"NA")))</f>
        <v/>
      </c>
      <c r="K243" s="34" t="str">
        <f aca="false">IFERROR(I243/J243,"")</f>
        <v/>
      </c>
      <c r="L243" s="29"/>
      <c r="M243" s="35"/>
      <c r="N243" s="36"/>
      <c r="O243" s="36"/>
      <c r="P243" s="29"/>
      <c r="Q243" s="35"/>
      <c r="R243" s="36"/>
      <c r="S243" s="36"/>
      <c r="T243" s="29"/>
      <c r="U243" s="35"/>
      <c r="V243" s="36"/>
      <c r="W243" s="36"/>
      <c r="X243" s="29"/>
      <c r="Y243" s="35"/>
      <c r="Z243" s="36"/>
      <c r="AA243" s="36"/>
      <c r="AB243" s="29"/>
      <c r="AC243" s="35"/>
      <c r="AD243" s="36"/>
      <c r="AE243" s="36"/>
      <c r="AF243" s="29"/>
      <c r="AG243" s="35"/>
      <c r="AH243" s="36"/>
      <c r="AI243" s="36"/>
      <c r="AJ243" s="29"/>
      <c r="AK243" s="35"/>
      <c r="AL243" s="36"/>
      <c r="AM243" s="36"/>
      <c r="AN243" s="29"/>
      <c r="AO243" s="29"/>
      <c r="AP243" s="29"/>
      <c r="AQ243" s="37"/>
      <c r="AR243" s="29"/>
      <c r="AS243" s="38" t="str">
        <f aca="false">IF($C243="","",IF(OR(F243="Completed",F243="Cancelled"),"",IF(AND(OR(F243="On Hold",ISNUMBER(VALUE(LEFT(H243,2)))),AR243=""),"Reason not given","")))</f>
        <v/>
      </c>
      <c r="AT243" s="30"/>
      <c r="AU243" s="30"/>
    </row>
    <row r="244" customFormat="false" ht="19.5" hidden="false" customHeight="true" outlineLevel="0" collapsed="false">
      <c r="A244" s="28" t="str">
        <f aca="false">IF($C244="","",COUNTA($C$17:$C244))</f>
        <v/>
      </c>
      <c r="B244" s="29"/>
      <c r="C244" s="30"/>
      <c r="D244" s="29"/>
      <c r="E244" s="31" t="str">
        <f aca="false">IF($C244="","",IF(NOT(OR(M244="Completed",M244="NA",M244="Cancelled")),"S1 Schematic",IF(NOT(OR(Q244="Completed",Q244="NA",Q244="Cancelled")),"S2 PCB Layout",IF(NOT(OR(U244="Completed",U244="NA",U244="Cancelled")),"S3 SI &amp; PI",IF(NOT(OR(Y244="Completed",Y244="NA",Y244="Cancelled")),"S4 Bare-PCB Fab",IF(NOT(OR(AC244="Completed",AC244="NA",AC244="Cancelled")),"S5 Assembly",IF(NOT(OR(AG244="Completed",AG244="NA",AG244="Cancelled")),"S6 Bring-up",IF(NOT(OR(AK244="Completed",AK244="NA",AK244="Cancelled")),"S7 BOM Procurement","All Stages Closed"))))))))</f>
        <v/>
      </c>
      <c r="F244" s="32" t="str">
        <f aca="false">IF($C244="","",IF(COUNTIF(M244,"Cancelled")+COUNTIF(Q244,"Cancelled")+COUNTIF(U244,"Cancelled")+COUNTIF(Y244,"Cancelled")+COUNTIF(AC244,"Cancelled")+COUNTIF(AG244,"Cancelled")+COUNTIF(AK244,"Cancelled")&gt;0,"Cancelled",IF(E244="All Stages Closed","Completed",IF(E244="S1 Schematic",M244,IF(E244="S2 PCB Layout",Q244,IF(E244="S3 SI &amp; PI",U244,IF(E244="S4 Bare-PCB Fab",Y244,IF(E244="S5 Assembly",AC244,IF(E244="S6 Bring-up",AG244,AK244)))))))))</f>
        <v/>
      </c>
      <c r="G244" s="33" t="str">
        <f aca="false">IF($C244="","",IF(E244="All Stages Closed","",IF(E244="S1 Schematic",IF(N244="","Not added",N244),IF(E244="S2 PCB Layout",IF(R244="","Not added",R244),IF(E244="S3 SI &amp; PI",IF(V244="","Not added",V244),IF(E244="S4 Bare-PCB Fab",IF(Z244="","Not added",Z244),IF(E244="S5 Assembly",IF(AD244="","Not added",AD244),IF(E244="S6 Bring-up",IF(AH244="","Not added",AH244),IF(AL244="","Not added",AL244)))))))))</f>
        <v/>
      </c>
      <c r="H244" s="32" t="str">
        <f aca="true">IF($C244="","",IF(OR(F244="Completed",F244="Cancelled"),"",IF(NOT(ISNUMBER(G244)),"No date set",IF(TODAY()&gt;G244,TODAY()-G244&amp;" days late",G244-TODAY()&amp;" days left"))))</f>
        <v/>
      </c>
      <c r="I244" s="31" t="str">
        <f aca="false">IF($C244="","",COUNTIF(M244,"Completed")+COUNTIF(Q244,"Completed")+COUNTIF(U244,"Completed")+COUNTIF(Y244,"Completed")+COUNTIF(AC244,"Completed")+COUNTIF(AG244,"Completed")+COUNTIF(AK244,"Completed"))</f>
        <v/>
      </c>
      <c r="J244" s="31" t="str">
        <f aca="false">IF($C244="","",7-(COUNTIF(M244,"NA")+COUNTIF(Q244,"NA")+COUNTIF(U244,"NA")+COUNTIF(Y244,"NA")+COUNTIF(AC244,"NA")+COUNTIF(AG244,"NA")+COUNTIF(AK244,"NA")))</f>
        <v/>
      </c>
      <c r="K244" s="34" t="str">
        <f aca="false">IFERROR(I244/J244,"")</f>
        <v/>
      </c>
      <c r="L244" s="29"/>
      <c r="M244" s="35"/>
      <c r="N244" s="36"/>
      <c r="O244" s="36"/>
      <c r="P244" s="29"/>
      <c r="Q244" s="35"/>
      <c r="R244" s="36"/>
      <c r="S244" s="36"/>
      <c r="T244" s="29"/>
      <c r="U244" s="35"/>
      <c r="V244" s="36"/>
      <c r="W244" s="36"/>
      <c r="X244" s="29"/>
      <c r="Y244" s="35"/>
      <c r="Z244" s="36"/>
      <c r="AA244" s="36"/>
      <c r="AB244" s="29"/>
      <c r="AC244" s="35"/>
      <c r="AD244" s="36"/>
      <c r="AE244" s="36"/>
      <c r="AF244" s="29"/>
      <c r="AG244" s="35"/>
      <c r="AH244" s="36"/>
      <c r="AI244" s="36"/>
      <c r="AJ244" s="29"/>
      <c r="AK244" s="35"/>
      <c r="AL244" s="36"/>
      <c r="AM244" s="36"/>
      <c r="AN244" s="29"/>
      <c r="AO244" s="29"/>
      <c r="AP244" s="29"/>
      <c r="AQ244" s="37"/>
      <c r="AR244" s="29"/>
      <c r="AS244" s="38" t="str">
        <f aca="false">IF($C244="","",IF(OR(F244="Completed",F244="Cancelled"),"",IF(AND(OR(F244="On Hold",ISNUMBER(VALUE(LEFT(H244,2)))),AR244=""),"Reason not given","")))</f>
        <v/>
      </c>
      <c r="AT244" s="30"/>
      <c r="AU244" s="30"/>
    </row>
    <row r="245" customFormat="false" ht="19.5" hidden="false" customHeight="true" outlineLevel="0" collapsed="false">
      <c r="A245" s="28" t="str">
        <f aca="false">IF($C245="","",COUNTA($C$17:$C245))</f>
        <v/>
      </c>
      <c r="B245" s="29"/>
      <c r="C245" s="30"/>
      <c r="D245" s="29"/>
      <c r="E245" s="31" t="str">
        <f aca="false">IF($C245="","",IF(NOT(OR(M245="Completed",M245="NA",M245="Cancelled")),"S1 Schematic",IF(NOT(OR(Q245="Completed",Q245="NA",Q245="Cancelled")),"S2 PCB Layout",IF(NOT(OR(U245="Completed",U245="NA",U245="Cancelled")),"S3 SI &amp; PI",IF(NOT(OR(Y245="Completed",Y245="NA",Y245="Cancelled")),"S4 Bare-PCB Fab",IF(NOT(OR(AC245="Completed",AC245="NA",AC245="Cancelled")),"S5 Assembly",IF(NOT(OR(AG245="Completed",AG245="NA",AG245="Cancelled")),"S6 Bring-up",IF(NOT(OR(AK245="Completed",AK245="NA",AK245="Cancelled")),"S7 BOM Procurement","All Stages Closed"))))))))</f>
        <v/>
      </c>
      <c r="F245" s="32" t="str">
        <f aca="false">IF($C245="","",IF(COUNTIF(M245,"Cancelled")+COUNTIF(Q245,"Cancelled")+COUNTIF(U245,"Cancelled")+COUNTIF(Y245,"Cancelled")+COUNTIF(AC245,"Cancelled")+COUNTIF(AG245,"Cancelled")+COUNTIF(AK245,"Cancelled")&gt;0,"Cancelled",IF(E245="All Stages Closed","Completed",IF(E245="S1 Schematic",M245,IF(E245="S2 PCB Layout",Q245,IF(E245="S3 SI &amp; PI",U245,IF(E245="S4 Bare-PCB Fab",Y245,IF(E245="S5 Assembly",AC245,IF(E245="S6 Bring-up",AG245,AK245)))))))))</f>
        <v/>
      </c>
      <c r="G245" s="33" t="str">
        <f aca="false">IF($C245="","",IF(E245="All Stages Closed","",IF(E245="S1 Schematic",IF(N245="","Not added",N245),IF(E245="S2 PCB Layout",IF(R245="","Not added",R245),IF(E245="S3 SI &amp; PI",IF(V245="","Not added",V245),IF(E245="S4 Bare-PCB Fab",IF(Z245="","Not added",Z245),IF(E245="S5 Assembly",IF(AD245="","Not added",AD245),IF(E245="S6 Bring-up",IF(AH245="","Not added",AH245),IF(AL245="","Not added",AL245)))))))))</f>
        <v/>
      </c>
      <c r="H245" s="32" t="str">
        <f aca="true">IF($C245="","",IF(OR(F245="Completed",F245="Cancelled"),"",IF(NOT(ISNUMBER(G245)),"No date set",IF(TODAY()&gt;G245,TODAY()-G245&amp;" days late",G245-TODAY()&amp;" days left"))))</f>
        <v/>
      </c>
      <c r="I245" s="31" t="str">
        <f aca="false">IF($C245="","",COUNTIF(M245,"Completed")+COUNTIF(Q245,"Completed")+COUNTIF(U245,"Completed")+COUNTIF(Y245,"Completed")+COUNTIF(AC245,"Completed")+COUNTIF(AG245,"Completed")+COUNTIF(AK245,"Completed"))</f>
        <v/>
      </c>
      <c r="J245" s="31" t="str">
        <f aca="false">IF($C245="","",7-(COUNTIF(M245,"NA")+COUNTIF(Q245,"NA")+COUNTIF(U245,"NA")+COUNTIF(Y245,"NA")+COUNTIF(AC245,"NA")+COUNTIF(AG245,"NA")+COUNTIF(AK245,"NA")))</f>
        <v/>
      </c>
      <c r="K245" s="34" t="str">
        <f aca="false">IFERROR(I245/J245,"")</f>
        <v/>
      </c>
      <c r="L245" s="29"/>
      <c r="M245" s="35"/>
      <c r="N245" s="36"/>
      <c r="O245" s="36"/>
      <c r="P245" s="29"/>
      <c r="Q245" s="35"/>
      <c r="R245" s="36"/>
      <c r="S245" s="36"/>
      <c r="T245" s="29"/>
      <c r="U245" s="35"/>
      <c r="V245" s="36"/>
      <c r="W245" s="36"/>
      <c r="X245" s="29"/>
      <c r="Y245" s="35"/>
      <c r="Z245" s="36"/>
      <c r="AA245" s="36"/>
      <c r="AB245" s="29"/>
      <c r="AC245" s="35"/>
      <c r="AD245" s="36"/>
      <c r="AE245" s="36"/>
      <c r="AF245" s="29"/>
      <c r="AG245" s="35"/>
      <c r="AH245" s="36"/>
      <c r="AI245" s="36"/>
      <c r="AJ245" s="29"/>
      <c r="AK245" s="35"/>
      <c r="AL245" s="36"/>
      <c r="AM245" s="36"/>
      <c r="AN245" s="29"/>
      <c r="AO245" s="29"/>
      <c r="AP245" s="29"/>
      <c r="AQ245" s="37"/>
      <c r="AR245" s="29"/>
      <c r="AS245" s="38" t="str">
        <f aca="false">IF($C245="","",IF(OR(F245="Completed",F245="Cancelled"),"",IF(AND(OR(F245="On Hold",ISNUMBER(VALUE(LEFT(H245,2)))),AR245=""),"Reason not given","")))</f>
        <v/>
      </c>
      <c r="AT245" s="30"/>
      <c r="AU245" s="30"/>
    </row>
    <row r="246" customFormat="false" ht="19.5" hidden="false" customHeight="true" outlineLevel="0" collapsed="false">
      <c r="A246" s="28" t="str">
        <f aca="false">IF($C246="","",COUNTA($C$17:$C246))</f>
        <v/>
      </c>
      <c r="B246" s="29"/>
      <c r="C246" s="30"/>
      <c r="D246" s="29"/>
      <c r="E246" s="31" t="str">
        <f aca="false">IF($C246="","",IF(NOT(OR(M246="Completed",M246="NA",M246="Cancelled")),"S1 Schematic",IF(NOT(OR(Q246="Completed",Q246="NA",Q246="Cancelled")),"S2 PCB Layout",IF(NOT(OR(U246="Completed",U246="NA",U246="Cancelled")),"S3 SI &amp; PI",IF(NOT(OR(Y246="Completed",Y246="NA",Y246="Cancelled")),"S4 Bare-PCB Fab",IF(NOT(OR(AC246="Completed",AC246="NA",AC246="Cancelled")),"S5 Assembly",IF(NOT(OR(AG246="Completed",AG246="NA",AG246="Cancelled")),"S6 Bring-up",IF(NOT(OR(AK246="Completed",AK246="NA",AK246="Cancelled")),"S7 BOM Procurement","All Stages Closed"))))))))</f>
        <v/>
      </c>
      <c r="F246" s="32" t="str">
        <f aca="false">IF($C246="","",IF(COUNTIF(M246,"Cancelled")+COUNTIF(Q246,"Cancelled")+COUNTIF(U246,"Cancelled")+COUNTIF(Y246,"Cancelled")+COUNTIF(AC246,"Cancelled")+COUNTIF(AG246,"Cancelled")+COUNTIF(AK246,"Cancelled")&gt;0,"Cancelled",IF(E246="All Stages Closed","Completed",IF(E246="S1 Schematic",M246,IF(E246="S2 PCB Layout",Q246,IF(E246="S3 SI &amp; PI",U246,IF(E246="S4 Bare-PCB Fab",Y246,IF(E246="S5 Assembly",AC246,IF(E246="S6 Bring-up",AG246,AK246)))))))))</f>
        <v/>
      </c>
      <c r="G246" s="33" t="str">
        <f aca="false">IF($C246="","",IF(E246="All Stages Closed","",IF(E246="S1 Schematic",IF(N246="","Not added",N246),IF(E246="S2 PCB Layout",IF(R246="","Not added",R246),IF(E246="S3 SI &amp; PI",IF(V246="","Not added",V246),IF(E246="S4 Bare-PCB Fab",IF(Z246="","Not added",Z246),IF(E246="S5 Assembly",IF(AD246="","Not added",AD246),IF(E246="S6 Bring-up",IF(AH246="","Not added",AH246),IF(AL246="","Not added",AL246)))))))))</f>
        <v/>
      </c>
      <c r="H246" s="32" t="str">
        <f aca="true">IF($C246="","",IF(OR(F246="Completed",F246="Cancelled"),"",IF(NOT(ISNUMBER(G246)),"No date set",IF(TODAY()&gt;G246,TODAY()-G246&amp;" days late",G246-TODAY()&amp;" days left"))))</f>
        <v/>
      </c>
      <c r="I246" s="31" t="str">
        <f aca="false">IF($C246="","",COUNTIF(M246,"Completed")+COUNTIF(Q246,"Completed")+COUNTIF(U246,"Completed")+COUNTIF(Y246,"Completed")+COUNTIF(AC246,"Completed")+COUNTIF(AG246,"Completed")+COUNTIF(AK246,"Completed"))</f>
        <v/>
      </c>
      <c r="J246" s="31" t="str">
        <f aca="false">IF($C246="","",7-(COUNTIF(M246,"NA")+COUNTIF(Q246,"NA")+COUNTIF(U246,"NA")+COUNTIF(Y246,"NA")+COUNTIF(AC246,"NA")+COUNTIF(AG246,"NA")+COUNTIF(AK246,"NA")))</f>
        <v/>
      </c>
      <c r="K246" s="34" t="str">
        <f aca="false">IFERROR(I246/J246,"")</f>
        <v/>
      </c>
      <c r="L246" s="29"/>
      <c r="M246" s="35"/>
      <c r="N246" s="36"/>
      <c r="O246" s="36"/>
      <c r="P246" s="29"/>
      <c r="Q246" s="35"/>
      <c r="R246" s="36"/>
      <c r="S246" s="36"/>
      <c r="T246" s="29"/>
      <c r="U246" s="35"/>
      <c r="V246" s="36"/>
      <c r="W246" s="36"/>
      <c r="X246" s="29"/>
      <c r="Y246" s="35"/>
      <c r="Z246" s="36"/>
      <c r="AA246" s="36"/>
      <c r="AB246" s="29"/>
      <c r="AC246" s="35"/>
      <c r="AD246" s="36"/>
      <c r="AE246" s="36"/>
      <c r="AF246" s="29"/>
      <c r="AG246" s="35"/>
      <c r="AH246" s="36"/>
      <c r="AI246" s="36"/>
      <c r="AJ246" s="29"/>
      <c r="AK246" s="35"/>
      <c r="AL246" s="36"/>
      <c r="AM246" s="36"/>
      <c r="AN246" s="29"/>
      <c r="AO246" s="29"/>
      <c r="AP246" s="29"/>
      <c r="AQ246" s="37"/>
      <c r="AR246" s="29"/>
      <c r="AS246" s="38" t="str">
        <f aca="false">IF($C246="","",IF(OR(F246="Completed",F246="Cancelled"),"",IF(AND(OR(F246="On Hold",ISNUMBER(VALUE(LEFT(H246,2)))),AR246=""),"Reason not given","")))</f>
        <v/>
      </c>
      <c r="AT246" s="30"/>
      <c r="AU246" s="30"/>
    </row>
    <row r="247" customFormat="false" ht="19.5" hidden="false" customHeight="true" outlineLevel="0" collapsed="false">
      <c r="A247" s="28" t="str">
        <f aca="false">IF($C247="","",COUNTA($C$17:$C247))</f>
        <v/>
      </c>
      <c r="B247" s="29"/>
      <c r="C247" s="30"/>
      <c r="D247" s="29"/>
      <c r="E247" s="31" t="str">
        <f aca="false">IF($C247="","",IF(NOT(OR(M247="Completed",M247="NA",M247="Cancelled")),"S1 Schematic",IF(NOT(OR(Q247="Completed",Q247="NA",Q247="Cancelled")),"S2 PCB Layout",IF(NOT(OR(U247="Completed",U247="NA",U247="Cancelled")),"S3 SI &amp; PI",IF(NOT(OR(Y247="Completed",Y247="NA",Y247="Cancelled")),"S4 Bare-PCB Fab",IF(NOT(OR(AC247="Completed",AC247="NA",AC247="Cancelled")),"S5 Assembly",IF(NOT(OR(AG247="Completed",AG247="NA",AG247="Cancelled")),"S6 Bring-up",IF(NOT(OR(AK247="Completed",AK247="NA",AK247="Cancelled")),"S7 BOM Procurement","All Stages Closed"))))))))</f>
        <v/>
      </c>
      <c r="F247" s="32" t="str">
        <f aca="false">IF($C247="","",IF(COUNTIF(M247,"Cancelled")+COUNTIF(Q247,"Cancelled")+COUNTIF(U247,"Cancelled")+COUNTIF(Y247,"Cancelled")+COUNTIF(AC247,"Cancelled")+COUNTIF(AG247,"Cancelled")+COUNTIF(AK247,"Cancelled")&gt;0,"Cancelled",IF(E247="All Stages Closed","Completed",IF(E247="S1 Schematic",M247,IF(E247="S2 PCB Layout",Q247,IF(E247="S3 SI &amp; PI",U247,IF(E247="S4 Bare-PCB Fab",Y247,IF(E247="S5 Assembly",AC247,IF(E247="S6 Bring-up",AG247,AK247)))))))))</f>
        <v/>
      </c>
      <c r="G247" s="33" t="str">
        <f aca="false">IF($C247="","",IF(E247="All Stages Closed","",IF(E247="S1 Schematic",IF(N247="","Not added",N247),IF(E247="S2 PCB Layout",IF(R247="","Not added",R247),IF(E247="S3 SI &amp; PI",IF(V247="","Not added",V247),IF(E247="S4 Bare-PCB Fab",IF(Z247="","Not added",Z247),IF(E247="S5 Assembly",IF(AD247="","Not added",AD247),IF(E247="S6 Bring-up",IF(AH247="","Not added",AH247),IF(AL247="","Not added",AL247)))))))))</f>
        <v/>
      </c>
      <c r="H247" s="32" t="str">
        <f aca="true">IF($C247="","",IF(OR(F247="Completed",F247="Cancelled"),"",IF(NOT(ISNUMBER(G247)),"No date set",IF(TODAY()&gt;G247,TODAY()-G247&amp;" days late",G247-TODAY()&amp;" days left"))))</f>
        <v/>
      </c>
      <c r="I247" s="31" t="str">
        <f aca="false">IF($C247="","",COUNTIF(M247,"Completed")+COUNTIF(Q247,"Completed")+COUNTIF(U247,"Completed")+COUNTIF(Y247,"Completed")+COUNTIF(AC247,"Completed")+COUNTIF(AG247,"Completed")+COUNTIF(AK247,"Completed"))</f>
        <v/>
      </c>
      <c r="J247" s="31" t="str">
        <f aca="false">IF($C247="","",7-(COUNTIF(M247,"NA")+COUNTIF(Q247,"NA")+COUNTIF(U247,"NA")+COUNTIF(Y247,"NA")+COUNTIF(AC247,"NA")+COUNTIF(AG247,"NA")+COUNTIF(AK247,"NA")))</f>
        <v/>
      </c>
      <c r="K247" s="34" t="str">
        <f aca="false">IFERROR(I247/J247,"")</f>
        <v/>
      </c>
      <c r="L247" s="29"/>
      <c r="M247" s="35"/>
      <c r="N247" s="36"/>
      <c r="O247" s="36"/>
      <c r="P247" s="29"/>
      <c r="Q247" s="35"/>
      <c r="R247" s="36"/>
      <c r="S247" s="36"/>
      <c r="T247" s="29"/>
      <c r="U247" s="35"/>
      <c r="V247" s="36"/>
      <c r="W247" s="36"/>
      <c r="X247" s="29"/>
      <c r="Y247" s="35"/>
      <c r="Z247" s="36"/>
      <c r="AA247" s="36"/>
      <c r="AB247" s="29"/>
      <c r="AC247" s="35"/>
      <c r="AD247" s="36"/>
      <c r="AE247" s="36"/>
      <c r="AF247" s="29"/>
      <c r="AG247" s="35"/>
      <c r="AH247" s="36"/>
      <c r="AI247" s="36"/>
      <c r="AJ247" s="29"/>
      <c r="AK247" s="35"/>
      <c r="AL247" s="36"/>
      <c r="AM247" s="36"/>
      <c r="AN247" s="29"/>
      <c r="AO247" s="29"/>
      <c r="AP247" s="29"/>
      <c r="AQ247" s="37"/>
      <c r="AR247" s="29"/>
      <c r="AS247" s="38" t="str">
        <f aca="false">IF($C247="","",IF(OR(F247="Completed",F247="Cancelled"),"",IF(AND(OR(F247="On Hold",ISNUMBER(VALUE(LEFT(H247,2)))),AR247=""),"Reason not given","")))</f>
        <v/>
      </c>
      <c r="AT247" s="30"/>
      <c r="AU247" s="30"/>
    </row>
    <row r="248" customFormat="false" ht="19.5" hidden="false" customHeight="true" outlineLevel="0" collapsed="false">
      <c r="A248" s="28" t="str">
        <f aca="false">IF($C248="","",COUNTA($C$17:$C248))</f>
        <v/>
      </c>
      <c r="B248" s="29"/>
      <c r="C248" s="30"/>
      <c r="D248" s="29"/>
      <c r="E248" s="31" t="str">
        <f aca="false">IF($C248="","",IF(NOT(OR(M248="Completed",M248="NA",M248="Cancelled")),"S1 Schematic",IF(NOT(OR(Q248="Completed",Q248="NA",Q248="Cancelled")),"S2 PCB Layout",IF(NOT(OR(U248="Completed",U248="NA",U248="Cancelled")),"S3 SI &amp; PI",IF(NOT(OR(Y248="Completed",Y248="NA",Y248="Cancelled")),"S4 Bare-PCB Fab",IF(NOT(OR(AC248="Completed",AC248="NA",AC248="Cancelled")),"S5 Assembly",IF(NOT(OR(AG248="Completed",AG248="NA",AG248="Cancelled")),"S6 Bring-up",IF(NOT(OR(AK248="Completed",AK248="NA",AK248="Cancelled")),"S7 BOM Procurement","All Stages Closed"))))))))</f>
        <v/>
      </c>
      <c r="F248" s="32" t="str">
        <f aca="false">IF($C248="","",IF(COUNTIF(M248,"Cancelled")+COUNTIF(Q248,"Cancelled")+COUNTIF(U248,"Cancelled")+COUNTIF(Y248,"Cancelled")+COUNTIF(AC248,"Cancelled")+COUNTIF(AG248,"Cancelled")+COUNTIF(AK248,"Cancelled")&gt;0,"Cancelled",IF(E248="All Stages Closed","Completed",IF(E248="S1 Schematic",M248,IF(E248="S2 PCB Layout",Q248,IF(E248="S3 SI &amp; PI",U248,IF(E248="S4 Bare-PCB Fab",Y248,IF(E248="S5 Assembly",AC248,IF(E248="S6 Bring-up",AG248,AK248)))))))))</f>
        <v/>
      </c>
      <c r="G248" s="33" t="str">
        <f aca="false">IF($C248="","",IF(E248="All Stages Closed","",IF(E248="S1 Schematic",IF(N248="","Not added",N248),IF(E248="S2 PCB Layout",IF(R248="","Not added",R248),IF(E248="S3 SI &amp; PI",IF(V248="","Not added",V248),IF(E248="S4 Bare-PCB Fab",IF(Z248="","Not added",Z248),IF(E248="S5 Assembly",IF(AD248="","Not added",AD248),IF(E248="S6 Bring-up",IF(AH248="","Not added",AH248),IF(AL248="","Not added",AL248)))))))))</f>
        <v/>
      </c>
      <c r="H248" s="32" t="str">
        <f aca="true">IF($C248="","",IF(OR(F248="Completed",F248="Cancelled"),"",IF(NOT(ISNUMBER(G248)),"No date set",IF(TODAY()&gt;G248,TODAY()-G248&amp;" days late",G248-TODAY()&amp;" days left"))))</f>
        <v/>
      </c>
      <c r="I248" s="31" t="str">
        <f aca="false">IF($C248="","",COUNTIF(M248,"Completed")+COUNTIF(Q248,"Completed")+COUNTIF(U248,"Completed")+COUNTIF(Y248,"Completed")+COUNTIF(AC248,"Completed")+COUNTIF(AG248,"Completed")+COUNTIF(AK248,"Completed"))</f>
        <v/>
      </c>
      <c r="J248" s="31" t="str">
        <f aca="false">IF($C248="","",7-(COUNTIF(M248,"NA")+COUNTIF(Q248,"NA")+COUNTIF(U248,"NA")+COUNTIF(Y248,"NA")+COUNTIF(AC248,"NA")+COUNTIF(AG248,"NA")+COUNTIF(AK248,"NA")))</f>
        <v/>
      </c>
      <c r="K248" s="34" t="str">
        <f aca="false">IFERROR(I248/J248,"")</f>
        <v/>
      </c>
      <c r="L248" s="29"/>
      <c r="M248" s="35"/>
      <c r="N248" s="36"/>
      <c r="O248" s="36"/>
      <c r="P248" s="29"/>
      <c r="Q248" s="35"/>
      <c r="R248" s="36"/>
      <c r="S248" s="36"/>
      <c r="T248" s="29"/>
      <c r="U248" s="35"/>
      <c r="V248" s="36"/>
      <c r="W248" s="36"/>
      <c r="X248" s="29"/>
      <c r="Y248" s="35"/>
      <c r="Z248" s="36"/>
      <c r="AA248" s="36"/>
      <c r="AB248" s="29"/>
      <c r="AC248" s="35"/>
      <c r="AD248" s="36"/>
      <c r="AE248" s="36"/>
      <c r="AF248" s="29"/>
      <c r="AG248" s="35"/>
      <c r="AH248" s="36"/>
      <c r="AI248" s="36"/>
      <c r="AJ248" s="29"/>
      <c r="AK248" s="35"/>
      <c r="AL248" s="36"/>
      <c r="AM248" s="36"/>
      <c r="AN248" s="29"/>
      <c r="AO248" s="29"/>
      <c r="AP248" s="29"/>
      <c r="AQ248" s="37"/>
      <c r="AR248" s="29"/>
      <c r="AS248" s="38" t="str">
        <f aca="false">IF($C248="","",IF(OR(F248="Completed",F248="Cancelled"),"",IF(AND(OR(F248="On Hold",ISNUMBER(VALUE(LEFT(H248,2)))),AR248=""),"Reason not given","")))</f>
        <v/>
      </c>
      <c r="AT248" s="30"/>
      <c r="AU248" s="30"/>
    </row>
    <row r="249" customFormat="false" ht="19.5" hidden="false" customHeight="true" outlineLevel="0" collapsed="false">
      <c r="A249" s="28" t="str">
        <f aca="false">IF($C249="","",COUNTA($C$17:$C249))</f>
        <v/>
      </c>
      <c r="B249" s="29"/>
      <c r="C249" s="30"/>
      <c r="D249" s="29"/>
      <c r="E249" s="31" t="str">
        <f aca="false">IF($C249="","",IF(NOT(OR(M249="Completed",M249="NA",M249="Cancelled")),"S1 Schematic",IF(NOT(OR(Q249="Completed",Q249="NA",Q249="Cancelled")),"S2 PCB Layout",IF(NOT(OR(U249="Completed",U249="NA",U249="Cancelled")),"S3 SI &amp; PI",IF(NOT(OR(Y249="Completed",Y249="NA",Y249="Cancelled")),"S4 Bare-PCB Fab",IF(NOT(OR(AC249="Completed",AC249="NA",AC249="Cancelled")),"S5 Assembly",IF(NOT(OR(AG249="Completed",AG249="NA",AG249="Cancelled")),"S6 Bring-up",IF(NOT(OR(AK249="Completed",AK249="NA",AK249="Cancelled")),"S7 BOM Procurement","All Stages Closed"))))))))</f>
        <v/>
      </c>
      <c r="F249" s="32" t="str">
        <f aca="false">IF($C249="","",IF(COUNTIF(M249,"Cancelled")+COUNTIF(Q249,"Cancelled")+COUNTIF(U249,"Cancelled")+COUNTIF(Y249,"Cancelled")+COUNTIF(AC249,"Cancelled")+COUNTIF(AG249,"Cancelled")+COUNTIF(AK249,"Cancelled")&gt;0,"Cancelled",IF(E249="All Stages Closed","Completed",IF(E249="S1 Schematic",M249,IF(E249="S2 PCB Layout",Q249,IF(E249="S3 SI &amp; PI",U249,IF(E249="S4 Bare-PCB Fab",Y249,IF(E249="S5 Assembly",AC249,IF(E249="S6 Bring-up",AG249,AK249)))))))))</f>
        <v/>
      </c>
      <c r="G249" s="33" t="str">
        <f aca="false">IF($C249="","",IF(E249="All Stages Closed","",IF(E249="S1 Schematic",IF(N249="","Not added",N249),IF(E249="S2 PCB Layout",IF(R249="","Not added",R249),IF(E249="S3 SI &amp; PI",IF(V249="","Not added",V249),IF(E249="S4 Bare-PCB Fab",IF(Z249="","Not added",Z249),IF(E249="S5 Assembly",IF(AD249="","Not added",AD249),IF(E249="S6 Bring-up",IF(AH249="","Not added",AH249),IF(AL249="","Not added",AL249)))))))))</f>
        <v/>
      </c>
      <c r="H249" s="32" t="str">
        <f aca="true">IF($C249="","",IF(OR(F249="Completed",F249="Cancelled"),"",IF(NOT(ISNUMBER(G249)),"No date set",IF(TODAY()&gt;G249,TODAY()-G249&amp;" days late",G249-TODAY()&amp;" days left"))))</f>
        <v/>
      </c>
      <c r="I249" s="31" t="str">
        <f aca="false">IF($C249="","",COUNTIF(M249,"Completed")+COUNTIF(Q249,"Completed")+COUNTIF(U249,"Completed")+COUNTIF(Y249,"Completed")+COUNTIF(AC249,"Completed")+COUNTIF(AG249,"Completed")+COUNTIF(AK249,"Completed"))</f>
        <v/>
      </c>
      <c r="J249" s="31" t="str">
        <f aca="false">IF($C249="","",7-(COUNTIF(M249,"NA")+COUNTIF(Q249,"NA")+COUNTIF(U249,"NA")+COUNTIF(Y249,"NA")+COUNTIF(AC249,"NA")+COUNTIF(AG249,"NA")+COUNTIF(AK249,"NA")))</f>
        <v/>
      </c>
      <c r="K249" s="34" t="str">
        <f aca="false">IFERROR(I249/J249,"")</f>
        <v/>
      </c>
      <c r="L249" s="29"/>
      <c r="M249" s="35"/>
      <c r="N249" s="36"/>
      <c r="O249" s="36"/>
      <c r="P249" s="29"/>
      <c r="Q249" s="35"/>
      <c r="R249" s="36"/>
      <c r="S249" s="36"/>
      <c r="T249" s="29"/>
      <c r="U249" s="35"/>
      <c r="V249" s="36"/>
      <c r="W249" s="36"/>
      <c r="X249" s="29"/>
      <c r="Y249" s="35"/>
      <c r="Z249" s="36"/>
      <c r="AA249" s="36"/>
      <c r="AB249" s="29"/>
      <c r="AC249" s="35"/>
      <c r="AD249" s="36"/>
      <c r="AE249" s="36"/>
      <c r="AF249" s="29"/>
      <c r="AG249" s="35"/>
      <c r="AH249" s="36"/>
      <c r="AI249" s="36"/>
      <c r="AJ249" s="29"/>
      <c r="AK249" s="35"/>
      <c r="AL249" s="36"/>
      <c r="AM249" s="36"/>
      <c r="AN249" s="29"/>
      <c r="AO249" s="29"/>
      <c r="AP249" s="29"/>
      <c r="AQ249" s="37"/>
      <c r="AR249" s="29"/>
      <c r="AS249" s="38" t="str">
        <f aca="false">IF($C249="","",IF(OR(F249="Completed",F249="Cancelled"),"",IF(AND(OR(F249="On Hold",ISNUMBER(VALUE(LEFT(H249,2)))),AR249=""),"Reason not given","")))</f>
        <v/>
      </c>
      <c r="AT249" s="30"/>
      <c r="AU249" s="30"/>
    </row>
    <row r="250" customFormat="false" ht="19.5" hidden="false" customHeight="true" outlineLevel="0" collapsed="false">
      <c r="A250" s="28" t="str">
        <f aca="false">IF($C250="","",COUNTA($C$17:$C250))</f>
        <v/>
      </c>
      <c r="B250" s="29"/>
      <c r="C250" s="30"/>
      <c r="D250" s="29"/>
      <c r="E250" s="31" t="str">
        <f aca="false">IF($C250="","",IF(NOT(OR(M250="Completed",M250="NA",M250="Cancelled")),"S1 Schematic",IF(NOT(OR(Q250="Completed",Q250="NA",Q250="Cancelled")),"S2 PCB Layout",IF(NOT(OR(U250="Completed",U250="NA",U250="Cancelled")),"S3 SI &amp; PI",IF(NOT(OR(Y250="Completed",Y250="NA",Y250="Cancelled")),"S4 Bare-PCB Fab",IF(NOT(OR(AC250="Completed",AC250="NA",AC250="Cancelled")),"S5 Assembly",IF(NOT(OR(AG250="Completed",AG250="NA",AG250="Cancelled")),"S6 Bring-up",IF(NOT(OR(AK250="Completed",AK250="NA",AK250="Cancelled")),"S7 BOM Procurement","All Stages Closed"))))))))</f>
        <v/>
      </c>
      <c r="F250" s="32" t="str">
        <f aca="false">IF($C250="","",IF(COUNTIF(M250,"Cancelled")+COUNTIF(Q250,"Cancelled")+COUNTIF(U250,"Cancelled")+COUNTIF(Y250,"Cancelled")+COUNTIF(AC250,"Cancelled")+COUNTIF(AG250,"Cancelled")+COUNTIF(AK250,"Cancelled")&gt;0,"Cancelled",IF(E250="All Stages Closed","Completed",IF(E250="S1 Schematic",M250,IF(E250="S2 PCB Layout",Q250,IF(E250="S3 SI &amp; PI",U250,IF(E250="S4 Bare-PCB Fab",Y250,IF(E250="S5 Assembly",AC250,IF(E250="S6 Bring-up",AG250,AK250)))))))))</f>
        <v/>
      </c>
      <c r="G250" s="33" t="str">
        <f aca="false">IF($C250="","",IF(E250="All Stages Closed","",IF(E250="S1 Schematic",IF(N250="","Not added",N250),IF(E250="S2 PCB Layout",IF(R250="","Not added",R250),IF(E250="S3 SI &amp; PI",IF(V250="","Not added",V250),IF(E250="S4 Bare-PCB Fab",IF(Z250="","Not added",Z250),IF(E250="S5 Assembly",IF(AD250="","Not added",AD250),IF(E250="S6 Bring-up",IF(AH250="","Not added",AH250),IF(AL250="","Not added",AL250)))))))))</f>
        <v/>
      </c>
      <c r="H250" s="32" t="str">
        <f aca="true">IF($C250="","",IF(OR(F250="Completed",F250="Cancelled"),"",IF(NOT(ISNUMBER(G250)),"No date set",IF(TODAY()&gt;G250,TODAY()-G250&amp;" days late",G250-TODAY()&amp;" days left"))))</f>
        <v/>
      </c>
      <c r="I250" s="31" t="str">
        <f aca="false">IF($C250="","",COUNTIF(M250,"Completed")+COUNTIF(Q250,"Completed")+COUNTIF(U250,"Completed")+COUNTIF(Y250,"Completed")+COUNTIF(AC250,"Completed")+COUNTIF(AG250,"Completed")+COUNTIF(AK250,"Completed"))</f>
        <v/>
      </c>
      <c r="J250" s="31" t="str">
        <f aca="false">IF($C250="","",7-(COUNTIF(M250,"NA")+COUNTIF(Q250,"NA")+COUNTIF(U250,"NA")+COUNTIF(Y250,"NA")+COUNTIF(AC250,"NA")+COUNTIF(AG250,"NA")+COUNTIF(AK250,"NA")))</f>
        <v/>
      </c>
      <c r="K250" s="34" t="str">
        <f aca="false">IFERROR(I250/J250,"")</f>
        <v/>
      </c>
      <c r="L250" s="29"/>
      <c r="M250" s="35"/>
      <c r="N250" s="36"/>
      <c r="O250" s="36"/>
      <c r="P250" s="29"/>
      <c r="Q250" s="35"/>
      <c r="R250" s="36"/>
      <c r="S250" s="36"/>
      <c r="T250" s="29"/>
      <c r="U250" s="35"/>
      <c r="V250" s="36"/>
      <c r="W250" s="36"/>
      <c r="X250" s="29"/>
      <c r="Y250" s="35"/>
      <c r="Z250" s="36"/>
      <c r="AA250" s="36"/>
      <c r="AB250" s="29"/>
      <c r="AC250" s="35"/>
      <c r="AD250" s="36"/>
      <c r="AE250" s="36"/>
      <c r="AF250" s="29"/>
      <c r="AG250" s="35"/>
      <c r="AH250" s="36"/>
      <c r="AI250" s="36"/>
      <c r="AJ250" s="29"/>
      <c r="AK250" s="35"/>
      <c r="AL250" s="36"/>
      <c r="AM250" s="36"/>
      <c r="AN250" s="29"/>
      <c r="AO250" s="29"/>
      <c r="AP250" s="29"/>
      <c r="AQ250" s="37"/>
      <c r="AR250" s="29"/>
      <c r="AS250" s="38" t="str">
        <f aca="false">IF($C250="","",IF(OR(F250="Completed",F250="Cancelled"),"",IF(AND(OR(F250="On Hold",ISNUMBER(VALUE(LEFT(H250,2)))),AR250=""),"Reason not given","")))</f>
        <v/>
      </c>
      <c r="AT250" s="30"/>
      <c r="AU250" s="30"/>
    </row>
    <row r="251" customFormat="false" ht="19.5" hidden="false" customHeight="true" outlineLevel="0" collapsed="false">
      <c r="A251" s="28" t="str">
        <f aca="false">IF($C251="","",COUNTA($C$17:$C251))</f>
        <v/>
      </c>
      <c r="B251" s="29"/>
      <c r="C251" s="30"/>
      <c r="D251" s="29"/>
      <c r="E251" s="31" t="str">
        <f aca="false">IF($C251="","",IF(NOT(OR(M251="Completed",M251="NA",M251="Cancelled")),"S1 Schematic",IF(NOT(OR(Q251="Completed",Q251="NA",Q251="Cancelled")),"S2 PCB Layout",IF(NOT(OR(U251="Completed",U251="NA",U251="Cancelled")),"S3 SI &amp; PI",IF(NOT(OR(Y251="Completed",Y251="NA",Y251="Cancelled")),"S4 Bare-PCB Fab",IF(NOT(OR(AC251="Completed",AC251="NA",AC251="Cancelled")),"S5 Assembly",IF(NOT(OR(AG251="Completed",AG251="NA",AG251="Cancelled")),"S6 Bring-up",IF(NOT(OR(AK251="Completed",AK251="NA",AK251="Cancelled")),"S7 BOM Procurement","All Stages Closed"))))))))</f>
        <v/>
      </c>
      <c r="F251" s="32" t="str">
        <f aca="false">IF($C251="","",IF(COUNTIF(M251,"Cancelled")+COUNTIF(Q251,"Cancelled")+COUNTIF(U251,"Cancelled")+COUNTIF(Y251,"Cancelled")+COUNTIF(AC251,"Cancelled")+COUNTIF(AG251,"Cancelled")+COUNTIF(AK251,"Cancelled")&gt;0,"Cancelled",IF(E251="All Stages Closed","Completed",IF(E251="S1 Schematic",M251,IF(E251="S2 PCB Layout",Q251,IF(E251="S3 SI &amp; PI",U251,IF(E251="S4 Bare-PCB Fab",Y251,IF(E251="S5 Assembly",AC251,IF(E251="S6 Bring-up",AG251,AK251)))))))))</f>
        <v/>
      </c>
      <c r="G251" s="33" t="str">
        <f aca="false">IF($C251="","",IF(E251="All Stages Closed","",IF(E251="S1 Schematic",IF(N251="","Not added",N251),IF(E251="S2 PCB Layout",IF(R251="","Not added",R251),IF(E251="S3 SI &amp; PI",IF(V251="","Not added",V251),IF(E251="S4 Bare-PCB Fab",IF(Z251="","Not added",Z251),IF(E251="S5 Assembly",IF(AD251="","Not added",AD251),IF(E251="S6 Bring-up",IF(AH251="","Not added",AH251),IF(AL251="","Not added",AL251)))))))))</f>
        <v/>
      </c>
      <c r="H251" s="32" t="str">
        <f aca="true">IF($C251="","",IF(OR(F251="Completed",F251="Cancelled"),"",IF(NOT(ISNUMBER(G251)),"No date set",IF(TODAY()&gt;G251,TODAY()-G251&amp;" days late",G251-TODAY()&amp;" days left"))))</f>
        <v/>
      </c>
      <c r="I251" s="31" t="str">
        <f aca="false">IF($C251="","",COUNTIF(M251,"Completed")+COUNTIF(Q251,"Completed")+COUNTIF(U251,"Completed")+COUNTIF(Y251,"Completed")+COUNTIF(AC251,"Completed")+COUNTIF(AG251,"Completed")+COUNTIF(AK251,"Completed"))</f>
        <v/>
      </c>
      <c r="J251" s="31" t="str">
        <f aca="false">IF($C251="","",7-(COUNTIF(M251,"NA")+COUNTIF(Q251,"NA")+COUNTIF(U251,"NA")+COUNTIF(Y251,"NA")+COUNTIF(AC251,"NA")+COUNTIF(AG251,"NA")+COUNTIF(AK251,"NA")))</f>
        <v/>
      </c>
      <c r="K251" s="34" t="str">
        <f aca="false">IFERROR(I251/J251,"")</f>
        <v/>
      </c>
      <c r="L251" s="29"/>
      <c r="M251" s="35"/>
      <c r="N251" s="36"/>
      <c r="O251" s="36"/>
      <c r="P251" s="29"/>
      <c r="Q251" s="35"/>
      <c r="R251" s="36"/>
      <c r="S251" s="36"/>
      <c r="T251" s="29"/>
      <c r="U251" s="35"/>
      <c r="V251" s="36"/>
      <c r="W251" s="36"/>
      <c r="X251" s="29"/>
      <c r="Y251" s="35"/>
      <c r="Z251" s="36"/>
      <c r="AA251" s="36"/>
      <c r="AB251" s="29"/>
      <c r="AC251" s="35"/>
      <c r="AD251" s="36"/>
      <c r="AE251" s="36"/>
      <c r="AF251" s="29"/>
      <c r="AG251" s="35"/>
      <c r="AH251" s="36"/>
      <c r="AI251" s="36"/>
      <c r="AJ251" s="29"/>
      <c r="AK251" s="35"/>
      <c r="AL251" s="36"/>
      <c r="AM251" s="36"/>
      <c r="AN251" s="29"/>
      <c r="AO251" s="29"/>
      <c r="AP251" s="29"/>
      <c r="AQ251" s="37"/>
      <c r="AR251" s="29"/>
      <c r="AS251" s="38" t="str">
        <f aca="false">IF($C251="","",IF(OR(F251="Completed",F251="Cancelled"),"",IF(AND(OR(F251="On Hold",ISNUMBER(VALUE(LEFT(H251,2)))),AR251=""),"Reason not given","")))</f>
        <v/>
      </c>
      <c r="AT251" s="30"/>
      <c r="AU251" s="30"/>
    </row>
    <row r="252" customFormat="false" ht="19.5" hidden="false" customHeight="true" outlineLevel="0" collapsed="false">
      <c r="A252" s="28" t="str">
        <f aca="false">IF($C252="","",COUNTA($C$17:$C252))</f>
        <v/>
      </c>
      <c r="B252" s="29"/>
      <c r="C252" s="30"/>
      <c r="D252" s="29"/>
      <c r="E252" s="31" t="str">
        <f aca="false">IF($C252="","",IF(NOT(OR(M252="Completed",M252="NA",M252="Cancelled")),"S1 Schematic",IF(NOT(OR(Q252="Completed",Q252="NA",Q252="Cancelled")),"S2 PCB Layout",IF(NOT(OR(U252="Completed",U252="NA",U252="Cancelled")),"S3 SI &amp; PI",IF(NOT(OR(Y252="Completed",Y252="NA",Y252="Cancelled")),"S4 Bare-PCB Fab",IF(NOT(OR(AC252="Completed",AC252="NA",AC252="Cancelled")),"S5 Assembly",IF(NOT(OR(AG252="Completed",AG252="NA",AG252="Cancelled")),"S6 Bring-up",IF(NOT(OR(AK252="Completed",AK252="NA",AK252="Cancelled")),"S7 BOM Procurement","All Stages Closed"))))))))</f>
        <v/>
      </c>
      <c r="F252" s="32" t="str">
        <f aca="false">IF($C252="","",IF(COUNTIF(M252,"Cancelled")+COUNTIF(Q252,"Cancelled")+COUNTIF(U252,"Cancelled")+COUNTIF(Y252,"Cancelled")+COUNTIF(AC252,"Cancelled")+COUNTIF(AG252,"Cancelled")+COUNTIF(AK252,"Cancelled")&gt;0,"Cancelled",IF(E252="All Stages Closed","Completed",IF(E252="S1 Schematic",M252,IF(E252="S2 PCB Layout",Q252,IF(E252="S3 SI &amp; PI",U252,IF(E252="S4 Bare-PCB Fab",Y252,IF(E252="S5 Assembly",AC252,IF(E252="S6 Bring-up",AG252,AK252)))))))))</f>
        <v/>
      </c>
      <c r="G252" s="33" t="str">
        <f aca="false">IF($C252="","",IF(E252="All Stages Closed","",IF(E252="S1 Schematic",IF(N252="","Not added",N252),IF(E252="S2 PCB Layout",IF(R252="","Not added",R252),IF(E252="S3 SI &amp; PI",IF(V252="","Not added",V252),IF(E252="S4 Bare-PCB Fab",IF(Z252="","Not added",Z252),IF(E252="S5 Assembly",IF(AD252="","Not added",AD252),IF(E252="S6 Bring-up",IF(AH252="","Not added",AH252),IF(AL252="","Not added",AL252)))))))))</f>
        <v/>
      </c>
      <c r="H252" s="32" t="str">
        <f aca="true">IF($C252="","",IF(OR(F252="Completed",F252="Cancelled"),"",IF(NOT(ISNUMBER(G252)),"No date set",IF(TODAY()&gt;G252,TODAY()-G252&amp;" days late",G252-TODAY()&amp;" days left"))))</f>
        <v/>
      </c>
      <c r="I252" s="31" t="str">
        <f aca="false">IF($C252="","",COUNTIF(M252,"Completed")+COUNTIF(Q252,"Completed")+COUNTIF(U252,"Completed")+COUNTIF(Y252,"Completed")+COUNTIF(AC252,"Completed")+COUNTIF(AG252,"Completed")+COUNTIF(AK252,"Completed"))</f>
        <v/>
      </c>
      <c r="J252" s="31" t="str">
        <f aca="false">IF($C252="","",7-(COUNTIF(M252,"NA")+COUNTIF(Q252,"NA")+COUNTIF(U252,"NA")+COUNTIF(Y252,"NA")+COUNTIF(AC252,"NA")+COUNTIF(AG252,"NA")+COUNTIF(AK252,"NA")))</f>
        <v/>
      </c>
      <c r="K252" s="34" t="str">
        <f aca="false">IFERROR(I252/J252,"")</f>
        <v/>
      </c>
      <c r="L252" s="29"/>
      <c r="M252" s="35"/>
      <c r="N252" s="36"/>
      <c r="O252" s="36"/>
      <c r="P252" s="29"/>
      <c r="Q252" s="35"/>
      <c r="R252" s="36"/>
      <c r="S252" s="36"/>
      <c r="T252" s="29"/>
      <c r="U252" s="35"/>
      <c r="V252" s="36"/>
      <c r="W252" s="36"/>
      <c r="X252" s="29"/>
      <c r="Y252" s="35"/>
      <c r="Z252" s="36"/>
      <c r="AA252" s="36"/>
      <c r="AB252" s="29"/>
      <c r="AC252" s="35"/>
      <c r="AD252" s="36"/>
      <c r="AE252" s="36"/>
      <c r="AF252" s="29"/>
      <c r="AG252" s="35"/>
      <c r="AH252" s="36"/>
      <c r="AI252" s="36"/>
      <c r="AJ252" s="29"/>
      <c r="AK252" s="35"/>
      <c r="AL252" s="36"/>
      <c r="AM252" s="36"/>
      <c r="AN252" s="29"/>
      <c r="AO252" s="29"/>
      <c r="AP252" s="29"/>
      <c r="AQ252" s="37"/>
      <c r="AR252" s="29"/>
      <c r="AS252" s="38" t="str">
        <f aca="false">IF($C252="","",IF(OR(F252="Completed",F252="Cancelled"),"",IF(AND(OR(F252="On Hold",ISNUMBER(VALUE(LEFT(H252,2)))),AR252=""),"Reason not given","")))</f>
        <v/>
      </c>
      <c r="AT252" s="30"/>
      <c r="AU252" s="30"/>
    </row>
    <row r="253" customFormat="false" ht="19.5" hidden="false" customHeight="true" outlineLevel="0" collapsed="false">
      <c r="A253" s="28" t="str">
        <f aca="false">IF($C253="","",COUNTA($C$17:$C253))</f>
        <v/>
      </c>
      <c r="B253" s="29"/>
      <c r="C253" s="30"/>
      <c r="D253" s="29"/>
      <c r="E253" s="31" t="str">
        <f aca="false">IF($C253="","",IF(NOT(OR(M253="Completed",M253="NA",M253="Cancelled")),"S1 Schematic",IF(NOT(OR(Q253="Completed",Q253="NA",Q253="Cancelled")),"S2 PCB Layout",IF(NOT(OR(U253="Completed",U253="NA",U253="Cancelled")),"S3 SI &amp; PI",IF(NOT(OR(Y253="Completed",Y253="NA",Y253="Cancelled")),"S4 Bare-PCB Fab",IF(NOT(OR(AC253="Completed",AC253="NA",AC253="Cancelled")),"S5 Assembly",IF(NOT(OR(AG253="Completed",AG253="NA",AG253="Cancelled")),"S6 Bring-up",IF(NOT(OR(AK253="Completed",AK253="NA",AK253="Cancelled")),"S7 BOM Procurement","All Stages Closed"))))))))</f>
        <v/>
      </c>
      <c r="F253" s="32" t="str">
        <f aca="false">IF($C253="","",IF(COUNTIF(M253,"Cancelled")+COUNTIF(Q253,"Cancelled")+COUNTIF(U253,"Cancelled")+COUNTIF(Y253,"Cancelled")+COUNTIF(AC253,"Cancelled")+COUNTIF(AG253,"Cancelled")+COUNTIF(AK253,"Cancelled")&gt;0,"Cancelled",IF(E253="All Stages Closed","Completed",IF(E253="S1 Schematic",M253,IF(E253="S2 PCB Layout",Q253,IF(E253="S3 SI &amp; PI",U253,IF(E253="S4 Bare-PCB Fab",Y253,IF(E253="S5 Assembly",AC253,IF(E253="S6 Bring-up",AG253,AK253)))))))))</f>
        <v/>
      </c>
      <c r="G253" s="33" t="str">
        <f aca="false">IF($C253="","",IF(E253="All Stages Closed","",IF(E253="S1 Schematic",IF(N253="","Not added",N253),IF(E253="S2 PCB Layout",IF(R253="","Not added",R253),IF(E253="S3 SI &amp; PI",IF(V253="","Not added",V253),IF(E253="S4 Bare-PCB Fab",IF(Z253="","Not added",Z253),IF(E253="S5 Assembly",IF(AD253="","Not added",AD253),IF(E253="S6 Bring-up",IF(AH253="","Not added",AH253),IF(AL253="","Not added",AL253)))))))))</f>
        <v/>
      </c>
      <c r="H253" s="32" t="str">
        <f aca="true">IF($C253="","",IF(OR(F253="Completed",F253="Cancelled"),"",IF(NOT(ISNUMBER(G253)),"No date set",IF(TODAY()&gt;G253,TODAY()-G253&amp;" days late",G253-TODAY()&amp;" days left"))))</f>
        <v/>
      </c>
      <c r="I253" s="31" t="str">
        <f aca="false">IF($C253="","",COUNTIF(M253,"Completed")+COUNTIF(Q253,"Completed")+COUNTIF(U253,"Completed")+COUNTIF(Y253,"Completed")+COUNTIF(AC253,"Completed")+COUNTIF(AG253,"Completed")+COUNTIF(AK253,"Completed"))</f>
        <v/>
      </c>
      <c r="J253" s="31" t="str">
        <f aca="false">IF($C253="","",7-(COUNTIF(M253,"NA")+COUNTIF(Q253,"NA")+COUNTIF(U253,"NA")+COUNTIF(Y253,"NA")+COUNTIF(AC253,"NA")+COUNTIF(AG253,"NA")+COUNTIF(AK253,"NA")))</f>
        <v/>
      </c>
      <c r="K253" s="34" t="str">
        <f aca="false">IFERROR(I253/J253,"")</f>
        <v/>
      </c>
      <c r="L253" s="29"/>
      <c r="M253" s="35"/>
      <c r="N253" s="36"/>
      <c r="O253" s="36"/>
      <c r="P253" s="29"/>
      <c r="Q253" s="35"/>
      <c r="R253" s="36"/>
      <c r="S253" s="36"/>
      <c r="T253" s="29"/>
      <c r="U253" s="35"/>
      <c r="V253" s="36"/>
      <c r="W253" s="36"/>
      <c r="X253" s="29"/>
      <c r="Y253" s="35"/>
      <c r="Z253" s="36"/>
      <c r="AA253" s="36"/>
      <c r="AB253" s="29"/>
      <c r="AC253" s="35"/>
      <c r="AD253" s="36"/>
      <c r="AE253" s="36"/>
      <c r="AF253" s="29"/>
      <c r="AG253" s="35"/>
      <c r="AH253" s="36"/>
      <c r="AI253" s="36"/>
      <c r="AJ253" s="29"/>
      <c r="AK253" s="35"/>
      <c r="AL253" s="36"/>
      <c r="AM253" s="36"/>
      <c r="AN253" s="29"/>
      <c r="AO253" s="29"/>
      <c r="AP253" s="29"/>
      <c r="AQ253" s="37"/>
      <c r="AR253" s="29"/>
      <c r="AS253" s="38" t="str">
        <f aca="false">IF($C253="","",IF(OR(F253="Completed",F253="Cancelled"),"",IF(AND(OR(F253="On Hold",ISNUMBER(VALUE(LEFT(H253,2)))),AR253=""),"Reason not given","")))</f>
        <v/>
      </c>
      <c r="AT253" s="30"/>
      <c r="AU253" s="30"/>
    </row>
    <row r="254" customFormat="false" ht="19.5" hidden="false" customHeight="true" outlineLevel="0" collapsed="false">
      <c r="A254" s="28" t="str">
        <f aca="false">IF($C254="","",COUNTA($C$17:$C254))</f>
        <v/>
      </c>
      <c r="B254" s="29"/>
      <c r="C254" s="30"/>
      <c r="D254" s="29"/>
      <c r="E254" s="31" t="str">
        <f aca="false">IF($C254="","",IF(NOT(OR(M254="Completed",M254="NA",M254="Cancelled")),"S1 Schematic",IF(NOT(OR(Q254="Completed",Q254="NA",Q254="Cancelled")),"S2 PCB Layout",IF(NOT(OR(U254="Completed",U254="NA",U254="Cancelled")),"S3 SI &amp; PI",IF(NOT(OR(Y254="Completed",Y254="NA",Y254="Cancelled")),"S4 Bare-PCB Fab",IF(NOT(OR(AC254="Completed",AC254="NA",AC254="Cancelled")),"S5 Assembly",IF(NOT(OR(AG254="Completed",AG254="NA",AG254="Cancelled")),"S6 Bring-up",IF(NOT(OR(AK254="Completed",AK254="NA",AK254="Cancelled")),"S7 BOM Procurement","All Stages Closed"))))))))</f>
        <v/>
      </c>
      <c r="F254" s="32" t="str">
        <f aca="false">IF($C254="","",IF(COUNTIF(M254,"Cancelled")+COUNTIF(Q254,"Cancelled")+COUNTIF(U254,"Cancelled")+COUNTIF(Y254,"Cancelled")+COUNTIF(AC254,"Cancelled")+COUNTIF(AG254,"Cancelled")+COUNTIF(AK254,"Cancelled")&gt;0,"Cancelled",IF(E254="All Stages Closed","Completed",IF(E254="S1 Schematic",M254,IF(E254="S2 PCB Layout",Q254,IF(E254="S3 SI &amp; PI",U254,IF(E254="S4 Bare-PCB Fab",Y254,IF(E254="S5 Assembly",AC254,IF(E254="S6 Bring-up",AG254,AK254)))))))))</f>
        <v/>
      </c>
      <c r="G254" s="33" t="str">
        <f aca="false">IF($C254="","",IF(E254="All Stages Closed","",IF(E254="S1 Schematic",IF(N254="","Not added",N254),IF(E254="S2 PCB Layout",IF(R254="","Not added",R254),IF(E254="S3 SI &amp; PI",IF(V254="","Not added",V254),IF(E254="S4 Bare-PCB Fab",IF(Z254="","Not added",Z254),IF(E254="S5 Assembly",IF(AD254="","Not added",AD254),IF(E254="S6 Bring-up",IF(AH254="","Not added",AH254),IF(AL254="","Not added",AL254)))))))))</f>
        <v/>
      </c>
      <c r="H254" s="32" t="str">
        <f aca="true">IF($C254="","",IF(OR(F254="Completed",F254="Cancelled"),"",IF(NOT(ISNUMBER(G254)),"No date set",IF(TODAY()&gt;G254,TODAY()-G254&amp;" days late",G254-TODAY()&amp;" days left"))))</f>
        <v/>
      </c>
      <c r="I254" s="31" t="str">
        <f aca="false">IF($C254="","",COUNTIF(M254,"Completed")+COUNTIF(Q254,"Completed")+COUNTIF(U254,"Completed")+COUNTIF(Y254,"Completed")+COUNTIF(AC254,"Completed")+COUNTIF(AG254,"Completed")+COUNTIF(AK254,"Completed"))</f>
        <v/>
      </c>
      <c r="J254" s="31" t="str">
        <f aca="false">IF($C254="","",7-(COUNTIF(M254,"NA")+COUNTIF(Q254,"NA")+COUNTIF(U254,"NA")+COUNTIF(Y254,"NA")+COUNTIF(AC254,"NA")+COUNTIF(AG254,"NA")+COUNTIF(AK254,"NA")))</f>
        <v/>
      </c>
      <c r="K254" s="34" t="str">
        <f aca="false">IFERROR(I254/J254,"")</f>
        <v/>
      </c>
      <c r="L254" s="29"/>
      <c r="M254" s="35"/>
      <c r="N254" s="36"/>
      <c r="O254" s="36"/>
      <c r="P254" s="29"/>
      <c r="Q254" s="35"/>
      <c r="R254" s="36"/>
      <c r="S254" s="36"/>
      <c r="T254" s="29"/>
      <c r="U254" s="35"/>
      <c r="V254" s="36"/>
      <c r="W254" s="36"/>
      <c r="X254" s="29"/>
      <c r="Y254" s="35"/>
      <c r="Z254" s="36"/>
      <c r="AA254" s="36"/>
      <c r="AB254" s="29"/>
      <c r="AC254" s="35"/>
      <c r="AD254" s="36"/>
      <c r="AE254" s="36"/>
      <c r="AF254" s="29"/>
      <c r="AG254" s="35"/>
      <c r="AH254" s="36"/>
      <c r="AI254" s="36"/>
      <c r="AJ254" s="29"/>
      <c r="AK254" s="35"/>
      <c r="AL254" s="36"/>
      <c r="AM254" s="36"/>
      <c r="AN254" s="29"/>
      <c r="AO254" s="29"/>
      <c r="AP254" s="29"/>
      <c r="AQ254" s="37"/>
      <c r="AR254" s="29"/>
      <c r="AS254" s="38" t="str">
        <f aca="false">IF($C254="","",IF(OR(F254="Completed",F254="Cancelled"),"",IF(AND(OR(F254="On Hold",ISNUMBER(VALUE(LEFT(H254,2)))),AR254=""),"Reason not given","")))</f>
        <v/>
      </c>
      <c r="AT254" s="30"/>
      <c r="AU254" s="30"/>
    </row>
    <row r="255" customFormat="false" ht="19.5" hidden="false" customHeight="true" outlineLevel="0" collapsed="false">
      <c r="A255" s="28" t="str">
        <f aca="false">IF($C255="","",COUNTA($C$17:$C255))</f>
        <v/>
      </c>
      <c r="B255" s="29"/>
      <c r="C255" s="30"/>
      <c r="D255" s="29"/>
      <c r="E255" s="31" t="str">
        <f aca="false">IF($C255="","",IF(NOT(OR(M255="Completed",M255="NA",M255="Cancelled")),"S1 Schematic",IF(NOT(OR(Q255="Completed",Q255="NA",Q255="Cancelled")),"S2 PCB Layout",IF(NOT(OR(U255="Completed",U255="NA",U255="Cancelled")),"S3 SI &amp; PI",IF(NOT(OR(Y255="Completed",Y255="NA",Y255="Cancelled")),"S4 Bare-PCB Fab",IF(NOT(OR(AC255="Completed",AC255="NA",AC255="Cancelled")),"S5 Assembly",IF(NOT(OR(AG255="Completed",AG255="NA",AG255="Cancelled")),"S6 Bring-up",IF(NOT(OR(AK255="Completed",AK255="NA",AK255="Cancelled")),"S7 BOM Procurement","All Stages Closed"))))))))</f>
        <v/>
      </c>
      <c r="F255" s="32" t="str">
        <f aca="false">IF($C255="","",IF(COUNTIF(M255,"Cancelled")+COUNTIF(Q255,"Cancelled")+COUNTIF(U255,"Cancelled")+COUNTIF(Y255,"Cancelled")+COUNTIF(AC255,"Cancelled")+COUNTIF(AG255,"Cancelled")+COUNTIF(AK255,"Cancelled")&gt;0,"Cancelled",IF(E255="All Stages Closed","Completed",IF(E255="S1 Schematic",M255,IF(E255="S2 PCB Layout",Q255,IF(E255="S3 SI &amp; PI",U255,IF(E255="S4 Bare-PCB Fab",Y255,IF(E255="S5 Assembly",AC255,IF(E255="S6 Bring-up",AG255,AK255)))))))))</f>
        <v/>
      </c>
      <c r="G255" s="33" t="str">
        <f aca="false">IF($C255="","",IF(E255="All Stages Closed","",IF(E255="S1 Schematic",IF(N255="","Not added",N255),IF(E255="S2 PCB Layout",IF(R255="","Not added",R255),IF(E255="S3 SI &amp; PI",IF(V255="","Not added",V255),IF(E255="S4 Bare-PCB Fab",IF(Z255="","Not added",Z255),IF(E255="S5 Assembly",IF(AD255="","Not added",AD255),IF(E255="S6 Bring-up",IF(AH255="","Not added",AH255),IF(AL255="","Not added",AL255)))))))))</f>
        <v/>
      </c>
      <c r="H255" s="32" t="str">
        <f aca="true">IF($C255="","",IF(OR(F255="Completed",F255="Cancelled"),"",IF(NOT(ISNUMBER(G255)),"No date set",IF(TODAY()&gt;G255,TODAY()-G255&amp;" days late",G255-TODAY()&amp;" days left"))))</f>
        <v/>
      </c>
      <c r="I255" s="31" t="str">
        <f aca="false">IF($C255="","",COUNTIF(M255,"Completed")+COUNTIF(Q255,"Completed")+COUNTIF(U255,"Completed")+COUNTIF(Y255,"Completed")+COUNTIF(AC255,"Completed")+COUNTIF(AG255,"Completed")+COUNTIF(AK255,"Completed"))</f>
        <v/>
      </c>
      <c r="J255" s="31" t="str">
        <f aca="false">IF($C255="","",7-(COUNTIF(M255,"NA")+COUNTIF(Q255,"NA")+COUNTIF(U255,"NA")+COUNTIF(Y255,"NA")+COUNTIF(AC255,"NA")+COUNTIF(AG255,"NA")+COUNTIF(AK255,"NA")))</f>
        <v/>
      </c>
      <c r="K255" s="34" t="str">
        <f aca="false">IFERROR(I255/J255,"")</f>
        <v/>
      </c>
      <c r="L255" s="29"/>
      <c r="M255" s="35"/>
      <c r="N255" s="36"/>
      <c r="O255" s="36"/>
      <c r="P255" s="29"/>
      <c r="Q255" s="35"/>
      <c r="R255" s="36"/>
      <c r="S255" s="36"/>
      <c r="T255" s="29"/>
      <c r="U255" s="35"/>
      <c r="V255" s="36"/>
      <c r="W255" s="36"/>
      <c r="X255" s="29"/>
      <c r="Y255" s="35"/>
      <c r="Z255" s="36"/>
      <c r="AA255" s="36"/>
      <c r="AB255" s="29"/>
      <c r="AC255" s="35"/>
      <c r="AD255" s="36"/>
      <c r="AE255" s="36"/>
      <c r="AF255" s="29"/>
      <c r="AG255" s="35"/>
      <c r="AH255" s="36"/>
      <c r="AI255" s="36"/>
      <c r="AJ255" s="29"/>
      <c r="AK255" s="35"/>
      <c r="AL255" s="36"/>
      <c r="AM255" s="36"/>
      <c r="AN255" s="29"/>
      <c r="AO255" s="29"/>
      <c r="AP255" s="29"/>
      <c r="AQ255" s="37"/>
      <c r="AR255" s="29"/>
      <c r="AS255" s="38" t="str">
        <f aca="false">IF($C255="","",IF(OR(F255="Completed",F255="Cancelled"),"",IF(AND(OR(F255="On Hold",ISNUMBER(VALUE(LEFT(H255,2)))),AR255=""),"Reason not given","")))</f>
        <v/>
      </c>
      <c r="AT255" s="30"/>
      <c r="AU255" s="30"/>
    </row>
    <row r="256" customFormat="false" ht="19.5" hidden="false" customHeight="true" outlineLevel="0" collapsed="false">
      <c r="A256" s="28" t="str">
        <f aca="false">IF($C256="","",COUNTA($C$17:$C256))</f>
        <v/>
      </c>
      <c r="B256" s="29"/>
      <c r="C256" s="30"/>
      <c r="D256" s="29"/>
      <c r="E256" s="31" t="str">
        <f aca="false">IF($C256="","",IF(NOT(OR(M256="Completed",M256="NA",M256="Cancelled")),"S1 Schematic",IF(NOT(OR(Q256="Completed",Q256="NA",Q256="Cancelled")),"S2 PCB Layout",IF(NOT(OR(U256="Completed",U256="NA",U256="Cancelled")),"S3 SI &amp; PI",IF(NOT(OR(Y256="Completed",Y256="NA",Y256="Cancelled")),"S4 Bare-PCB Fab",IF(NOT(OR(AC256="Completed",AC256="NA",AC256="Cancelled")),"S5 Assembly",IF(NOT(OR(AG256="Completed",AG256="NA",AG256="Cancelled")),"S6 Bring-up",IF(NOT(OR(AK256="Completed",AK256="NA",AK256="Cancelled")),"S7 BOM Procurement","All Stages Closed"))))))))</f>
        <v/>
      </c>
      <c r="F256" s="32" t="str">
        <f aca="false">IF($C256="","",IF(COUNTIF(M256,"Cancelled")+COUNTIF(Q256,"Cancelled")+COUNTIF(U256,"Cancelled")+COUNTIF(Y256,"Cancelled")+COUNTIF(AC256,"Cancelled")+COUNTIF(AG256,"Cancelled")+COUNTIF(AK256,"Cancelled")&gt;0,"Cancelled",IF(E256="All Stages Closed","Completed",IF(E256="S1 Schematic",M256,IF(E256="S2 PCB Layout",Q256,IF(E256="S3 SI &amp; PI",U256,IF(E256="S4 Bare-PCB Fab",Y256,IF(E256="S5 Assembly",AC256,IF(E256="S6 Bring-up",AG256,AK256)))))))))</f>
        <v/>
      </c>
      <c r="G256" s="33" t="str">
        <f aca="false">IF($C256="","",IF(E256="All Stages Closed","",IF(E256="S1 Schematic",IF(N256="","Not added",N256),IF(E256="S2 PCB Layout",IF(R256="","Not added",R256),IF(E256="S3 SI &amp; PI",IF(V256="","Not added",V256),IF(E256="S4 Bare-PCB Fab",IF(Z256="","Not added",Z256),IF(E256="S5 Assembly",IF(AD256="","Not added",AD256),IF(E256="S6 Bring-up",IF(AH256="","Not added",AH256),IF(AL256="","Not added",AL256)))))))))</f>
        <v/>
      </c>
      <c r="H256" s="32" t="str">
        <f aca="true">IF($C256="","",IF(OR(F256="Completed",F256="Cancelled"),"",IF(NOT(ISNUMBER(G256)),"No date set",IF(TODAY()&gt;G256,TODAY()-G256&amp;" days late",G256-TODAY()&amp;" days left"))))</f>
        <v/>
      </c>
      <c r="I256" s="31" t="str">
        <f aca="false">IF($C256="","",COUNTIF(M256,"Completed")+COUNTIF(Q256,"Completed")+COUNTIF(U256,"Completed")+COUNTIF(Y256,"Completed")+COUNTIF(AC256,"Completed")+COUNTIF(AG256,"Completed")+COUNTIF(AK256,"Completed"))</f>
        <v/>
      </c>
      <c r="J256" s="31" t="str">
        <f aca="false">IF($C256="","",7-(COUNTIF(M256,"NA")+COUNTIF(Q256,"NA")+COUNTIF(U256,"NA")+COUNTIF(Y256,"NA")+COUNTIF(AC256,"NA")+COUNTIF(AG256,"NA")+COUNTIF(AK256,"NA")))</f>
        <v/>
      </c>
      <c r="K256" s="34" t="str">
        <f aca="false">IFERROR(I256/J256,"")</f>
        <v/>
      </c>
      <c r="L256" s="29"/>
      <c r="M256" s="35"/>
      <c r="N256" s="36"/>
      <c r="O256" s="36"/>
      <c r="P256" s="29"/>
      <c r="Q256" s="35"/>
      <c r="R256" s="36"/>
      <c r="S256" s="36"/>
      <c r="T256" s="29"/>
      <c r="U256" s="35"/>
      <c r="V256" s="36"/>
      <c r="W256" s="36"/>
      <c r="X256" s="29"/>
      <c r="Y256" s="35"/>
      <c r="Z256" s="36"/>
      <c r="AA256" s="36"/>
      <c r="AB256" s="29"/>
      <c r="AC256" s="35"/>
      <c r="AD256" s="36"/>
      <c r="AE256" s="36"/>
      <c r="AF256" s="29"/>
      <c r="AG256" s="35"/>
      <c r="AH256" s="36"/>
      <c r="AI256" s="36"/>
      <c r="AJ256" s="29"/>
      <c r="AK256" s="35"/>
      <c r="AL256" s="36"/>
      <c r="AM256" s="36"/>
      <c r="AN256" s="29"/>
      <c r="AO256" s="29"/>
      <c r="AP256" s="29"/>
      <c r="AQ256" s="37"/>
      <c r="AR256" s="29"/>
      <c r="AS256" s="38" t="str">
        <f aca="false">IF($C256="","",IF(OR(F256="Completed",F256="Cancelled"),"",IF(AND(OR(F256="On Hold",ISNUMBER(VALUE(LEFT(H256,2)))),AR256=""),"Reason not given","")))</f>
        <v/>
      </c>
      <c r="AT256" s="30"/>
      <c r="AU256" s="30"/>
    </row>
    <row r="257" customFormat="false" ht="19.5" hidden="false" customHeight="true" outlineLevel="0" collapsed="false">
      <c r="A257" s="28" t="str">
        <f aca="false">IF($C257="","",COUNTA($C$17:$C257))</f>
        <v/>
      </c>
      <c r="B257" s="29"/>
      <c r="C257" s="30"/>
      <c r="D257" s="29"/>
      <c r="E257" s="31" t="str">
        <f aca="false">IF($C257="","",IF(NOT(OR(M257="Completed",M257="NA",M257="Cancelled")),"S1 Schematic",IF(NOT(OR(Q257="Completed",Q257="NA",Q257="Cancelled")),"S2 PCB Layout",IF(NOT(OR(U257="Completed",U257="NA",U257="Cancelled")),"S3 SI &amp; PI",IF(NOT(OR(Y257="Completed",Y257="NA",Y257="Cancelled")),"S4 Bare-PCB Fab",IF(NOT(OR(AC257="Completed",AC257="NA",AC257="Cancelled")),"S5 Assembly",IF(NOT(OR(AG257="Completed",AG257="NA",AG257="Cancelled")),"S6 Bring-up",IF(NOT(OR(AK257="Completed",AK257="NA",AK257="Cancelled")),"S7 BOM Procurement","All Stages Closed"))))))))</f>
        <v/>
      </c>
      <c r="F257" s="32" t="str">
        <f aca="false">IF($C257="","",IF(COUNTIF(M257,"Cancelled")+COUNTIF(Q257,"Cancelled")+COUNTIF(U257,"Cancelled")+COUNTIF(Y257,"Cancelled")+COUNTIF(AC257,"Cancelled")+COUNTIF(AG257,"Cancelled")+COUNTIF(AK257,"Cancelled")&gt;0,"Cancelled",IF(E257="All Stages Closed","Completed",IF(E257="S1 Schematic",M257,IF(E257="S2 PCB Layout",Q257,IF(E257="S3 SI &amp; PI",U257,IF(E257="S4 Bare-PCB Fab",Y257,IF(E257="S5 Assembly",AC257,IF(E257="S6 Bring-up",AG257,AK257)))))))))</f>
        <v/>
      </c>
      <c r="G257" s="33" t="str">
        <f aca="false">IF($C257="","",IF(E257="All Stages Closed","",IF(E257="S1 Schematic",IF(N257="","Not added",N257),IF(E257="S2 PCB Layout",IF(R257="","Not added",R257),IF(E257="S3 SI &amp; PI",IF(V257="","Not added",V257),IF(E257="S4 Bare-PCB Fab",IF(Z257="","Not added",Z257),IF(E257="S5 Assembly",IF(AD257="","Not added",AD257),IF(E257="S6 Bring-up",IF(AH257="","Not added",AH257),IF(AL257="","Not added",AL257)))))))))</f>
        <v/>
      </c>
      <c r="H257" s="32" t="str">
        <f aca="true">IF($C257="","",IF(OR(F257="Completed",F257="Cancelled"),"",IF(NOT(ISNUMBER(G257)),"No date set",IF(TODAY()&gt;G257,TODAY()-G257&amp;" days late",G257-TODAY()&amp;" days left"))))</f>
        <v/>
      </c>
      <c r="I257" s="31" t="str">
        <f aca="false">IF($C257="","",COUNTIF(M257,"Completed")+COUNTIF(Q257,"Completed")+COUNTIF(U257,"Completed")+COUNTIF(Y257,"Completed")+COUNTIF(AC257,"Completed")+COUNTIF(AG257,"Completed")+COUNTIF(AK257,"Completed"))</f>
        <v/>
      </c>
      <c r="J257" s="31" t="str">
        <f aca="false">IF($C257="","",7-(COUNTIF(M257,"NA")+COUNTIF(Q257,"NA")+COUNTIF(U257,"NA")+COUNTIF(Y257,"NA")+COUNTIF(AC257,"NA")+COUNTIF(AG257,"NA")+COUNTIF(AK257,"NA")))</f>
        <v/>
      </c>
      <c r="K257" s="34" t="str">
        <f aca="false">IFERROR(I257/J257,"")</f>
        <v/>
      </c>
      <c r="L257" s="29"/>
      <c r="M257" s="35"/>
      <c r="N257" s="36"/>
      <c r="O257" s="36"/>
      <c r="P257" s="29"/>
      <c r="Q257" s="35"/>
      <c r="R257" s="36"/>
      <c r="S257" s="36"/>
      <c r="T257" s="29"/>
      <c r="U257" s="35"/>
      <c r="V257" s="36"/>
      <c r="W257" s="36"/>
      <c r="X257" s="29"/>
      <c r="Y257" s="35"/>
      <c r="Z257" s="36"/>
      <c r="AA257" s="36"/>
      <c r="AB257" s="29"/>
      <c r="AC257" s="35"/>
      <c r="AD257" s="36"/>
      <c r="AE257" s="36"/>
      <c r="AF257" s="29"/>
      <c r="AG257" s="35"/>
      <c r="AH257" s="36"/>
      <c r="AI257" s="36"/>
      <c r="AJ257" s="29"/>
      <c r="AK257" s="35"/>
      <c r="AL257" s="36"/>
      <c r="AM257" s="36"/>
      <c r="AN257" s="29"/>
      <c r="AO257" s="29"/>
      <c r="AP257" s="29"/>
      <c r="AQ257" s="37"/>
      <c r="AR257" s="29"/>
      <c r="AS257" s="38" t="str">
        <f aca="false">IF($C257="","",IF(OR(F257="Completed",F257="Cancelled"),"",IF(AND(OR(F257="On Hold",ISNUMBER(VALUE(LEFT(H257,2)))),AR257=""),"Reason not given","")))</f>
        <v/>
      </c>
      <c r="AT257" s="30"/>
      <c r="AU257" s="30"/>
    </row>
    <row r="258" customFormat="false" ht="19.5" hidden="false" customHeight="true" outlineLevel="0" collapsed="false">
      <c r="A258" s="28" t="str">
        <f aca="false">IF($C258="","",COUNTA($C$17:$C258))</f>
        <v/>
      </c>
      <c r="B258" s="29"/>
      <c r="C258" s="30"/>
      <c r="D258" s="29"/>
      <c r="E258" s="31" t="str">
        <f aca="false">IF($C258="","",IF(NOT(OR(M258="Completed",M258="NA",M258="Cancelled")),"S1 Schematic",IF(NOT(OR(Q258="Completed",Q258="NA",Q258="Cancelled")),"S2 PCB Layout",IF(NOT(OR(U258="Completed",U258="NA",U258="Cancelled")),"S3 SI &amp; PI",IF(NOT(OR(Y258="Completed",Y258="NA",Y258="Cancelled")),"S4 Bare-PCB Fab",IF(NOT(OR(AC258="Completed",AC258="NA",AC258="Cancelled")),"S5 Assembly",IF(NOT(OR(AG258="Completed",AG258="NA",AG258="Cancelled")),"S6 Bring-up",IF(NOT(OR(AK258="Completed",AK258="NA",AK258="Cancelled")),"S7 BOM Procurement","All Stages Closed"))))))))</f>
        <v/>
      </c>
      <c r="F258" s="32" t="str">
        <f aca="false">IF($C258="","",IF(COUNTIF(M258,"Cancelled")+COUNTIF(Q258,"Cancelled")+COUNTIF(U258,"Cancelled")+COUNTIF(Y258,"Cancelled")+COUNTIF(AC258,"Cancelled")+COUNTIF(AG258,"Cancelled")+COUNTIF(AK258,"Cancelled")&gt;0,"Cancelled",IF(E258="All Stages Closed","Completed",IF(E258="S1 Schematic",M258,IF(E258="S2 PCB Layout",Q258,IF(E258="S3 SI &amp; PI",U258,IF(E258="S4 Bare-PCB Fab",Y258,IF(E258="S5 Assembly",AC258,IF(E258="S6 Bring-up",AG258,AK258)))))))))</f>
        <v/>
      </c>
      <c r="G258" s="33" t="str">
        <f aca="false">IF($C258="","",IF(E258="All Stages Closed","",IF(E258="S1 Schematic",IF(N258="","Not added",N258),IF(E258="S2 PCB Layout",IF(R258="","Not added",R258),IF(E258="S3 SI &amp; PI",IF(V258="","Not added",V258),IF(E258="S4 Bare-PCB Fab",IF(Z258="","Not added",Z258),IF(E258="S5 Assembly",IF(AD258="","Not added",AD258),IF(E258="S6 Bring-up",IF(AH258="","Not added",AH258),IF(AL258="","Not added",AL258)))))))))</f>
        <v/>
      </c>
      <c r="H258" s="32" t="str">
        <f aca="true">IF($C258="","",IF(OR(F258="Completed",F258="Cancelled"),"",IF(NOT(ISNUMBER(G258)),"No date set",IF(TODAY()&gt;G258,TODAY()-G258&amp;" days late",G258-TODAY()&amp;" days left"))))</f>
        <v/>
      </c>
      <c r="I258" s="31" t="str">
        <f aca="false">IF($C258="","",COUNTIF(M258,"Completed")+COUNTIF(Q258,"Completed")+COUNTIF(U258,"Completed")+COUNTIF(Y258,"Completed")+COUNTIF(AC258,"Completed")+COUNTIF(AG258,"Completed")+COUNTIF(AK258,"Completed"))</f>
        <v/>
      </c>
      <c r="J258" s="31" t="str">
        <f aca="false">IF($C258="","",7-(COUNTIF(M258,"NA")+COUNTIF(Q258,"NA")+COUNTIF(U258,"NA")+COUNTIF(Y258,"NA")+COUNTIF(AC258,"NA")+COUNTIF(AG258,"NA")+COUNTIF(AK258,"NA")))</f>
        <v/>
      </c>
      <c r="K258" s="34" t="str">
        <f aca="false">IFERROR(I258/J258,"")</f>
        <v/>
      </c>
      <c r="L258" s="29"/>
      <c r="M258" s="35"/>
      <c r="N258" s="36"/>
      <c r="O258" s="36"/>
      <c r="P258" s="29"/>
      <c r="Q258" s="35"/>
      <c r="R258" s="36"/>
      <c r="S258" s="36"/>
      <c r="T258" s="29"/>
      <c r="U258" s="35"/>
      <c r="V258" s="36"/>
      <c r="W258" s="36"/>
      <c r="X258" s="29"/>
      <c r="Y258" s="35"/>
      <c r="Z258" s="36"/>
      <c r="AA258" s="36"/>
      <c r="AB258" s="29"/>
      <c r="AC258" s="35"/>
      <c r="AD258" s="36"/>
      <c r="AE258" s="36"/>
      <c r="AF258" s="29"/>
      <c r="AG258" s="35"/>
      <c r="AH258" s="36"/>
      <c r="AI258" s="36"/>
      <c r="AJ258" s="29"/>
      <c r="AK258" s="35"/>
      <c r="AL258" s="36"/>
      <c r="AM258" s="36"/>
      <c r="AN258" s="29"/>
      <c r="AO258" s="29"/>
      <c r="AP258" s="29"/>
      <c r="AQ258" s="37"/>
      <c r="AR258" s="29"/>
      <c r="AS258" s="38" t="str">
        <f aca="false">IF($C258="","",IF(OR(F258="Completed",F258="Cancelled"),"",IF(AND(OR(F258="On Hold",ISNUMBER(VALUE(LEFT(H258,2)))),AR258=""),"Reason not given","")))</f>
        <v/>
      </c>
      <c r="AT258" s="30"/>
      <c r="AU258" s="30"/>
    </row>
    <row r="259" customFormat="false" ht="19.5" hidden="false" customHeight="true" outlineLevel="0" collapsed="false">
      <c r="A259" s="28" t="str">
        <f aca="false">IF($C259="","",COUNTA($C$17:$C259))</f>
        <v/>
      </c>
      <c r="B259" s="29"/>
      <c r="C259" s="30"/>
      <c r="D259" s="29"/>
      <c r="E259" s="31" t="str">
        <f aca="false">IF($C259="","",IF(NOT(OR(M259="Completed",M259="NA",M259="Cancelled")),"S1 Schematic",IF(NOT(OR(Q259="Completed",Q259="NA",Q259="Cancelled")),"S2 PCB Layout",IF(NOT(OR(U259="Completed",U259="NA",U259="Cancelled")),"S3 SI &amp; PI",IF(NOT(OR(Y259="Completed",Y259="NA",Y259="Cancelled")),"S4 Bare-PCB Fab",IF(NOT(OR(AC259="Completed",AC259="NA",AC259="Cancelled")),"S5 Assembly",IF(NOT(OR(AG259="Completed",AG259="NA",AG259="Cancelled")),"S6 Bring-up",IF(NOT(OR(AK259="Completed",AK259="NA",AK259="Cancelled")),"S7 BOM Procurement","All Stages Closed"))))))))</f>
        <v/>
      </c>
      <c r="F259" s="32" t="str">
        <f aca="false">IF($C259="","",IF(COUNTIF(M259,"Cancelled")+COUNTIF(Q259,"Cancelled")+COUNTIF(U259,"Cancelled")+COUNTIF(Y259,"Cancelled")+COUNTIF(AC259,"Cancelled")+COUNTIF(AG259,"Cancelled")+COUNTIF(AK259,"Cancelled")&gt;0,"Cancelled",IF(E259="All Stages Closed","Completed",IF(E259="S1 Schematic",M259,IF(E259="S2 PCB Layout",Q259,IF(E259="S3 SI &amp; PI",U259,IF(E259="S4 Bare-PCB Fab",Y259,IF(E259="S5 Assembly",AC259,IF(E259="S6 Bring-up",AG259,AK259)))))))))</f>
        <v/>
      </c>
      <c r="G259" s="33" t="str">
        <f aca="false">IF($C259="","",IF(E259="All Stages Closed","",IF(E259="S1 Schematic",IF(N259="","Not added",N259),IF(E259="S2 PCB Layout",IF(R259="","Not added",R259),IF(E259="S3 SI &amp; PI",IF(V259="","Not added",V259),IF(E259="S4 Bare-PCB Fab",IF(Z259="","Not added",Z259),IF(E259="S5 Assembly",IF(AD259="","Not added",AD259),IF(E259="S6 Bring-up",IF(AH259="","Not added",AH259),IF(AL259="","Not added",AL259)))))))))</f>
        <v/>
      </c>
      <c r="H259" s="32" t="str">
        <f aca="true">IF($C259="","",IF(OR(F259="Completed",F259="Cancelled"),"",IF(NOT(ISNUMBER(G259)),"No date set",IF(TODAY()&gt;G259,TODAY()-G259&amp;" days late",G259-TODAY()&amp;" days left"))))</f>
        <v/>
      </c>
      <c r="I259" s="31" t="str">
        <f aca="false">IF($C259="","",COUNTIF(M259,"Completed")+COUNTIF(Q259,"Completed")+COUNTIF(U259,"Completed")+COUNTIF(Y259,"Completed")+COUNTIF(AC259,"Completed")+COUNTIF(AG259,"Completed")+COUNTIF(AK259,"Completed"))</f>
        <v/>
      </c>
      <c r="J259" s="31" t="str">
        <f aca="false">IF($C259="","",7-(COUNTIF(M259,"NA")+COUNTIF(Q259,"NA")+COUNTIF(U259,"NA")+COUNTIF(Y259,"NA")+COUNTIF(AC259,"NA")+COUNTIF(AG259,"NA")+COUNTIF(AK259,"NA")))</f>
        <v/>
      </c>
      <c r="K259" s="34" t="str">
        <f aca="false">IFERROR(I259/J259,"")</f>
        <v/>
      </c>
      <c r="L259" s="29"/>
      <c r="M259" s="35"/>
      <c r="N259" s="36"/>
      <c r="O259" s="36"/>
      <c r="P259" s="29"/>
      <c r="Q259" s="35"/>
      <c r="R259" s="36"/>
      <c r="S259" s="36"/>
      <c r="T259" s="29"/>
      <c r="U259" s="35"/>
      <c r="V259" s="36"/>
      <c r="W259" s="36"/>
      <c r="X259" s="29"/>
      <c r="Y259" s="35"/>
      <c r="Z259" s="36"/>
      <c r="AA259" s="36"/>
      <c r="AB259" s="29"/>
      <c r="AC259" s="35"/>
      <c r="AD259" s="36"/>
      <c r="AE259" s="36"/>
      <c r="AF259" s="29"/>
      <c r="AG259" s="35"/>
      <c r="AH259" s="36"/>
      <c r="AI259" s="36"/>
      <c r="AJ259" s="29"/>
      <c r="AK259" s="35"/>
      <c r="AL259" s="36"/>
      <c r="AM259" s="36"/>
      <c r="AN259" s="29"/>
      <c r="AO259" s="29"/>
      <c r="AP259" s="29"/>
      <c r="AQ259" s="37"/>
      <c r="AR259" s="29"/>
      <c r="AS259" s="38" t="str">
        <f aca="false">IF($C259="","",IF(OR(F259="Completed",F259="Cancelled"),"",IF(AND(OR(F259="On Hold",ISNUMBER(VALUE(LEFT(H259,2)))),AR259=""),"Reason not given","")))</f>
        <v/>
      </c>
      <c r="AT259" s="30"/>
      <c r="AU259" s="30"/>
    </row>
    <row r="260" customFormat="false" ht="19.5" hidden="false" customHeight="true" outlineLevel="0" collapsed="false">
      <c r="A260" s="28" t="str">
        <f aca="false">IF($C260="","",COUNTA($C$17:$C260))</f>
        <v/>
      </c>
      <c r="B260" s="29"/>
      <c r="C260" s="30"/>
      <c r="D260" s="29"/>
      <c r="E260" s="31" t="str">
        <f aca="false">IF($C260="","",IF(NOT(OR(M260="Completed",M260="NA",M260="Cancelled")),"S1 Schematic",IF(NOT(OR(Q260="Completed",Q260="NA",Q260="Cancelled")),"S2 PCB Layout",IF(NOT(OR(U260="Completed",U260="NA",U260="Cancelled")),"S3 SI &amp; PI",IF(NOT(OR(Y260="Completed",Y260="NA",Y260="Cancelled")),"S4 Bare-PCB Fab",IF(NOT(OR(AC260="Completed",AC260="NA",AC260="Cancelled")),"S5 Assembly",IF(NOT(OR(AG260="Completed",AG260="NA",AG260="Cancelled")),"S6 Bring-up",IF(NOT(OR(AK260="Completed",AK260="NA",AK260="Cancelled")),"S7 BOM Procurement","All Stages Closed"))))))))</f>
        <v/>
      </c>
      <c r="F260" s="32" t="str">
        <f aca="false">IF($C260="","",IF(COUNTIF(M260,"Cancelled")+COUNTIF(Q260,"Cancelled")+COUNTIF(U260,"Cancelled")+COUNTIF(Y260,"Cancelled")+COUNTIF(AC260,"Cancelled")+COUNTIF(AG260,"Cancelled")+COUNTIF(AK260,"Cancelled")&gt;0,"Cancelled",IF(E260="All Stages Closed","Completed",IF(E260="S1 Schematic",M260,IF(E260="S2 PCB Layout",Q260,IF(E260="S3 SI &amp; PI",U260,IF(E260="S4 Bare-PCB Fab",Y260,IF(E260="S5 Assembly",AC260,IF(E260="S6 Bring-up",AG260,AK260)))))))))</f>
        <v/>
      </c>
      <c r="G260" s="33" t="str">
        <f aca="false">IF($C260="","",IF(E260="All Stages Closed","",IF(E260="S1 Schematic",IF(N260="","Not added",N260),IF(E260="S2 PCB Layout",IF(R260="","Not added",R260),IF(E260="S3 SI &amp; PI",IF(V260="","Not added",V260),IF(E260="S4 Bare-PCB Fab",IF(Z260="","Not added",Z260),IF(E260="S5 Assembly",IF(AD260="","Not added",AD260),IF(E260="S6 Bring-up",IF(AH260="","Not added",AH260),IF(AL260="","Not added",AL260)))))))))</f>
        <v/>
      </c>
      <c r="H260" s="32" t="str">
        <f aca="true">IF($C260="","",IF(OR(F260="Completed",F260="Cancelled"),"",IF(NOT(ISNUMBER(G260)),"No date set",IF(TODAY()&gt;G260,TODAY()-G260&amp;" days late",G260-TODAY()&amp;" days left"))))</f>
        <v/>
      </c>
      <c r="I260" s="31" t="str">
        <f aca="false">IF($C260="","",COUNTIF(M260,"Completed")+COUNTIF(Q260,"Completed")+COUNTIF(U260,"Completed")+COUNTIF(Y260,"Completed")+COUNTIF(AC260,"Completed")+COUNTIF(AG260,"Completed")+COUNTIF(AK260,"Completed"))</f>
        <v/>
      </c>
      <c r="J260" s="31" t="str">
        <f aca="false">IF($C260="","",7-(COUNTIF(M260,"NA")+COUNTIF(Q260,"NA")+COUNTIF(U260,"NA")+COUNTIF(Y260,"NA")+COUNTIF(AC260,"NA")+COUNTIF(AG260,"NA")+COUNTIF(AK260,"NA")))</f>
        <v/>
      </c>
      <c r="K260" s="34" t="str">
        <f aca="false">IFERROR(I260/J260,"")</f>
        <v/>
      </c>
      <c r="L260" s="29"/>
      <c r="M260" s="35"/>
      <c r="N260" s="36"/>
      <c r="O260" s="36"/>
      <c r="P260" s="29"/>
      <c r="Q260" s="35"/>
      <c r="R260" s="36"/>
      <c r="S260" s="36"/>
      <c r="T260" s="29"/>
      <c r="U260" s="35"/>
      <c r="V260" s="36"/>
      <c r="W260" s="36"/>
      <c r="X260" s="29"/>
      <c r="Y260" s="35"/>
      <c r="Z260" s="36"/>
      <c r="AA260" s="36"/>
      <c r="AB260" s="29"/>
      <c r="AC260" s="35"/>
      <c r="AD260" s="36"/>
      <c r="AE260" s="36"/>
      <c r="AF260" s="29"/>
      <c r="AG260" s="35"/>
      <c r="AH260" s="36"/>
      <c r="AI260" s="36"/>
      <c r="AJ260" s="29"/>
      <c r="AK260" s="35"/>
      <c r="AL260" s="36"/>
      <c r="AM260" s="36"/>
      <c r="AN260" s="29"/>
      <c r="AO260" s="29"/>
      <c r="AP260" s="29"/>
      <c r="AQ260" s="37"/>
      <c r="AR260" s="29"/>
      <c r="AS260" s="38" t="str">
        <f aca="false">IF($C260="","",IF(OR(F260="Completed",F260="Cancelled"),"",IF(AND(OR(F260="On Hold",ISNUMBER(VALUE(LEFT(H260,2)))),AR260=""),"Reason not given","")))</f>
        <v/>
      </c>
      <c r="AT260" s="30"/>
      <c r="AU260" s="30"/>
    </row>
    <row r="261" customFormat="false" ht="19.5" hidden="false" customHeight="true" outlineLevel="0" collapsed="false">
      <c r="A261" s="28" t="str">
        <f aca="false">IF($C261="","",COUNTA($C$17:$C261))</f>
        <v/>
      </c>
      <c r="B261" s="29"/>
      <c r="C261" s="30"/>
      <c r="D261" s="29"/>
      <c r="E261" s="31" t="str">
        <f aca="false">IF($C261="","",IF(NOT(OR(M261="Completed",M261="NA",M261="Cancelled")),"S1 Schematic",IF(NOT(OR(Q261="Completed",Q261="NA",Q261="Cancelled")),"S2 PCB Layout",IF(NOT(OR(U261="Completed",U261="NA",U261="Cancelled")),"S3 SI &amp; PI",IF(NOT(OR(Y261="Completed",Y261="NA",Y261="Cancelled")),"S4 Bare-PCB Fab",IF(NOT(OR(AC261="Completed",AC261="NA",AC261="Cancelled")),"S5 Assembly",IF(NOT(OR(AG261="Completed",AG261="NA",AG261="Cancelled")),"S6 Bring-up",IF(NOT(OR(AK261="Completed",AK261="NA",AK261="Cancelled")),"S7 BOM Procurement","All Stages Closed"))))))))</f>
        <v/>
      </c>
      <c r="F261" s="32" t="str">
        <f aca="false">IF($C261="","",IF(COUNTIF(M261,"Cancelled")+COUNTIF(Q261,"Cancelled")+COUNTIF(U261,"Cancelled")+COUNTIF(Y261,"Cancelled")+COUNTIF(AC261,"Cancelled")+COUNTIF(AG261,"Cancelled")+COUNTIF(AK261,"Cancelled")&gt;0,"Cancelled",IF(E261="All Stages Closed","Completed",IF(E261="S1 Schematic",M261,IF(E261="S2 PCB Layout",Q261,IF(E261="S3 SI &amp; PI",U261,IF(E261="S4 Bare-PCB Fab",Y261,IF(E261="S5 Assembly",AC261,IF(E261="S6 Bring-up",AG261,AK261)))))))))</f>
        <v/>
      </c>
      <c r="G261" s="33" t="str">
        <f aca="false">IF($C261="","",IF(E261="All Stages Closed","",IF(E261="S1 Schematic",IF(N261="","Not added",N261),IF(E261="S2 PCB Layout",IF(R261="","Not added",R261),IF(E261="S3 SI &amp; PI",IF(V261="","Not added",V261),IF(E261="S4 Bare-PCB Fab",IF(Z261="","Not added",Z261),IF(E261="S5 Assembly",IF(AD261="","Not added",AD261),IF(E261="S6 Bring-up",IF(AH261="","Not added",AH261),IF(AL261="","Not added",AL261)))))))))</f>
        <v/>
      </c>
      <c r="H261" s="32" t="str">
        <f aca="true">IF($C261="","",IF(OR(F261="Completed",F261="Cancelled"),"",IF(NOT(ISNUMBER(G261)),"No date set",IF(TODAY()&gt;G261,TODAY()-G261&amp;" days late",G261-TODAY()&amp;" days left"))))</f>
        <v/>
      </c>
      <c r="I261" s="31" t="str">
        <f aca="false">IF($C261="","",COUNTIF(M261,"Completed")+COUNTIF(Q261,"Completed")+COUNTIF(U261,"Completed")+COUNTIF(Y261,"Completed")+COUNTIF(AC261,"Completed")+COUNTIF(AG261,"Completed")+COUNTIF(AK261,"Completed"))</f>
        <v/>
      </c>
      <c r="J261" s="31" t="str">
        <f aca="false">IF($C261="","",7-(COUNTIF(M261,"NA")+COUNTIF(Q261,"NA")+COUNTIF(U261,"NA")+COUNTIF(Y261,"NA")+COUNTIF(AC261,"NA")+COUNTIF(AG261,"NA")+COUNTIF(AK261,"NA")))</f>
        <v/>
      </c>
      <c r="K261" s="34" t="str">
        <f aca="false">IFERROR(I261/J261,"")</f>
        <v/>
      </c>
      <c r="L261" s="29"/>
      <c r="M261" s="35"/>
      <c r="N261" s="36"/>
      <c r="O261" s="36"/>
      <c r="P261" s="29"/>
      <c r="Q261" s="35"/>
      <c r="R261" s="36"/>
      <c r="S261" s="36"/>
      <c r="T261" s="29"/>
      <c r="U261" s="35"/>
      <c r="V261" s="36"/>
      <c r="W261" s="36"/>
      <c r="X261" s="29"/>
      <c r="Y261" s="35"/>
      <c r="Z261" s="36"/>
      <c r="AA261" s="36"/>
      <c r="AB261" s="29"/>
      <c r="AC261" s="35"/>
      <c r="AD261" s="36"/>
      <c r="AE261" s="36"/>
      <c r="AF261" s="29"/>
      <c r="AG261" s="35"/>
      <c r="AH261" s="36"/>
      <c r="AI261" s="36"/>
      <c r="AJ261" s="29"/>
      <c r="AK261" s="35"/>
      <c r="AL261" s="36"/>
      <c r="AM261" s="36"/>
      <c r="AN261" s="29"/>
      <c r="AO261" s="29"/>
      <c r="AP261" s="29"/>
      <c r="AQ261" s="37"/>
      <c r="AR261" s="29"/>
      <c r="AS261" s="38" t="str">
        <f aca="false">IF($C261="","",IF(OR(F261="Completed",F261="Cancelled"),"",IF(AND(OR(F261="On Hold",ISNUMBER(VALUE(LEFT(H261,2)))),AR261=""),"Reason not given","")))</f>
        <v/>
      </c>
      <c r="AT261" s="30"/>
      <c r="AU261" s="30"/>
    </row>
    <row r="262" customFormat="false" ht="19.5" hidden="false" customHeight="true" outlineLevel="0" collapsed="false">
      <c r="A262" s="28" t="str">
        <f aca="false">IF($C262="","",COUNTA($C$17:$C262))</f>
        <v/>
      </c>
      <c r="B262" s="29"/>
      <c r="C262" s="30"/>
      <c r="D262" s="29"/>
      <c r="E262" s="31" t="str">
        <f aca="false">IF($C262="","",IF(NOT(OR(M262="Completed",M262="NA",M262="Cancelled")),"S1 Schematic",IF(NOT(OR(Q262="Completed",Q262="NA",Q262="Cancelled")),"S2 PCB Layout",IF(NOT(OR(U262="Completed",U262="NA",U262="Cancelled")),"S3 SI &amp; PI",IF(NOT(OR(Y262="Completed",Y262="NA",Y262="Cancelled")),"S4 Bare-PCB Fab",IF(NOT(OR(AC262="Completed",AC262="NA",AC262="Cancelled")),"S5 Assembly",IF(NOT(OR(AG262="Completed",AG262="NA",AG262="Cancelled")),"S6 Bring-up",IF(NOT(OR(AK262="Completed",AK262="NA",AK262="Cancelled")),"S7 BOM Procurement","All Stages Closed"))))))))</f>
        <v/>
      </c>
      <c r="F262" s="32" t="str">
        <f aca="false">IF($C262="","",IF(COUNTIF(M262,"Cancelled")+COUNTIF(Q262,"Cancelled")+COUNTIF(U262,"Cancelled")+COUNTIF(Y262,"Cancelled")+COUNTIF(AC262,"Cancelled")+COUNTIF(AG262,"Cancelled")+COUNTIF(AK262,"Cancelled")&gt;0,"Cancelled",IF(E262="All Stages Closed","Completed",IF(E262="S1 Schematic",M262,IF(E262="S2 PCB Layout",Q262,IF(E262="S3 SI &amp; PI",U262,IF(E262="S4 Bare-PCB Fab",Y262,IF(E262="S5 Assembly",AC262,IF(E262="S6 Bring-up",AG262,AK262)))))))))</f>
        <v/>
      </c>
      <c r="G262" s="33" t="str">
        <f aca="false">IF($C262="","",IF(E262="All Stages Closed","",IF(E262="S1 Schematic",IF(N262="","Not added",N262),IF(E262="S2 PCB Layout",IF(R262="","Not added",R262),IF(E262="S3 SI &amp; PI",IF(V262="","Not added",V262),IF(E262="S4 Bare-PCB Fab",IF(Z262="","Not added",Z262),IF(E262="S5 Assembly",IF(AD262="","Not added",AD262),IF(E262="S6 Bring-up",IF(AH262="","Not added",AH262),IF(AL262="","Not added",AL262)))))))))</f>
        <v/>
      </c>
      <c r="H262" s="32" t="str">
        <f aca="true">IF($C262="","",IF(OR(F262="Completed",F262="Cancelled"),"",IF(NOT(ISNUMBER(G262)),"No date set",IF(TODAY()&gt;G262,TODAY()-G262&amp;" days late",G262-TODAY()&amp;" days left"))))</f>
        <v/>
      </c>
      <c r="I262" s="31" t="str">
        <f aca="false">IF($C262="","",COUNTIF(M262,"Completed")+COUNTIF(Q262,"Completed")+COUNTIF(U262,"Completed")+COUNTIF(Y262,"Completed")+COUNTIF(AC262,"Completed")+COUNTIF(AG262,"Completed")+COUNTIF(AK262,"Completed"))</f>
        <v/>
      </c>
      <c r="J262" s="31" t="str">
        <f aca="false">IF($C262="","",7-(COUNTIF(M262,"NA")+COUNTIF(Q262,"NA")+COUNTIF(U262,"NA")+COUNTIF(Y262,"NA")+COUNTIF(AC262,"NA")+COUNTIF(AG262,"NA")+COUNTIF(AK262,"NA")))</f>
        <v/>
      </c>
      <c r="K262" s="34" t="str">
        <f aca="false">IFERROR(I262/J262,"")</f>
        <v/>
      </c>
      <c r="L262" s="29"/>
      <c r="M262" s="35"/>
      <c r="N262" s="36"/>
      <c r="O262" s="36"/>
      <c r="P262" s="29"/>
      <c r="Q262" s="35"/>
      <c r="R262" s="36"/>
      <c r="S262" s="36"/>
      <c r="T262" s="29"/>
      <c r="U262" s="35"/>
      <c r="V262" s="36"/>
      <c r="W262" s="36"/>
      <c r="X262" s="29"/>
      <c r="Y262" s="35"/>
      <c r="Z262" s="36"/>
      <c r="AA262" s="36"/>
      <c r="AB262" s="29"/>
      <c r="AC262" s="35"/>
      <c r="AD262" s="36"/>
      <c r="AE262" s="36"/>
      <c r="AF262" s="29"/>
      <c r="AG262" s="35"/>
      <c r="AH262" s="36"/>
      <c r="AI262" s="36"/>
      <c r="AJ262" s="29"/>
      <c r="AK262" s="35"/>
      <c r="AL262" s="36"/>
      <c r="AM262" s="36"/>
      <c r="AN262" s="29"/>
      <c r="AO262" s="29"/>
      <c r="AP262" s="29"/>
      <c r="AQ262" s="37"/>
      <c r="AR262" s="29"/>
      <c r="AS262" s="38" t="str">
        <f aca="false">IF($C262="","",IF(OR(F262="Completed",F262="Cancelled"),"",IF(AND(OR(F262="On Hold",ISNUMBER(VALUE(LEFT(H262,2)))),AR262=""),"Reason not given","")))</f>
        <v/>
      </c>
      <c r="AT262" s="30"/>
      <c r="AU262" s="30"/>
    </row>
    <row r="263" customFormat="false" ht="19.5" hidden="false" customHeight="true" outlineLevel="0" collapsed="false">
      <c r="A263" s="28" t="str">
        <f aca="false">IF($C263="","",COUNTA($C$17:$C263))</f>
        <v/>
      </c>
      <c r="B263" s="29"/>
      <c r="C263" s="30"/>
      <c r="D263" s="29"/>
      <c r="E263" s="31" t="str">
        <f aca="false">IF($C263="","",IF(NOT(OR(M263="Completed",M263="NA",M263="Cancelled")),"S1 Schematic",IF(NOT(OR(Q263="Completed",Q263="NA",Q263="Cancelled")),"S2 PCB Layout",IF(NOT(OR(U263="Completed",U263="NA",U263="Cancelled")),"S3 SI &amp; PI",IF(NOT(OR(Y263="Completed",Y263="NA",Y263="Cancelled")),"S4 Bare-PCB Fab",IF(NOT(OR(AC263="Completed",AC263="NA",AC263="Cancelled")),"S5 Assembly",IF(NOT(OR(AG263="Completed",AG263="NA",AG263="Cancelled")),"S6 Bring-up",IF(NOT(OR(AK263="Completed",AK263="NA",AK263="Cancelled")),"S7 BOM Procurement","All Stages Closed"))))))))</f>
        <v/>
      </c>
      <c r="F263" s="32" t="str">
        <f aca="false">IF($C263="","",IF(COUNTIF(M263,"Cancelled")+COUNTIF(Q263,"Cancelled")+COUNTIF(U263,"Cancelled")+COUNTIF(Y263,"Cancelled")+COUNTIF(AC263,"Cancelled")+COUNTIF(AG263,"Cancelled")+COUNTIF(AK263,"Cancelled")&gt;0,"Cancelled",IF(E263="All Stages Closed","Completed",IF(E263="S1 Schematic",M263,IF(E263="S2 PCB Layout",Q263,IF(E263="S3 SI &amp; PI",U263,IF(E263="S4 Bare-PCB Fab",Y263,IF(E263="S5 Assembly",AC263,IF(E263="S6 Bring-up",AG263,AK263)))))))))</f>
        <v/>
      </c>
      <c r="G263" s="33" t="str">
        <f aca="false">IF($C263="","",IF(E263="All Stages Closed","",IF(E263="S1 Schematic",IF(N263="","Not added",N263),IF(E263="S2 PCB Layout",IF(R263="","Not added",R263),IF(E263="S3 SI &amp; PI",IF(V263="","Not added",V263),IF(E263="S4 Bare-PCB Fab",IF(Z263="","Not added",Z263),IF(E263="S5 Assembly",IF(AD263="","Not added",AD263),IF(E263="S6 Bring-up",IF(AH263="","Not added",AH263),IF(AL263="","Not added",AL263)))))))))</f>
        <v/>
      </c>
      <c r="H263" s="32" t="str">
        <f aca="true">IF($C263="","",IF(OR(F263="Completed",F263="Cancelled"),"",IF(NOT(ISNUMBER(G263)),"No date set",IF(TODAY()&gt;G263,TODAY()-G263&amp;" days late",G263-TODAY()&amp;" days left"))))</f>
        <v/>
      </c>
      <c r="I263" s="31" t="str">
        <f aca="false">IF($C263="","",COUNTIF(M263,"Completed")+COUNTIF(Q263,"Completed")+COUNTIF(U263,"Completed")+COUNTIF(Y263,"Completed")+COUNTIF(AC263,"Completed")+COUNTIF(AG263,"Completed")+COUNTIF(AK263,"Completed"))</f>
        <v/>
      </c>
      <c r="J263" s="31" t="str">
        <f aca="false">IF($C263="","",7-(COUNTIF(M263,"NA")+COUNTIF(Q263,"NA")+COUNTIF(U263,"NA")+COUNTIF(Y263,"NA")+COUNTIF(AC263,"NA")+COUNTIF(AG263,"NA")+COUNTIF(AK263,"NA")))</f>
        <v/>
      </c>
      <c r="K263" s="34" t="str">
        <f aca="false">IFERROR(I263/J263,"")</f>
        <v/>
      </c>
      <c r="L263" s="29"/>
      <c r="M263" s="35"/>
      <c r="N263" s="36"/>
      <c r="O263" s="36"/>
      <c r="P263" s="29"/>
      <c r="Q263" s="35"/>
      <c r="R263" s="36"/>
      <c r="S263" s="36"/>
      <c r="T263" s="29"/>
      <c r="U263" s="35"/>
      <c r="V263" s="36"/>
      <c r="W263" s="36"/>
      <c r="X263" s="29"/>
      <c r="Y263" s="35"/>
      <c r="Z263" s="36"/>
      <c r="AA263" s="36"/>
      <c r="AB263" s="29"/>
      <c r="AC263" s="35"/>
      <c r="AD263" s="36"/>
      <c r="AE263" s="36"/>
      <c r="AF263" s="29"/>
      <c r="AG263" s="35"/>
      <c r="AH263" s="36"/>
      <c r="AI263" s="36"/>
      <c r="AJ263" s="29"/>
      <c r="AK263" s="35"/>
      <c r="AL263" s="36"/>
      <c r="AM263" s="36"/>
      <c r="AN263" s="29"/>
      <c r="AO263" s="29"/>
      <c r="AP263" s="29"/>
      <c r="AQ263" s="37"/>
      <c r="AR263" s="29"/>
      <c r="AS263" s="38" t="str">
        <f aca="false">IF($C263="","",IF(OR(F263="Completed",F263="Cancelled"),"",IF(AND(OR(F263="On Hold",ISNUMBER(VALUE(LEFT(H263,2)))),AR263=""),"Reason not given","")))</f>
        <v/>
      </c>
      <c r="AT263" s="30"/>
      <c r="AU263" s="30"/>
    </row>
    <row r="264" customFormat="false" ht="19.5" hidden="false" customHeight="true" outlineLevel="0" collapsed="false">
      <c r="A264" s="28" t="str">
        <f aca="false">IF($C264="","",COUNTA($C$17:$C264))</f>
        <v/>
      </c>
      <c r="B264" s="29"/>
      <c r="C264" s="30"/>
      <c r="D264" s="29"/>
      <c r="E264" s="31" t="str">
        <f aca="false">IF($C264="","",IF(NOT(OR(M264="Completed",M264="NA",M264="Cancelled")),"S1 Schematic",IF(NOT(OR(Q264="Completed",Q264="NA",Q264="Cancelled")),"S2 PCB Layout",IF(NOT(OR(U264="Completed",U264="NA",U264="Cancelled")),"S3 SI &amp; PI",IF(NOT(OR(Y264="Completed",Y264="NA",Y264="Cancelled")),"S4 Bare-PCB Fab",IF(NOT(OR(AC264="Completed",AC264="NA",AC264="Cancelled")),"S5 Assembly",IF(NOT(OR(AG264="Completed",AG264="NA",AG264="Cancelled")),"S6 Bring-up",IF(NOT(OR(AK264="Completed",AK264="NA",AK264="Cancelled")),"S7 BOM Procurement","All Stages Closed"))))))))</f>
        <v/>
      </c>
      <c r="F264" s="32" t="str">
        <f aca="false">IF($C264="","",IF(COUNTIF(M264,"Cancelled")+COUNTIF(Q264,"Cancelled")+COUNTIF(U264,"Cancelled")+COUNTIF(Y264,"Cancelled")+COUNTIF(AC264,"Cancelled")+COUNTIF(AG264,"Cancelled")+COUNTIF(AK264,"Cancelled")&gt;0,"Cancelled",IF(E264="All Stages Closed","Completed",IF(E264="S1 Schematic",M264,IF(E264="S2 PCB Layout",Q264,IF(E264="S3 SI &amp; PI",U264,IF(E264="S4 Bare-PCB Fab",Y264,IF(E264="S5 Assembly",AC264,IF(E264="S6 Bring-up",AG264,AK264)))))))))</f>
        <v/>
      </c>
      <c r="G264" s="33" t="str">
        <f aca="false">IF($C264="","",IF(E264="All Stages Closed","",IF(E264="S1 Schematic",IF(N264="","Not added",N264),IF(E264="S2 PCB Layout",IF(R264="","Not added",R264),IF(E264="S3 SI &amp; PI",IF(V264="","Not added",V264),IF(E264="S4 Bare-PCB Fab",IF(Z264="","Not added",Z264),IF(E264="S5 Assembly",IF(AD264="","Not added",AD264),IF(E264="S6 Bring-up",IF(AH264="","Not added",AH264),IF(AL264="","Not added",AL264)))))))))</f>
        <v/>
      </c>
      <c r="H264" s="32" t="str">
        <f aca="true">IF($C264="","",IF(OR(F264="Completed",F264="Cancelled"),"",IF(NOT(ISNUMBER(G264)),"No date set",IF(TODAY()&gt;G264,TODAY()-G264&amp;" days late",G264-TODAY()&amp;" days left"))))</f>
        <v/>
      </c>
      <c r="I264" s="31" t="str">
        <f aca="false">IF($C264="","",COUNTIF(M264,"Completed")+COUNTIF(Q264,"Completed")+COUNTIF(U264,"Completed")+COUNTIF(Y264,"Completed")+COUNTIF(AC264,"Completed")+COUNTIF(AG264,"Completed")+COUNTIF(AK264,"Completed"))</f>
        <v/>
      </c>
      <c r="J264" s="31" t="str">
        <f aca="false">IF($C264="","",7-(COUNTIF(M264,"NA")+COUNTIF(Q264,"NA")+COUNTIF(U264,"NA")+COUNTIF(Y264,"NA")+COUNTIF(AC264,"NA")+COUNTIF(AG264,"NA")+COUNTIF(AK264,"NA")))</f>
        <v/>
      </c>
      <c r="K264" s="34" t="str">
        <f aca="false">IFERROR(I264/J264,"")</f>
        <v/>
      </c>
      <c r="L264" s="29"/>
      <c r="M264" s="35"/>
      <c r="N264" s="36"/>
      <c r="O264" s="36"/>
      <c r="P264" s="29"/>
      <c r="Q264" s="35"/>
      <c r="R264" s="36"/>
      <c r="S264" s="36"/>
      <c r="T264" s="29"/>
      <c r="U264" s="35"/>
      <c r="V264" s="36"/>
      <c r="W264" s="36"/>
      <c r="X264" s="29"/>
      <c r="Y264" s="35"/>
      <c r="Z264" s="36"/>
      <c r="AA264" s="36"/>
      <c r="AB264" s="29"/>
      <c r="AC264" s="35"/>
      <c r="AD264" s="36"/>
      <c r="AE264" s="36"/>
      <c r="AF264" s="29"/>
      <c r="AG264" s="35"/>
      <c r="AH264" s="36"/>
      <c r="AI264" s="36"/>
      <c r="AJ264" s="29"/>
      <c r="AK264" s="35"/>
      <c r="AL264" s="36"/>
      <c r="AM264" s="36"/>
      <c r="AN264" s="29"/>
      <c r="AO264" s="29"/>
      <c r="AP264" s="29"/>
      <c r="AQ264" s="37"/>
      <c r="AR264" s="29"/>
      <c r="AS264" s="38" t="str">
        <f aca="false">IF($C264="","",IF(OR(F264="Completed",F264="Cancelled"),"",IF(AND(OR(F264="On Hold",ISNUMBER(VALUE(LEFT(H264,2)))),AR264=""),"Reason not given","")))</f>
        <v/>
      </c>
      <c r="AT264" s="30"/>
      <c r="AU264" s="30"/>
    </row>
    <row r="265" customFormat="false" ht="19.5" hidden="false" customHeight="true" outlineLevel="0" collapsed="false">
      <c r="A265" s="28" t="str">
        <f aca="false">IF($C265="","",COUNTA($C$17:$C265))</f>
        <v/>
      </c>
      <c r="B265" s="29"/>
      <c r="C265" s="30"/>
      <c r="D265" s="29"/>
      <c r="E265" s="31" t="str">
        <f aca="false">IF($C265="","",IF(NOT(OR(M265="Completed",M265="NA",M265="Cancelled")),"S1 Schematic",IF(NOT(OR(Q265="Completed",Q265="NA",Q265="Cancelled")),"S2 PCB Layout",IF(NOT(OR(U265="Completed",U265="NA",U265="Cancelled")),"S3 SI &amp; PI",IF(NOT(OR(Y265="Completed",Y265="NA",Y265="Cancelled")),"S4 Bare-PCB Fab",IF(NOT(OR(AC265="Completed",AC265="NA",AC265="Cancelled")),"S5 Assembly",IF(NOT(OR(AG265="Completed",AG265="NA",AG265="Cancelled")),"S6 Bring-up",IF(NOT(OR(AK265="Completed",AK265="NA",AK265="Cancelled")),"S7 BOM Procurement","All Stages Closed"))))))))</f>
        <v/>
      </c>
      <c r="F265" s="32" t="str">
        <f aca="false">IF($C265="","",IF(COUNTIF(M265,"Cancelled")+COUNTIF(Q265,"Cancelled")+COUNTIF(U265,"Cancelled")+COUNTIF(Y265,"Cancelled")+COUNTIF(AC265,"Cancelled")+COUNTIF(AG265,"Cancelled")+COUNTIF(AK265,"Cancelled")&gt;0,"Cancelled",IF(E265="All Stages Closed","Completed",IF(E265="S1 Schematic",M265,IF(E265="S2 PCB Layout",Q265,IF(E265="S3 SI &amp; PI",U265,IF(E265="S4 Bare-PCB Fab",Y265,IF(E265="S5 Assembly",AC265,IF(E265="S6 Bring-up",AG265,AK265)))))))))</f>
        <v/>
      </c>
      <c r="G265" s="33" t="str">
        <f aca="false">IF($C265="","",IF(E265="All Stages Closed","",IF(E265="S1 Schematic",IF(N265="","Not added",N265),IF(E265="S2 PCB Layout",IF(R265="","Not added",R265),IF(E265="S3 SI &amp; PI",IF(V265="","Not added",V265),IF(E265="S4 Bare-PCB Fab",IF(Z265="","Not added",Z265),IF(E265="S5 Assembly",IF(AD265="","Not added",AD265),IF(E265="S6 Bring-up",IF(AH265="","Not added",AH265),IF(AL265="","Not added",AL265)))))))))</f>
        <v/>
      </c>
      <c r="H265" s="32" t="str">
        <f aca="true">IF($C265="","",IF(OR(F265="Completed",F265="Cancelled"),"",IF(NOT(ISNUMBER(G265)),"No date set",IF(TODAY()&gt;G265,TODAY()-G265&amp;" days late",G265-TODAY()&amp;" days left"))))</f>
        <v/>
      </c>
      <c r="I265" s="31" t="str">
        <f aca="false">IF($C265="","",COUNTIF(M265,"Completed")+COUNTIF(Q265,"Completed")+COUNTIF(U265,"Completed")+COUNTIF(Y265,"Completed")+COUNTIF(AC265,"Completed")+COUNTIF(AG265,"Completed")+COUNTIF(AK265,"Completed"))</f>
        <v/>
      </c>
      <c r="J265" s="31" t="str">
        <f aca="false">IF($C265="","",7-(COUNTIF(M265,"NA")+COUNTIF(Q265,"NA")+COUNTIF(U265,"NA")+COUNTIF(Y265,"NA")+COUNTIF(AC265,"NA")+COUNTIF(AG265,"NA")+COUNTIF(AK265,"NA")))</f>
        <v/>
      </c>
      <c r="K265" s="34" t="str">
        <f aca="false">IFERROR(I265/J265,"")</f>
        <v/>
      </c>
      <c r="L265" s="29"/>
      <c r="M265" s="35"/>
      <c r="N265" s="36"/>
      <c r="O265" s="36"/>
      <c r="P265" s="29"/>
      <c r="Q265" s="35"/>
      <c r="R265" s="36"/>
      <c r="S265" s="36"/>
      <c r="T265" s="29"/>
      <c r="U265" s="35"/>
      <c r="V265" s="36"/>
      <c r="W265" s="36"/>
      <c r="X265" s="29"/>
      <c r="Y265" s="35"/>
      <c r="Z265" s="36"/>
      <c r="AA265" s="36"/>
      <c r="AB265" s="29"/>
      <c r="AC265" s="35"/>
      <c r="AD265" s="36"/>
      <c r="AE265" s="36"/>
      <c r="AF265" s="29"/>
      <c r="AG265" s="35"/>
      <c r="AH265" s="36"/>
      <c r="AI265" s="36"/>
      <c r="AJ265" s="29"/>
      <c r="AK265" s="35"/>
      <c r="AL265" s="36"/>
      <c r="AM265" s="36"/>
      <c r="AN265" s="29"/>
      <c r="AO265" s="29"/>
      <c r="AP265" s="29"/>
      <c r="AQ265" s="37"/>
      <c r="AR265" s="29"/>
      <c r="AS265" s="38" t="str">
        <f aca="false">IF($C265="","",IF(OR(F265="Completed",F265="Cancelled"),"",IF(AND(OR(F265="On Hold",ISNUMBER(VALUE(LEFT(H265,2)))),AR265=""),"Reason not given","")))</f>
        <v/>
      </c>
      <c r="AT265" s="30"/>
      <c r="AU265" s="30"/>
    </row>
    <row r="266" customFormat="false" ht="19.5" hidden="false" customHeight="true" outlineLevel="0" collapsed="false">
      <c r="A266" s="28" t="str">
        <f aca="false">IF($C266="","",COUNTA($C$17:$C266))</f>
        <v/>
      </c>
      <c r="B266" s="29"/>
      <c r="C266" s="30"/>
      <c r="D266" s="29"/>
      <c r="E266" s="31" t="str">
        <f aca="false">IF($C266="","",IF(NOT(OR(M266="Completed",M266="NA",M266="Cancelled")),"S1 Schematic",IF(NOT(OR(Q266="Completed",Q266="NA",Q266="Cancelled")),"S2 PCB Layout",IF(NOT(OR(U266="Completed",U266="NA",U266="Cancelled")),"S3 SI &amp; PI",IF(NOT(OR(Y266="Completed",Y266="NA",Y266="Cancelled")),"S4 Bare-PCB Fab",IF(NOT(OR(AC266="Completed",AC266="NA",AC266="Cancelled")),"S5 Assembly",IF(NOT(OR(AG266="Completed",AG266="NA",AG266="Cancelled")),"S6 Bring-up",IF(NOT(OR(AK266="Completed",AK266="NA",AK266="Cancelled")),"S7 BOM Procurement","All Stages Closed"))))))))</f>
        <v/>
      </c>
      <c r="F266" s="32" t="str">
        <f aca="false">IF($C266="","",IF(COUNTIF(M266,"Cancelled")+COUNTIF(Q266,"Cancelled")+COUNTIF(U266,"Cancelled")+COUNTIF(Y266,"Cancelled")+COUNTIF(AC266,"Cancelled")+COUNTIF(AG266,"Cancelled")+COUNTIF(AK266,"Cancelled")&gt;0,"Cancelled",IF(E266="All Stages Closed","Completed",IF(E266="S1 Schematic",M266,IF(E266="S2 PCB Layout",Q266,IF(E266="S3 SI &amp; PI",U266,IF(E266="S4 Bare-PCB Fab",Y266,IF(E266="S5 Assembly",AC266,IF(E266="S6 Bring-up",AG266,AK266)))))))))</f>
        <v/>
      </c>
      <c r="G266" s="33" t="str">
        <f aca="false">IF($C266="","",IF(E266="All Stages Closed","",IF(E266="S1 Schematic",IF(N266="","Not added",N266),IF(E266="S2 PCB Layout",IF(R266="","Not added",R266),IF(E266="S3 SI &amp; PI",IF(V266="","Not added",V266),IF(E266="S4 Bare-PCB Fab",IF(Z266="","Not added",Z266),IF(E266="S5 Assembly",IF(AD266="","Not added",AD266),IF(E266="S6 Bring-up",IF(AH266="","Not added",AH266),IF(AL266="","Not added",AL266)))))))))</f>
        <v/>
      </c>
      <c r="H266" s="32" t="str">
        <f aca="true">IF($C266="","",IF(OR(F266="Completed",F266="Cancelled"),"",IF(NOT(ISNUMBER(G266)),"No date set",IF(TODAY()&gt;G266,TODAY()-G266&amp;" days late",G266-TODAY()&amp;" days left"))))</f>
        <v/>
      </c>
      <c r="I266" s="31" t="str">
        <f aca="false">IF($C266="","",COUNTIF(M266,"Completed")+COUNTIF(Q266,"Completed")+COUNTIF(U266,"Completed")+COUNTIF(Y266,"Completed")+COUNTIF(AC266,"Completed")+COUNTIF(AG266,"Completed")+COUNTIF(AK266,"Completed"))</f>
        <v/>
      </c>
      <c r="J266" s="31" t="str">
        <f aca="false">IF($C266="","",7-(COUNTIF(M266,"NA")+COUNTIF(Q266,"NA")+COUNTIF(U266,"NA")+COUNTIF(Y266,"NA")+COUNTIF(AC266,"NA")+COUNTIF(AG266,"NA")+COUNTIF(AK266,"NA")))</f>
        <v/>
      </c>
      <c r="K266" s="34" t="str">
        <f aca="false">IFERROR(I266/J266,"")</f>
        <v/>
      </c>
      <c r="L266" s="29"/>
      <c r="M266" s="35"/>
      <c r="N266" s="36"/>
      <c r="O266" s="36"/>
      <c r="P266" s="29"/>
      <c r="Q266" s="35"/>
      <c r="R266" s="36"/>
      <c r="S266" s="36"/>
      <c r="T266" s="29"/>
      <c r="U266" s="35"/>
      <c r="V266" s="36"/>
      <c r="W266" s="36"/>
      <c r="X266" s="29"/>
      <c r="Y266" s="35"/>
      <c r="Z266" s="36"/>
      <c r="AA266" s="36"/>
      <c r="AB266" s="29"/>
      <c r="AC266" s="35"/>
      <c r="AD266" s="36"/>
      <c r="AE266" s="36"/>
      <c r="AF266" s="29"/>
      <c r="AG266" s="35"/>
      <c r="AH266" s="36"/>
      <c r="AI266" s="36"/>
      <c r="AJ266" s="29"/>
      <c r="AK266" s="35"/>
      <c r="AL266" s="36"/>
      <c r="AM266" s="36"/>
      <c r="AN266" s="29"/>
      <c r="AO266" s="29"/>
      <c r="AP266" s="29"/>
      <c r="AQ266" s="37"/>
      <c r="AR266" s="29"/>
      <c r="AS266" s="38" t="str">
        <f aca="false">IF($C266="","",IF(OR(F266="Completed",F266="Cancelled"),"",IF(AND(OR(F266="On Hold",ISNUMBER(VALUE(LEFT(H266,2)))),AR266=""),"Reason not given","")))</f>
        <v/>
      </c>
      <c r="AT266" s="30"/>
      <c r="AU266" s="30"/>
    </row>
  </sheetData>
  <autoFilter ref="A16:AU266"/>
  <mergeCells count="12">
    <mergeCell ref="A2:R2"/>
    <mergeCell ref="A15:D15"/>
    <mergeCell ref="E15:K15"/>
    <mergeCell ref="L15:O15"/>
    <mergeCell ref="P15:S15"/>
    <mergeCell ref="T15:W15"/>
    <mergeCell ref="X15:AA15"/>
    <mergeCell ref="AB15:AE15"/>
    <mergeCell ref="AF15:AI15"/>
    <mergeCell ref="AJ15:AM15"/>
    <mergeCell ref="AN15:AQ15"/>
    <mergeCell ref="AR15:AU15"/>
  </mergeCells>
  <conditionalFormatting sqref="A6:G13">
    <cfRule type="expression" priority="2" aboveAverage="0" equalAverage="0" bottom="0" percent="0" rank="0" text="" dxfId="5">
      <formula>$C6&lt;&gt;""</formula>
    </cfRule>
  </conditionalFormatting>
  <conditionalFormatting sqref="F17:F266 M17:M266 Q17:Q266 U17:U266 Y17:Y266 AC17:AC266 AG17:AG266 AK17:AK266">
    <cfRule type="cellIs" priority="3" operator="equal" aboveAverage="0" equalAverage="0" bottom="0" percent="0" rank="0" text="" dxfId="6">
      <formula>"Completed"</formula>
    </cfRule>
    <cfRule type="cellIs" priority="4" operator="equal" aboveAverage="0" equalAverage="0" bottom="0" percent="0" rank="0" text="" dxfId="7">
      <formula>"In Progress"</formula>
    </cfRule>
    <cfRule type="cellIs" priority="5" operator="equal" aboveAverage="0" equalAverage="0" bottom="0" percent="0" rank="0" text="" dxfId="8">
      <formula>"On Hold"</formula>
    </cfRule>
    <cfRule type="cellIs" priority="6" operator="equal" aboveAverage="0" equalAverage="0" bottom="0" percent="0" rank="0" text="" dxfId="9">
      <formula>"Not Started"</formula>
    </cfRule>
    <cfRule type="cellIs" priority="7" operator="equal" aboveAverage="0" equalAverage="0" bottom="0" percent="0" rank="0" text="" dxfId="10">
      <formula>"Cancelled"</formula>
    </cfRule>
    <cfRule type="cellIs" priority="8" operator="equal" aboveAverage="0" equalAverage="0" bottom="0" percent="0" rank="0" text="" dxfId="11">
      <formula>"NA"</formula>
    </cfRule>
  </conditionalFormatting>
  <conditionalFormatting sqref="H17:H266">
    <cfRule type="expression" priority="9" aboveAverage="0" equalAverage="0" bottom="0" percent="0" rank="0" text="" dxfId="10">
      <formula>ISNUMBER(SEARCH("late",H17))</formula>
    </cfRule>
    <cfRule type="cellIs" priority="10" operator="equal" aboveAverage="0" equalAverage="0" bottom="0" percent="0" rank="0" text="" dxfId="12">
      <formula>"No date set"</formula>
    </cfRule>
  </conditionalFormatting>
  <conditionalFormatting sqref="AS17:AS266">
    <cfRule type="cellIs" priority="11" operator="equal" aboveAverage="0" equalAverage="0" bottom="0" percent="0" rank="0" text="" dxfId="7">
      <formula>"Reason not given"</formula>
    </cfRule>
  </conditionalFormatting>
  <dataValidations count="18">
    <dataValidation allowBlank="true" error="Pick one of: Completed, In Progress, On Hold, Not Started, NA, Cancelled" errorStyle="stop" errorTitle="Status" operator="between" showDropDown="false" showErrorMessage="true" showInputMessage="false" sqref="M17:M266" type="list">
      <formula1>LISTS!$A$2:$A$7</formula1>
      <formula2>0</formula2>
    </dataValidation>
    <dataValidation allowBlank="true" error="Pick a name from EMPLOYEES, or add them there first." errorStyle="stop" errorTitle="Owner" operator="between" showDropDown="false" showErrorMessage="true" showInputMessage="false" sqref="L17:L266" type="list">
      <formula1>LISTS!$F$2:$F$59</formula1>
      <formula2>0</formula2>
    </dataValidation>
    <dataValidation allowBlank="true" error="Pick one of: Completed, In Progress, On Hold, Not Started, NA, Cancelled" errorStyle="stop" errorTitle="Status" operator="between" showDropDown="false" showErrorMessage="true" showInputMessage="false" sqref="Q17:Q266" type="list">
      <formula1>LISTS!$A$2:$A$7</formula1>
      <formula2>0</formula2>
    </dataValidation>
    <dataValidation allowBlank="true" error="Pick a name from EMPLOYEES, or add them there first." errorStyle="stop" errorTitle="Owner" operator="between" showDropDown="false" showErrorMessage="true" showInputMessage="false" sqref="P17:P266" type="list">
      <formula1>LISTS!$F$2:$F$59</formula1>
      <formula2>0</formula2>
    </dataValidation>
    <dataValidation allowBlank="true" error="Pick one of: Completed, In Progress, On Hold, Not Started, NA, Cancelled" errorStyle="stop" errorTitle="Status" operator="between" showDropDown="false" showErrorMessage="true" showInputMessage="false" sqref="U17:U266" type="list">
      <formula1>LISTS!$A$2:$A$7</formula1>
      <formula2>0</formula2>
    </dataValidation>
    <dataValidation allowBlank="true" error="Pick a name from EMPLOYEES, or add them there first." errorStyle="stop" errorTitle="Owner" operator="between" showDropDown="false" showErrorMessage="true" showInputMessage="false" sqref="T17:T266" type="list">
      <formula1>LISTS!$F$2:$F$59</formula1>
      <formula2>0</formula2>
    </dataValidation>
    <dataValidation allowBlank="true" error="Pick one of: Completed, In Progress, On Hold, Not Started, NA, Cancelled" errorStyle="stop" errorTitle="Status" operator="between" showDropDown="false" showErrorMessage="true" showInputMessage="false" sqref="Y17:Y266" type="list">
      <formula1>LISTS!$A$2:$A$7</formula1>
      <formula2>0</formula2>
    </dataValidation>
    <dataValidation allowBlank="true" error="Pick a name from EMPLOYEES, or add them there first." errorStyle="stop" errorTitle="Owner" operator="between" showDropDown="false" showErrorMessage="true" showInputMessage="false" sqref="X17:X266" type="list">
      <formula1>LISTS!$F$2:$F$59</formula1>
      <formula2>0</formula2>
    </dataValidation>
    <dataValidation allowBlank="true" error="Pick one of: Completed, In Progress, On Hold, Not Started, NA, Cancelled" errorStyle="stop" errorTitle="Status" operator="between" showDropDown="false" showErrorMessage="true" showInputMessage="false" sqref="AC17:AC266" type="list">
      <formula1>LISTS!$A$2:$A$7</formula1>
      <formula2>0</formula2>
    </dataValidation>
    <dataValidation allowBlank="true" error="Pick a name from EMPLOYEES, or add them there first." errorStyle="stop" errorTitle="Owner" operator="between" showDropDown="false" showErrorMessage="true" showInputMessage="false" sqref="AB17:AB266" type="list">
      <formula1>LISTS!$F$2:$F$59</formula1>
      <formula2>0</formula2>
    </dataValidation>
    <dataValidation allowBlank="true" error="Pick one of: Completed, In Progress, On Hold, Not Started, NA, Cancelled" errorStyle="stop" errorTitle="Status" operator="between" showDropDown="false" showErrorMessage="true" showInputMessage="false" sqref="AG17:AG266" type="list">
      <formula1>LISTS!$A$2:$A$7</formula1>
      <formula2>0</formula2>
    </dataValidation>
    <dataValidation allowBlank="true" error="Pick a name from EMPLOYEES, or add them there first." errorStyle="stop" errorTitle="Owner" operator="between" showDropDown="false" showErrorMessage="true" showInputMessage="false" sqref="AF17:AF266" type="list">
      <formula1>LISTS!$F$2:$F$59</formula1>
      <formula2>0</formula2>
    </dataValidation>
    <dataValidation allowBlank="true" error="Pick one of: Completed, In Progress, On Hold, Not Started, NA, Cancelled" errorStyle="stop" errorTitle="Status" operator="between" showDropDown="false" showErrorMessage="true" showInputMessage="false" sqref="AK17:AK266" type="list">
      <formula1>LISTS!$A$2:$A$7</formula1>
      <formula2>0</formula2>
    </dataValidation>
    <dataValidation allowBlank="true" error="Pick a name from EMPLOYEES, or add them there first." errorStyle="stop" errorTitle="Owner" operator="between" showDropDown="false" showErrorMessage="true" showInputMessage="false" sqref="AJ17:AJ266" type="list">
      <formula1>LISTS!$F$2:$F$59</formula1>
      <formula2>0</formula2>
    </dataValidation>
    <dataValidation allowBlank="true" error="Pick a client from CLIENTS, or add them there first." errorStyle="stop" errorTitle="Customer" operator="between" showDropDown="false" showErrorMessage="true" showInputMessage="false" sqref="B17:B266" type="list">
      <formula1>LISTS!$G$2:$G$59</formula1>
      <formula2>0</formula2>
    </dataValidation>
    <dataValidation allowBlank="true" error="Pick a reason code." errorStyle="stop" errorTitle="Hold / delay reason" operator="between" showDropDown="false" showErrorMessage="true" showInputMessage="false" sqref="AR17:AR266" type="list">
      <formula1>LISTS!$E$2:$E$10</formula1>
      <formula2>0</formula2>
    </dataValidation>
    <dataValidation allowBlank="true" error="Pick the stage the board re-enters at." errorStyle="stop" errorTitle="Stage" operator="between" showDropDown="false" showErrorMessage="true" showInputMessage="false" sqref="AO17:AO266" type="list">
      <formula1>LISTS!$B$2:$B$8</formula1>
      <formula2>0</formula2>
    </dataValidation>
    <dataValidation allowBlank="true" error="Pick a reason code." errorStyle="stop" errorTitle="Respin Reason" operator="between" showDropDown="false" showErrorMessage="true" showInputMessage="false" sqref="AP17:AP266" type="list">
      <formula1>LISTS!$C$2:$C$9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W2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5"/>
    <col collapsed="false" customWidth="true" hidden="false" outlineLevel="0" max="3" min="3" style="0" width="30"/>
    <col collapsed="false" customWidth="true" hidden="false" outlineLevel="0" max="4" min="4" style="0" width="15"/>
    <col collapsed="false" customWidth="true" hidden="false" outlineLevel="0" max="5" min="5" style="0" width="16"/>
    <col collapsed="false" customWidth="true" hidden="false" outlineLevel="0" max="7" min="6" style="0" width="14"/>
    <col collapsed="false" customWidth="true" hidden="false" outlineLevel="0" max="8" min="8" style="0" width="16"/>
    <col collapsed="false" customWidth="true" hidden="false" outlineLevel="0" max="10" min="9" style="0" width="8"/>
    <col collapsed="false" customWidth="true" hidden="false" outlineLevel="0" max="11" min="11" style="0" width="10"/>
    <col collapsed="false" customWidth="true" hidden="false" outlineLevel="0" max="12" min="12" style="0" width="15"/>
    <col collapsed="false" customWidth="true" hidden="false" outlineLevel="0" max="13" min="13" style="0" width="13"/>
    <col collapsed="false" customWidth="true" hidden="false" outlineLevel="0" max="15" min="14" style="0" width="12"/>
    <col collapsed="false" customWidth="true" hidden="false" outlineLevel="0" max="16" min="16" style="0" width="15"/>
    <col collapsed="false" customWidth="true" hidden="false" outlineLevel="0" max="17" min="17" style="0" width="13"/>
    <col collapsed="false" customWidth="true" hidden="false" outlineLevel="0" max="19" min="18" style="0" width="12"/>
    <col collapsed="false" customWidth="true" hidden="false" outlineLevel="0" max="20" min="20" style="0" width="15"/>
    <col collapsed="false" customWidth="true" hidden="false" outlineLevel="0" max="21" min="21" style="0" width="13"/>
    <col collapsed="false" customWidth="true" hidden="false" outlineLevel="0" max="23" min="22" style="0" width="12"/>
    <col collapsed="false" customWidth="true" hidden="false" outlineLevel="0" max="24" min="24" style="0" width="15"/>
    <col collapsed="false" customWidth="true" hidden="false" outlineLevel="0" max="25" min="25" style="0" width="13"/>
    <col collapsed="false" customWidth="true" hidden="false" outlineLevel="0" max="27" min="26" style="0" width="12"/>
    <col collapsed="false" customWidth="true" hidden="false" outlineLevel="0" max="28" min="28" style="0" width="15"/>
    <col collapsed="false" customWidth="true" hidden="false" outlineLevel="0" max="29" min="29" style="0" width="13"/>
    <col collapsed="false" customWidth="true" hidden="false" outlineLevel="0" max="31" min="30" style="0" width="12"/>
    <col collapsed="false" customWidth="true" hidden="false" outlineLevel="0" max="32" min="32" style="0" width="15"/>
    <col collapsed="false" customWidth="true" hidden="false" outlineLevel="0" max="33" min="33" style="0" width="13"/>
    <col collapsed="false" customWidth="true" hidden="false" outlineLevel="0" max="35" min="34" style="0" width="12"/>
    <col collapsed="false" customWidth="true" hidden="false" outlineLevel="0" max="36" min="36" style="0" width="15"/>
    <col collapsed="false" customWidth="true" hidden="false" outlineLevel="0" max="37" min="37" style="0" width="13"/>
    <col collapsed="false" customWidth="true" hidden="false" outlineLevel="0" max="39" min="38" style="0" width="12"/>
    <col collapsed="false" customWidth="true" hidden="false" outlineLevel="0" max="40" min="40" style="0" width="13"/>
    <col collapsed="false" customWidth="true" hidden="false" outlineLevel="0" max="41" min="41" style="0" width="18"/>
    <col collapsed="false" customWidth="true" hidden="false" outlineLevel="0" max="42" min="42" style="0" width="26"/>
    <col collapsed="false" customWidth="true" hidden="false" outlineLevel="0" max="43" min="43" style="0" width="12"/>
    <col collapsed="false" customWidth="true" hidden="false" outlineLevel="0" max="44" min="44" style="0" width="30"/>
    <col collapsed="false" customWidth="true" hidden="true" outlineLevel="0" max="45" min="45" style="0" width="4"/>
    <col collapsed="false" customWidth="true" hidden="false" outlineLevel="0" max="46" min="46" style="0" width="24"/>
    <col collapsed="false" customWidth="true" hidden="false" outlineLevel="0" max="47" min="47" style="0" width="16"/>
    <col collapsed="false" customWidth="true" hidden="false" outlineLevel="0" max="48" min="48" style="0" width="40"/>
    <col collapsed="false" customWidth="true" hidden="false" outlineLevel="0" max="49" min="49" style="0" width="30"/>
  </cols>
  <sheetData>
    <row r="1" customFormat="false" ht="18.55" hidden="false" customHeight="false" outlineLevel="0" collapsed="false">
      <c r="A1" s="1" t="s">
        <v>170</v>
      </c>
    </row>
    <row r="2" customFormat="false" ht="15" hidden="false" customHeight="false" outlineLevel="0" collapsed="false">
      <c r="A2" s="2" t="s">
        <v>171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customFormat="false" ht="19.5" hidden="false" customHeight="true" outlineLevel="0" collapsed="false">
      <c r="A4" s="23" t="s">
        <v>139</v>
      </c>
      <c r="B4" s="23"/>
      <c r="C4" s="23"/>
      <c r="D4" s="23"/>
      <c r="E4" s="24" t="s">
        <v>140</v>
      </c>
      <c r="F4" s="24"/>
      <c r="G4" s="24"/>
      <c r="H4" s="24"/>
      <c r="I4" s="24"/>
      <c r="J4" s="24"/>
      <c r="K4" s="24"/>
      <c r="L4" s="25" t="s">
        <v>141</v>
      </c>
      <c r="M4" s="25"/>
      <c r="N4" s="25"/>
      <c r="O4" s="25"/>
      <c r="P4" s="25" t="s">
        <v>142</v>
      </c>
      <c r="Q4" s="25"/>
      <c r="R4" s="25"/>
      <c r="S4" s="25"/>
      <c r="T4" s="25" t="s">
        <v>143</v>
      </c>
      <c r="U4" s="25"/>
      <c r="V4" s="25"/>
      <c r="W4" s="25"/>
      <c r="X4" s="25" t="s">
        <v>144</v>
      </c>
      <c r="Y4" s="25"/>
      <c r="Z4" s="25"/>
      <c r="AA4" s="25"/>
      <c r="AB4" s="25" t="s">
        <v>145</v>
      </c>
      <c r="AC4" s="25"/>
      <c r="AD4" s="25"/>
      <c r="AE4" s="25"/>
      <c r="AF4" s="25" t="s">
        <v>146</v>
      </c>
      <c r="AG4" s="25"/>
      <c r="AH4" s="25"/>
      <c r="AI4" s="25"/>
      <c r="AJ4" s="25" t="s">
        <v>147</v>
      </c>
      <c r="AK4" s="25"/>
      <c r="AL4" s="25"/>
      <c r="AM4" s="25"/>
      <c r="AN4" s="26" t="s">
        <v>172</v>
      </c>
      <c r="AO4" s="26"/>
      <c r="AP4" s="26"/>
      <c r="AQ4" s="26"/>
      <c r="AR4" s="26"/>
      <c r="AS4" s="26"/>
      <c r="AT4" s="24" t="s">
        <v>149</v>
      </c>
      <c r="AU4" s="24"/>
      <c r="AV4" s="24"/>
      <c r="AW4" s="24"/>
    </row>
    <row r="5" customFormat="false" ht="36" hidden="false" customHeight="true" outlineLevel="0" collapsed="false">
      <c r="A5" s="27" t="s">
        <v>150</v>
      </c>
      <c r="B5" s="27" t="s">
        <v>133</v>
      </c>
      <c r="C5" s="27" t="s">
        <v>151</v>
      </c>
      <c r="D5" s="27" t="s">
        <v>152</v>
      </c>
      <c r="E5" s="27" t="s">
        <v>153</v>
      </c>
      <c r="F5" s="27" t="s">
        <v>154</v>
      </c>
      <c r="G5" s="27" t="s">
        <v>155</v>
      </c>
      <c r="H5" s="27" t="s">
        <v>156</v>
      </c>
      <c r="I5" s="27" t="s">
        <v>157</v>
      </c>
      <c r="J5" s="27" t="s">
        <v>158</v>
      </c>
      <c r="K5" s="27" t="s">
        <v>159</v>
      </c>
      <c r="L5" s="27" t="s">
        <v>160</v>
      </c>
      <c r="M5" s="27" t="s">
        <v>35</v>
      </c>
      <c r="N5" s="27" t="s">
        <v>161</v>
      </c>
      <c r="O5" s="27" t="s">
        <v>162</v>
      </c>
      <c r="P5" s="27" t="s">
        <v>160</v>
      </c>
      <c r="Q5" s="27" t="s">
        <v>35</v>
      </c>
      <c r="R5" s="27" t="s">
        <v>161</v>
      </c>
      <c r="S5" s="27" t="s">
        <v>162</v>
      </c>
      <c r="T5" s="27" t="s">
        <v>160</v>
      </c>
      <c r="U5" s="27" t="s">
        <v>35</v>
      </c>
      <c r="V5" s="27" t="s">
        <v>161</v>
      </c>
      <c r="W5" s="27" t="s">
        <v>162</v>
      </c>
      <c r="X5" s="27" t="s">
        <v>163</v>
      </c>
      <c r="Y5" s="27" t="s">
        <v>35</v>
      </c>
      <c r="Z5" s="27" t="s">
        <v>161</v>
      </c>
      <c r="AA5" s="27" t="s">
        <v>162</v>
      </c>
      <c r="AB5" s="27" t="s">
        <v>160</v>
      </c>
      <c r="AC5" s="27" t="s">
        <v>35</v>
      </c>
      <c r="AD5" s="27" t="s">
        <v>161</v>
      </c>
      <c r="AE5" s="27" t="s">
        <v>162</v>
      </c>
      <c r="AF5" s="27" t="s">
        <v>160</v>
      </c>
      <c r="AG5" s="27" t="s">
        <v>35</v>
      </c>
      <c r="AH5" s="27" t="s">
        <v>161</v>
      </c>
      <c r="AI5" s="27" t="s">
        <v>162</v>
      </c>
      <c r="AJ5" s="27" t="s">
        <v>160</v>
      </c>
      <c r="AK5" s="27" t="s">
        <v>35</v>
      </c>
      <c r="AL5" s="27" t="s">
        <v>161</v>
      </c>
      <c r="AM5" s="27" t="s">
        <v>162</v>
      </c>
      <c r="AN5" s="27" t="s">
        <v>173</v>
      </c>
      <c r="AO5" s="27" t="s">
        <v>135</v>
      </c>
      <c r="AP5" s="27" t="s">
        <v>136</v>
      </c>
      <c r="AQ5" s="27" t="s">
        <v>137</v>
      </c>
      <c r="AR5" s="27" t="s">
        <v>174</v>
      </c>
      <c r="AS5" s="27" t="s">
        <v>132</v>
      </c>
      <c r="AT5" s="27" t="s">
        <v>166</v>
      </c>
      <c r="AU5" s="27" t="s">
        <v>167</v>
      </c>
      <c r="AV5" s="27" t="s">
        <v>168</v>
      </c>
      <c r="AW5" s="27" t="s">
        <v>169</v>
      </c>
    </row>
    <row r="6" customFormat="false" ht="19.5" hidden="false" customHeight="true" outlineLevel="0" collapsed="false">
      <c r="A6" s="28" t="str">
        <f aca="false">IF($C6="","",COUNTA($C$6:$C6))</f>
        <v/>
      </c>
      <c r="B6" s="29"/>
      <c r="C6" s="30"/>
      <c r="D6" s="29"/>
      <c r="E6" s="31" t="str">
        <f aca="false">IF($C6="","",IF(NOT(OR(M6="Completed",M6="NA",M6="Cancelled")),"S1 Schematic",IF(NOT(OR(Q6="Completed",Q6="NA",Q6="Cancelled")),"S2 PCB Layout",IF(NOT(OR(U6="Completed",U6="NA",U6="Cancelled")),"S3 SI &amp; PI",IF(NOT(OR(Y6="Completed",Y6="NA",Y6="Cancelled")),"S4 Bare-PCB Fab",IF(NOT(OR(AC6="Completed",AC6="NA",AC6="Cancelled")),"S5 Assembly",IF(NOT(OR(AG6="Completed",AG6="NA",AG6="Cancelled")),"S6 Bring-up",IF(NOT(OR(AK6="Completed",AK6="NA",AK6="Cancelled")),"S7 BOM Procurement","All Stages Closed"))))))))</f>
        <v/>
      </c>
      <c r="F6" s="32" t="str">
        <f aca="false">IF($C6="","",IF(COUNTIF(M6,"Cancelled")+COUNTIF(Q6,"Cancelled")+COUNTIF(U6,"Cancelled")+COUNTIF(Y6,"Cancelled")+COUNTIF(AC6,"Cancelled")+COUNTIF(AG6,"Cancelled")+COUNTIF(AK6,"Cancelled")&gt;0,"Cancelled",IF(E6="All Stages Closed","Completed",IF(E6="S1 Schematic",M6,IF(E6="S2 PCB Layout",Q6,IF(E6="S3 SI &amp; PI",U6,IF(E6="S4 Bare-PCB Fab",Y6,IF(E6="S5 Assembly",AC6,IF(E6="S6 Bring-up",AG6,AK6)))))))))</f>
        <v/>
      </c>
      <c r="G6" s="33" t="str">
        <f aca="false">IF($C6="","",IF(E6="All Stages Closed","",IF(E6="S1 Schematic",IF(N6="","Not added",N6),IF(E6="S2 PCB Layout",IF(R6="","Not added",R6),IF(E6="S3 SI &amp; PI",IF(V6="","Not added",V6),IF(E6="S4 Bare-PCB Fab",IF(Z6="","Not added",Z6),IF(E6="S5 Assembly",IF(AD6="","Not added",AD6),IF(E6="S6 Bring-up",IF(AH6="","Not added",AH6),IF(AL6="","Not added",AL6)))))))))</f>
        <v/>
      </c>
      <c r="H6" s="32" t="str">
        <f aca="true">IF($C6="","",IF(OR(F6="Completed",F6="Cancelled"),"",IF(NOT(ISNUMBER(G6)),"No date set",IF(TODAY()&gt;G6,TODAY()-G6&amp;" days late",G6-TODAY()&amp;" days left"))))</f>
        <v/>
      </c>
      <c r="I6" s="31" t="str">
        <f aca="false">IF($C6="","",COUNTIF(M6,"Completed")+COUNTIF(Q6,"Completed")+COUNTIF(U6,"Completed")+COUNTIF(Y6,"Completed")+COUNTIF(AC6,"Completed")+COUNTIF(AG6,"Completed")+COUNTIF(AK6,"Completed"))</f>
        <v/>
      </c>
      <c r="J6" s="31" t="str">
        <f aca="false">IF($C6="","",7-(COUNTIF(M6,"NA")+COUNTIF(Q6,"NA")+COUNTIF(U6,"NA")+COUNTIF(Y6,"NA")+COUNTIF(AC6,"NA")+COUNTIF(AG6,"NA")+COUNTIF(AK6,"NA")))</f>
        <v/>
      </c>
      <c r="K6" s="34" t="str">
        <f aca="false">IFERROR(I6/J6,"")</f>
        <v/>
      </c>
      <c r="L6" s="29"/>
      <c r="M6" s="35"/>
      <c r="N6" s="36"/>
      <c r="O6" s="36"/>
      <c r="P6" s="29"/>
      <c r="Q6" s="35"/>
      <c r="R6" s="36"/>
      <c r="S6" s="36"/>
      <c r="T6" s="29"/>
      <c r="U6" s="35"/>
      <c r="V6" s="36"/>
      <c r="W6" s="36"/>
      <c r="X6" s="29"/>
      <c r="Y6" s="35"/>
      <c r="Z6" s="36"/>
      <c r="AA6" s="36"/>
      <c r="AB6" s="29"/>
      <c r="AC6" s="35"/>
      <c r="AD6" s="36"/>
      <c r="AE6" s="36"/>
      <c r="AF6" s="29"/>
      <c r="AG6" s="35"/>
      <c r="AH6" s="36"/>
      <c r="AI6" s="36"/>
      <c r="AJ6" s="29"/>
      <c r="AK6" s="35"/>
      <c r="AL6" s="36"/>
      <c r="AM6" s="36"/>
      <c r="AN6" s="29"/>
      <c r="AO6" s="29"/>
      <c r="AP6" s="29"/>
      <c r="AQ6" s="37"/>
      <c r="AR6" s="39" t="str">
        <f aca="false">IF(AN6&lt;&gt;"Yes","",IF(AO6="","SELECT RE-ENTRY STAGE","MOVE TO ACTIVE at "&amp;AO6))</f>
        <v/>
      </c>
      <c r="AS6" s="40" t="str">
        <f aca="false">IF(AN6="Yes",COUNTIF($AN$6:AN6,"Yes"),"")</f>
        <v/>
      </c>
      <c r="AT6" s="29"/>
      <c r="AU6" s="38" t="str">
        <f aca="false">IF($C6="","",IF(OR(F6="Completed",F6="Cancelled"),"",IF(AND(OR(F6="On Hold",ISNUMBER(VALUE(LEFT(H6,2)))),AT6=""),"Reason not given","")))</f>
        <v/>
      </c>
      <c r="AV6" s="30"/>
      <c r="AW6" s="30"/>
    </row>
    <row r="7" customFormat="false" ht="19.5" hidden="false" customHeight="true" outlineLevel="0" collapsed="false">
      <c r="A7" s="28" t="str">
        <f aca="false">IF($C7="","",COUNTA($C$6:$C7))</f>
        <v/>
      </c>
      <c r="B7" s="29"/>
      <c r="C7" s="30"/>
      <c r="D7" s="29"/>
      <c r="E7" s="31" t="str">
        <f aca="false">IF($C7="","",IF(NOT(OR(M7="Completed",M7="NA",M7="Cancelled")),"S1 Schematic",IF(NOT(OR(Q7="Completed",Q7="NA",Q7="Cancelled")),"S2 PCB Layout",IF(NOT(OR(U7="Completed",U7="NA",U7="Cancelled")),"S3 SI &amp; PI",IF(NOT(OR(Y7="Completed",Y7="NA",Y7="Cancelled")),"S4 Bare-PCB Fab",IF(NOT(OR(AC7="Completed",AC7="NA",AC7="Cancelled")),"S5 Assembly",IF(NOT(OR(AG7="Completed",AG7="NA",AG7="Cancelled")),"S6 Bring-up",IF(NOT(OR(AK7="Completed",AK7="NA",AK7="Cancelled")),"S7 BOM Procurement","All Stages Closed"))))))))</f>
        <v/>
      </c>
      <c r="F7" s="32" t="str">
        <f aca="false">IF($C7="","",IF(COUNTIF(M7,"Cancelled")+COUNTIF(Q7,"Cancelled")+COUNTIF(U7,"Cancelled")+COUNTIF(Y7,"Cancelled")+COUNTIF(AC7,"Cancelled")+COUNTIF(AG7,"Cancelled")+COUNTIF(AK7,"Cancelled")&gt;0,"Cancelled",IF(E7="All Stages Closed","Completed",IF(E7="S1 Schematic",M7,IF(E7="S2 PCB Layout",Q7,IF(E7="S3 SI &amp; PI",U7,IF(E7="S4 Bare-PCB Fab",Y7,IF(E7="S5 Assembly",AC7,IF(E7="S6 Bring-up",AG7,AK7)))))))))</f>
        <v/>
      </c>
      <c r="G7" s="33" t="str">
        <f aca="false">IF($C7="","",IF(E7="All Stages Closed","",IF(E7="S1 Schematic",IF(N7="","Not added",N7),IF(E7="S2 PCB Layout",IF(R7="","Not added",R7),IF(E7="S3 SI &amp; PI",IF(V7="","Not added",V7),IF(E7="S4 Bare-PCB Fab",IF(Z7="","Not added",Z7),IF(E7="S5 Assembly",IF(AD7="","Not added",AD7),IF(E7="S6 Bring-up",IF(AH7="","Not added",AH7),IF(AL7="","Not added",AL7)))))))))</f>
        <v/>
      </c>
      <c r="H7" s="32" t="str">
        <f aca="true">IF($C7="","",IF(OR(F7="Completed",F7="Cancelled"),"",IF(NOT(ISNUMBER(G7)),"No date set",IF(TODAY()&gt;G7,TODAY()-G7&amp;" days late",G7-TODAY()&amp;" days left"))))</f>
        <v/>
      </c>
      <c r="I7" s="31" t="str">
        <f aca="false">IF($C7="","",COUNTIF(M7,"Completed")+COUNTIF(Q7,"Completed")+COUNTIF(U7,"Completed")+COUNTIF(Y7,"Completed")+COUNTIF(AC7,"Completed")+COUNTIF(AG7,"Completed")+COUNTIF(AK7,"Completed"))</f>
        <v/>
      </c>
      <c r="J7" s="31" t="str">
        <f aca="false">IF($C7="","",7-(COUNTIF(M7,"NA")+COUNTIF(Q7,"NA")+COUNTIF(U7,"NA")+COUNTIF(Y7,"NA")+COUNTIF(AC7,"NA")+COUNTIF(AG7,"NA")+COUNTIF(AK7,"NA")))</f>
        <v/>
      </c>
      <c r="K7" s="34" t="str">
        <f aca="false">IFERROR(I7/J7,"")</f>
        <v/>
      </c>
      <c r="L7" s="29"/>
      <c r="M7" s="35"/>
      <c r="N7" s="36"/>
      <c r="O7" s="36"/>
      <c r="P7" s="29"/>
      <c r="Q7" s="35"/>
      <c r="R7" s="36"/>
      <c r="S7" s="36"/>
      <c r="T7" s="29"/>
      <c r="U7" s="35"/>
      <c r="V7" s="36"/>
      <c r="W7" s="36"/>
      <c r="X7" s="29"/>
      <c r="Y7" s="35"/>
      <c r="Z7" s="36"/>
      <c r="AA7" s="36"/>
      <c r="AB7" s="29"/>
      <c r="AC7" s="35"/>
      <c r="AD7" s="36"/>
      <c r="AE7" s="36"/>
      <c r="AF7" s="29"/>
      <c r="AG7" s="35"/>
      <c r="AH7" s="36"/>
      <c r="AI7" s="36"/>
      <c r="AJ7" s="29"/>
      <c r="AK7" s="35"/>
      <c r="AL7" s="36"/>
      <c r="AM7" s="36"/>
      <c r="AN7" s="29"/>
      <c r="AO7" s="29"/>
      <c r="AP7" s="29"/>
      <c r="AQ7" s="37"/>
      <c r="AR7" s="39" t="str">
        <f aca="false">IF(AN7&lt;&gt;"Yes","",IF(AO7="","SELECT RE-ENTRY STAGE","MOVE TO ACTIVE at "&amp;AO7))</f>
        <v/>
      </c>
      <c r="AS7" s="40" t="str">
        <f aca="false">IF(AN7="Yes",COUNTIF($AN$6:AN7,"Yes"),"")</f>
        <v/>
      </c>
      <c r="AT7" s="29"/>
      <c r="AU7" s="38" t="str">
        <f aca="false">IF($C7="","",IF(OR(F7="Completed",F7="Cancelled"),"",IF(AND(OR(F7="On Hold",ISNUMBER(VALUE(LEFT(H7,2)))),AT7=""),"Reason not given","")))</f>
        <v/>
      </c>
      <c r="AV7" s="30"/>
      <c r="AW7" s="30"/>
    </row>
    <row r="8" customFormat="false" ht="19.5" hidden="false" customHeight="true" outlineLevel="0" collapsed="false">
      <c r="A8" s="28" t="str">
        <f aca="false">IF($C8="","",COUNTA($C$6:$C8))</f>
        <v/>
      </c>
      <c r="B8" s="29"/>
      <c r="C8" s="30"/>
      <c r="D8" s="29"/>
      <c r="E8" s="31" t="str">
        <f aca="false">IF($C8="","",IF(NOT(OR(M8="Completed",M8="NA",M8="Cancelled")),"S1 Schematic",IF(NOT(OR(Q8="Completed",Q8="NA",Q8="Cancelled")),"S2 PCB Layout",IF(NOT(OR(U8="Completed",U8="NA",U8="Cancelled")),"S3 SI &amp; PI",IF(NOT(OR(Y8="Completed",Y8="NA",Y8="Cancelled")),"S4 Bare-PCB Fab",IF(NOT(OR(AC8="Completed",AC8="NA",AC8="Cancelled")),"S5 Assembly",IF(NOT(OR(AG8="Completed",AG8="NA",AG8="Cancelled")),"S6 Bring-up",IF(NOT(OR(AK8="Completed",AK8="NA",AK8="Cancelled")),"S7 BOM Procurement","All Stages Closed"))))))))</f>
        <v/>
      </c>
      <c r="F8" s="32" t="str">
        <f aca="false">IF($C8="","",IF(COUNTIF(M8,"Cancelled")+COUNTIF(Q8,"Cancelled")+COUNTIF(U8,"Cancelled")+COUNTIF(Y8,"Cancelled")+COUNTIF(AC8,"Cancelled")+COUNTIF(AG8,"Cancelled")+COUNTIF(AK8,"Cancelled")&gt;0,"Cancelled",IF(E8="All Stages Closed","Completed",IF(E8="S1 Schematic",M8,IF(E8="S2 PCB Layout",Q8,IF(E8="S3 SI &amp; PI",U8,IF(E8="S4 Bare-PCB Fab",Y8,IF(E8="S5 Assembly",AC8,IF(E8="S6 Bring-up",AG8,AK8)))))))))</f>
        <v/>
      </c>
      <c r="G8" s="33" t="str">
        <f aca="false">IF($C8="","",IF(E8="All Stages Closed","",IF(E8="S1 Schematic",IF(N8="","Not added",N8),IF(E8="S2 PCB Layout",IF(R8="","Not added",R8),IF(E8="S3 SI &amp; PI",IF(V8="","Not added",V8),IF(E8="S4 Bare-PCB Fab",IF(Z8="","Not added",Z8),IF(E8="S5 Assembly",IF(AD8="","Not added",AD8),IF(E8="S6 Bring-up",IF(AH8="","Not added",AH8),IF(AL8="","Not added",AL8)))))))))</f>
        <v/>
      </c>
      <c r="H8" s="32" t="str">
        <f aca="true">IF($C8="","",IF(OR(F8="Completed",F8="Cancelled"),"",IF(NOT(ISNUMBER(G8)),"No date set",IF(TODAY()&gt;G8,TODAY()-G8&amp;" days late",G8-TODAY()&amp;" days left"))))</f>
        <v/>
      </c>
      <c r="I8" s="31" t="str">
        <f aca="false">IF($C8="","",COUNTIF(M8,"Completed")+COUNTIF(Q8,"Completed")+COUNTIF(U8,"Completed")+COUNTIF(Y8,"Completed")+COUNTIF(AC8,"Completed")+COUNTIF(AG8,"Completed")+COUNTIF(AK8,"Completed"))</f>
        <v/>
      </c>
      <c r="J8" s="31" t="str">
        <f aca="false">IF($C8="","",7-(COUNTIF(M8,"NA")+COUNTIF(Q8,"NA")+COUNTIF(U8,"NA")+COUNTIF(Y8,"NA")+COUNTIF(AC8,"NA")+COUNTIF(AG8,"NA")+COUNTIF(AK8,"NA")))</f>
        <v/>
      </c>
      <c r="K8" s="34" t="str">
        <f aca="false">IFERROR(I8/J8,"")</f>
        <v/>
      </c>
      <c r="L8" s="29"/>
      <c r="M8" s="35"/>
      <c r="N8" s="36"/>
      <c r="O8" s="36"/>
      <c r="P8" s="29"/>
      <c r="Q8" s="35"/>
      <c r="R8" s="36"/>
      <c r="S8" s="36"/>
      <c r="T8" s="29"/>
      <c r="U8" s="35"/>
      <c r="V8" s="36"/>
      <c r="W8" s="36"/>
      <c r="X8" s="29"/>
      <c r="Y8" s="35"/>
      <c r="Z8" s="36"/>
      <c r="AA8" s="36"/>
      <c r="AB8" s="29"/>
      <c r="AC8" s="35"/>
      <c r="AD8" s="36"/>
      <c r="AE8" s="36"/>
      <c r="AF8" s="29"/>
      <c r="AG8" s="35"/>
      <c r="AH8" s="36"/>
      <c r="AI8" s="36"/>
      <c r="AJ8" s="29"/>
      <c r="AK8" s="35"/>
      <c r="AL8" s="36"/>
      <c r="AM8" s="36"/>
      <c r="AN8" s="29"/>
      <c r="AO8" s="29"/>
      <c r="AP8" s="29"/>
      <c r="AQ8" s="37"/>
      <c r="AR8" s="39" t="str">
        <f aca="false">IF(AN8&lt;&gt;"Yes","",IF(AO8="","SELECT RE-ENTRY STAGE","MOVE TO ACTIVE at "&amp;AO8))</f>
        <v/>
      </c>
      <c r="AS8" s="40" t="str">
        <f aca="false">IF(AN8="Yes",COUNTIF($AN$6:AN8,"Yes"),"")</f>
        <v/>
      </c>
      <c r="AT8" s="29"/>
      <c r="AU8" s="38" t="str">
        <f aca="false">IF($C8="","",IF(OR(F8="Completed",F8="Cancelled"),"",IF(AND(OR(F8="On Hold",ISNUMBER(VALUE(LEFT(H8,2)))),AT8=""),"Reason not given","")))</f>
        <v/>
      </c>
      <c r="AV8" s="30"/>
      <c r="AW8" s="30"/>
    </row>
    <row r="9" customFormat="false" ht="19.5" hidden="false" customHeight="true" outlineLevel="0" collapsed="false">
      <c r="A9" s="28" t="str">
        <f aca="false">IF($C9="","",COUNTA($C$6:$C9))</f>
        <v/>
      </c>
      <c r="B9" s="29"/>
      <c r="C9" s="30"/>
      <c r="D9" s="29"/>
      <c r="E9" s="31" t="str">
        <f aca="false">IF($C9="","",IF(NOT(OR(M9="Completed",M9="NA",M9="Cancelled")),"S1 Schematic",IF(NOT(OR(Q9="Completed",Q9="NA",Q9="Cancelled")),"S2 PCB Layout",IF(NOT(OR(U9="Completed",U9="NA",U9="Cancelled")),"S3 SI &amp; PI",IF(NOT(OR(Y9="Completed",Y9="NA",Y9="Cancelled")),"S4 Bare-PCB Fab",IF(NOT(OR(AC9="Completed",AC9="NA",AC9="Cancelled")),"S5 Assembly",IF(NOT(OR(AG9="Completed",AG9="NA",AG9="Cancelled")),"S6 Bring-up",IF(NOT(OR(AK9="Completed",AK9="NA",AK9="Cancelled")),"S7 BOM Procurement","All Stages Closed"))))))))</f>
        <v/>
      </c>
      <c r="F9" s="32" t="str">
        <f aca="false">IF($C9="","",IF(COUNTIF(M9,"Cancelled")+COUNTIF(Q9,"Cancelled")+COUNTIF(U9,"Cancelled")+COUNTIF(Y9,"Cancelled")+COUNTIF(AC9,"Cancelled")+COUNTIF(AG9,"Cancelled")+COUNTIF(AK9,"Cancelled")&gt;0,"Cancelled",IF(E9="All Stages Closed","Completed",IF(E9="S1 Schematic",M9,IF(E9="S2 PCB Layout",Q9,IF(E9="S3 SI &amp; PI",U9,IF(E9="S4 Bare-PCB Fab",Y9,IF(E9="S5 Assembly",AC9,IF(E9="S6 Bring-up",AG9,AK9)))))))))</f>
        <v/>
      </c>
      <c r="G9" s="33" t="str">
        <f aca="false">IF($C9="","",IF(E9="All Stages Closed","",IF(E9="S1 Schematic",IF(N9="","Not added",N9),IF(E9="S2 PCB Layout",IF(R9="","Not added",R9),IF(E9="S3 SI &amp; PI",IF(V9="","Not added",V9),IF(E9="S4 Bare-PCB Fab",IF(Z9="","Not added",Z9),IF(E9="S5 Assembly",IF(AD9="","Not added",AD9),IF(E9="S6 Bring-up",IF(AH9="","Not added",AH9),IF(AL9="","Not added",AL9)))))))))</f>
        <v/>
      </c>
      <c r="H9" s="32" t="str">
        <f aca="true">IF($C9="","",IF(OR(F9="Completed",F9="Cancelled"),"",IF(NOT(ISNUMBER(G9)),"No date set",IF(TODAY()&gt;G9,TODAY()-G9&amp;" days late",G9-TODAY()&amp;" days left"))))</f>
        <v/>
      </c>
      <c r="I9" s="31" t="str">
        <f aca="false">IF($C9="","",COUNTIF(M9,"Completed")+COUNTIF(Q9,"Completed")+COUNTIF(U9,"Completed")+COUNTIF(Y9,"Completed")+COUNTIF(AC9,"Completed")+COUNTIF(AG9,"Completed")+COUNTIF(AK9,"Completed"))</f>
        <v/>
      </c>
      <c r="J9" s="31" t="str">
        <f aca="false">IF($C9="","",7-(COUNTIF(M9,"NA")+COUNTIF(Q9,"NA")+COUNTIF(U9,"NA")+COUNTIF(Y9,"NA")+COUNTIF(AC9,"NA")+COUNTIF(AG9,"NA")+COUNTIF(AK9,"NA")))</f>
        <v/>
      </c>
      <c r="K9" s="34" t="str">
        <f aca="false">IFERROR(I9/J9,"")</f>
        <v/>
      </c>
      <c r="L9" s="29"/>
      <c r="M9" s="35"/>
      <c r="N9" s="36"/>
      <c r="O9" s="36"/>
      <c r="P9" s="29"/>
      <c r="Q9" s="35"/>
      <c r="R9" s="36"/>
      <c r="S9" s="36"/>
      <c r="T9" s="29"/>
      <c r="U9" s="35"/>
      <c r="V9" s="36"/>
      <c r="W9" s="36"/>
      <c r="X9" s="29"/>
      <c r="Y9" s="35"/>
      <c r="Z9" s="36"/>
      <c r="AA9" s="36"/>
      <c r="AB9" s="29"/>
      <c r="AC9" s="35"/>
      <c r="AD9" s="36"/>
      <c r="AE9" s="36"/>
      <c r="AF9" s="29"/>
      <c r="AG9" s="35"/>
      <c r="AH9" s="36"/>
      <c r="AI9" s="36"/>
      <c r="AJ9" s="29"/>
      <c r="AK9" s="35"/>
      <c r="AL9" s="36"/>
      <c r="AM9" s="36"/>
      <c r="AN9" s="29"/>
      <c r="AO9" s="29"/>
      <c r="AP9" s="29"/>
      <c r="AQ9" s="37"/>
      <c r="AR9" s="39" t="str">
        <f aca="false">IF(AN9&lt;&gt;"Yes","",IF(AO9="","SELECT RE-ENTRY STAGE","MOVE TO ACTIVE at "&amp;AO9))</f>
        <v/>
      </c>
      <c r="AS9" s="40" t="str">
        <f aca="false">IF(AN9="Yes",COUNTIF($AN$6:AN9,"Yes"),"")</f>
        <v/>
      </c>
      <c r="AT9" s="29"/>
      <c r="AU9" s="38" t="str">
        <f aca="false">IF($C9="","",IF(OR(F9="Completed",F9="Cancelled"),"",IF(AND(OR(F9="On Hold",ISNUMBER(VALUE(LEFT(H9,2)))),AT9=""),"Reason not given","")))</f>
        <v/>
      </c>
      <c r="AV9" s="30"/>
      <c r="AW9" s="30"/>
    </row>
    <row r="10" customFormat="false" ht="19.5" hidden="false" customHeight="true" outlineLevel="0" collapsed="false">
      <c r="A10" s="28" t="str">
        <f aca="false">IF($C10="","",COUNTA($C$6:$C10))</f>
        <v/>
      </c>
      <c r="B10" s="29"/>
      <c r="C10" s="30"/>
      <c r="D10" s="29"/>
      <c r="E10" s="31" t="str">
        <f aca="false">IF($C10="","",IF(NOT(OR(M10="Completed",M10="NA",M10="Cancelled")),"S1 Schematic",IF(NOT(OR(Q10="Completed",Q10="NA",Q10="Cancelled")),"S2 PCB Layout",IF(NOT(OR(U10="Completed",U10="NA",U10="Cancelled")),"S3 SI &amp; PI",IF(NOT(OR(Y10="Completed",Y10="NA",Y10="Cancelled")),"S4 Bare-PCB Fab",IF(NOT(OR(AC10="Completed",AC10="NA",AC10="Cancelled")),"S5 Assembly",IF(NOT(OR(AG10="Completed",AG10="NA",AG10="Cancelled")),"S6 Bring-up",IF(NOT(OR(AK10="Completed",AK10="NA",AK10="Cancelled")),"S7 BOM Procurement","All Stages Closed"))))))))</f>
        <v/>
      </c>
      <c r="F10" s="32" t="str">
        <f aca="false">IF($C10="","",IF(COUNTIF(M10,"Cancelled")+COUNTIF(Q10,"Cancelled")+COUNTIF(U10,"Cancelled")+COUNTIF(Y10,"Cancelled")+COUNTIF(AC10,"Cancelled")+COUNTIF(AG10,"Cancelled")+COUNTIF(AK10,"Cancelled")&gt;0,"Cancelled",IF(E10="All Stages Closed","Completed",IF(E10="S1 Schematic",M10,IF(E10="S2 PCB Layout",Q10,IF(E10="S3 SI &amp; PI",U10,IF(E10="S4 Bare-PCB Fab",Y10,IF(E10="S5 Assembly",AC10,IF(E10="S6 Bring-up",AG10,AK10)))))))))</f>
        <v/>
      </c>
      <c r="G10" s="33" t="str">
        <f aca="false">IF($C10="","",IF(E10="All Stages Closed","",IF(E10="S1 Schematic",IF(N10="","Not added",N10),IF(E10="S2 PCB Layout",IF(R10="","Not added",R10),IF(E10="S3 SI &amp; PI",IF(V10="","Not added",V10),IF(E10="S4 Bare-PCB Fab",IF(Z10="","Not added",Z10),IF(E10="S5 Assembly",IF(AD10="","Not added",AD10),IF(E10="S6 Bring-up",IF(AH10="","Not added",AH10),IF(AL10="","Not added",AL10)))))))))</f>
        <v/>
      </c>
      <c r="H10" s="32" t="str">
        <f aca="true">IF($C10="","",IF(OR(F10="Completed",F10="Cancelled"),"",IF(NOT(ISNUMBER(G10)),"No date set",IF(TODAY()&gt;G10,TODAY()-G10&amp;" days late",G10-TODAY()&amp;" days left"))))</f>
        <v/>
      </c>
      <c r="I10" s="31" t="str">
        <f aca="false">IF($C10="","",COUNTIF(M10,"Completed")+COUNTIF(Q10,"Completed")+COUNTIF(U10,"Completed")+COUNTIF(Y10,"Completed")+COUNTIF(AC10,"Completed")+COUNTIF(AG10,"Completed")+COUNTIF(AK10,"Completed"))</f>
        <v/>
      </c>
      <c r="J10" s="31" t="str">
        <f aca="false">IF($C10="","",7-(COUNTIF(M10,"NA")+COUNTIF(Q10,"NA")+COUNTIF(U10,"NA")+COUNTIF(Y10,"NA")+COUNTIF(AC10,"NA")+COUNTIF(AG10,"NA")+COUNTIF(AK10,"NA")))</f>
        <v/>
      </c>
      <c r="K10" s="34" t="str">
        <f aca="false">IFERROR(I10/J10,"")</f>
        <v/>
      </c>
      <c r="L10" s="29"/>
      <c r="M10" s="35"/>
      <c r="N10" s="36"/>
      <c r="O10" s="36"/>
      <c r="P10" s="29"/>
      <c r="Q10" s="35"/>
      <c r="R10" s="36"/>
      <c r="S10" s="36"/>
      <c r="T10" s="29"/>
      <c r="U10" s="35"/>
      <c r="V10" s="36"/>
      <c r="W10" s="36"/>
      <c r="X10" s="29"/>
      <c r="Y10" s="35"/>
      <c r="Z10" s="36"/>
      <c r="AA10" s="36"/>
      <c r="AB10" s="29"/>
      <c r="AC10" s="35"/>
      <c r="AD10" s="36"/>
      <c r="AE10" s="36"/>
      <c r="AF10" s="29"/>
      <c r="AG10" s="35"/>
      <c r="AH10" s="36"/>
      <c r="AI10" s="36"/>
      <c r="AJ10" s="29"/>
      <c r="AK10" s="35"/>
      <c r="AL10" s="36"/>
      <c r="AM10" s="36"/>
      <c r="AN10" s="29"/>
      <c r="AO10" s="29"/>
      <c r="AP10" s="29"/>
      <c r="AQ10" s="37"/>
      <c r="AR10" s="39" t="str">
        <f aca="false">IF(AN10&lt;&gt;"Yes","",IF(AO10="","SELECT RE-ENTRY STAGE","MOVE TO ACTIVE at "&amp;AO10))</f>
        <v/>
      </c>
      <c r="AS10" s="40" t="str">
        <f aca="false">IF(AN10="Yes",COUNTIF($AN$6:AN10,"Yes"),"")</f>
        <v/>
      </c>
      <c r="AT10" s="29"/>
      <c r="AU10" s="38" t="str">
        <f aca="false">IF($C10="","",IF(OR(F10="Completed",F10="Cancelled"),"",IF(AND(OR(F10="On Hold",ISNUMBER(VALUE(LEFT(H10,2)))),AT10=""),"Reason not given","")))</f>
        <v/>
      </c>
      <c r="AV10" s="30"/>
      <c r="AW10" s="30"/>
    </row>
    <row r="11" customFormat="false" ht="19.5" hidden="false" customHeight="true" outlineLevel="0" collapsed="false">
      <c r="A11" s="28" t="str">
        <f aca="false">IF($C11="","",COUNTA($C$6:$C11))</f>
        <v/>
      </c>
      <c r="B11" s="29"/>
      <c r="C11" s="30"/>
      <c r="D11" s="29"/>
      <c r="E11" s="31" t="str">
        <f aca="false">IF($C11="","",IF(NOT(OR(M11="Completed",M11="NA",M11="Cancelled")),"S1 Schematic",IF(NOT(OR(Q11="Completed",Q11="NA",Q11="Cancelled")),"S2 PCB Layout",IF(NOT(OR(U11="Completed",U11="NA",U11="Cancelled")),"S3 SI &amp; PI",IF(NOT(OR(Y11="Completed",Y11="NA",Y11="Cancelled")),"S4 Bare-PCB Fab",IF(NOT(OR(AC11="Completed",AC11="NA",AC11="Cancelled")),"S5 Assembly",IF(NOT(OR(AG11="Completed",AG11="NA",AG11="Cancelled")),"S6 Bring-up",IF(NOT(OR(AK11="Completed",AK11="NA",AK11="Cancelled")),"S7 BOM Procurement","All Stages Closed"))))))))</f>
        <v/>
      </c>
      <c r="F11" s="32" t="str">
        <f aca="false">IF($C11="","",IF(COUNTIF(M11,"Cancelled")+COUNTIF(Q11,"Cancelled")+COUNTIF(U11,"Cancelled")+COUNTIF(Y11,"Cancelled")+COUNTIF(AC11,"Cancelled")+COUNTIF(AG11,"Cancelled")+COUNTIF(AK11,"Cancelled")&gt;0,"Cancelled",IF(E11="All Stages Closed","Completed",IF(E11="S1 Schematic",M11,IF(E11="S2 PCB Layout",Q11,IF(E11="S3 SI &amp; PI",U11,IF(E11="S4 Bare-PCB Fab",Y11,IF(E11="S5 Assembly",AC11,IF(E11="S6 Bring-up",AG11,AK11)))))))))</f>
        <v/>
      </c>
      <c r="G11" s="33" t="str">
        <f aca="false">IF($C11="","",IF(E11="All Stages Closed","",IF(E11="S1 Schematic",IF(N11="","Not added",N11),IF(E11="S2 PCB Layout",IF(R11="","Not added",R11),IF(E11="S3 SI &amp; PI",IF(V11="","Not added",V11),IF(E11="S4 Bare-PCB Fab",IF(Z11="","Not added",Z11),IF(E11="S5 Assembly",IF(AD11="","Not added",AD11),IF(E11="S6 Bring-up",IF(AH11="","Not added",AH11),IF(AL11="","Not added",AL11)))))))))</f>
        <v/>
      </c>
      <c r="H11" s="32" t="str">
        <f aca="true">IF($C11="","",IF(OR(F11="Completed",F11="Cancelled"),"",IF(NOT(ISNUMBER(G11)),"No date set",IF(TODAY()&gt;G11,TODAY()-G11&amp;" days late",G11-TODAY()&amp;" days left"))))</f>
        <v/>
      </c>
      <c r="I11" s="31" t="str">
        <f aca="false">IF($C11="","",COUNTIF(M11,"Completed")+COUNTIF(Q11,"Completed")+COUNTIF(U11,"Completed")+COUNTIF(Y11,"Completed")+COUNTIF(AC11,"Completed")+COUNTIF(AG11,"Completed")+COUNTIF(AK11,"Completed"))</f>
        <v/>
      </c>
      <c r="J11" s="31" t="str">
        <f aca="false">IF($C11="","",7-(COUNTIF(M11,"NA")+COUNTIF(Q11,"NA")+COUNTIF(U11,"NA")+COUNTIF(Y11,"NA")+COUNTIF(AC11,"NA")+COUNTIF(AG11,"NA")+COUNTIF(AK11,"NA")))</f>
        <v/>
      </c>
      <c r="K11" s="34" t="str">
        <f aca="false">IFERROR(I11/J11,"")</f>
        <v/>
      </c>
      <c r="L11" s="29"/>
      <c r="M11" s="35"/>
      <c r="N11" s="36"/>
      <c r="O11" s="36"/>
      <c r="P11" s="29"/>
      <c r="Q11" s="35"/>
      <c r="R11" s="36"/>
      <c r="S11" s="36"/>
      <c r="T11" s="29"/>
      <c r="U11" s="35"/>
      <c r="V11" s="36"/>
      <c r="W11" s="36"/>
      <c r="X11" s="29"/>
      <c r="Y11" s="35"/>
      <c r="Z11" s="36"/>
      <c r="AA11" s="36"/>
      <c r="AB11" s="29"/>
      <c r="AC11" s="35"/>
      <c r="AD11" s="36"/>
      <c r="AE11" s="36"/>
      <c r="AF11" s="29"/>
      <c r="AG11" s="35"/>
      <c r="AH11" s="36"/>
      <c r="AI11" s="36"/>
      <c r="AJ11" s="29"/>
      <c r="AK11" s="35"/>
      <c r="AL11" s="36"/>
      <c r="AM11" s="36"/>
      <c r="AN11" s="29"/>
      <c r="AO11" s="29"/>
      <c r="AP11" s="29"/>
      <c r="AQ11" s="37"/>
      <c r="AR11" s="39" t="str">
        <f aca="false">IF(AN11&lt;&gt;"Yes","",IF(AO11="","SELECT RE-ENTRY STAGE","MOVE TO ACTIVE at "&amp;AO11))</f>
        <v/>
      </c>
      <c r="AS11" s="40" t="str">
        <f aca="false">IF(AN11="Yes",COUNTIF($AN$6:AN11,"Yes"),"")</f>
        <v/>
      </c>
      <c r="AT11" s="29"/>
      <c r="AU11" s="38" t="str">
        <f aca="false">IF($C11="","",IF(OR(F11="Completed",F11="Cancelled"),"",IF(AND(OR(F11="On Hold",ISNUMBER(VALUE(LEFT(H11,2)))),AT11=""),"Reason not given","")))</f>
        <v/>
      </c>
      <c r="AV11" s="30"/>
      <c r="AW11" s="30"/>
    </row>
    <row r="12" customFormat="false" ht="19.5" hidden="false" customHeight="true" outlineLevel="0" collapsed="false">
      <c r="A12" s="28" t="str">
        <f aca="false">IF($C12="","",COUNTA($C$6:$C12))</f>
        <v/>
      </c>
      <c r="B12" s="29"/>
      <c r="C12" s="30"/>
      <c r="D12" s="29"/>
      <c r="E12" s="31" t="str">
        <f aca="false">IF($C12="","",IF(NOT(OR(M12="Completed",M12="NA",M12="Cancelled")),"S1 Schematic",IF(NOT(OR(Q12="Completed",Q12="NA",Q12="Cancelled")),"S2 PCB Layout",IF(NOT(OR(U12="Completed",U12="NA",U12="Cancelled")),"S3 SI &amp; PI",IF(NOT(OR(Y12="Completed",Y12="NA",Y12="Cancelled")),"S4 Bare-PCB Fab",IF(NOT(OR(AC12="Completed",AC12="NA",AC12="Cancelled")),"S5 Assembly",IF(NOT(OR(AG12="Completed",AG12="NA",AG12="Cancelled")),"S6 Bring-up",IF(NOT(OR(AK12="Completed",AK12="NA",AK12="Cancelled")),"S7 BOM Procurement","All Stages Closed"))))))))</f>
        <v/>
      </c>
      <c r="F12" s="32" t="str">
        <f aca="false">IF($C12="","",IF(COUNTIF(M12,"Cancelled")+COUNTIF(Q12,"Cancelled")+COUNTIF(U12,"Cancelled")+COUNTIF(Y12,"Cancelled")+COUNTIF(AC12,"Cancelled")+COUNTIF(AG12,"Cancelled")+COUNTIF(AK12,"Cancelled")&gt;0,"Cancelled",IF(E12="All Stages Closed","Completed",IF(E12="S1 Schematic",M12,IF(E12="S2 PCB Layout",Q12,IF(E12="S3 SI &amp; PI",U12,IF(E12="S4 Bare-PCB Fab",Y12,IF(E12="S5 Assembly",AC12,IF(E12="S6 Bring-up",AG12,AK12)))))))))</f>
        <v/>
      </c>
      <c r="G12" s="33" t="str">
        <f aca="false">IF($C12="","",IF(E12="All Stages Closed","",IF(E12="S1 Schematic",IF(N12="","Not added",N12),IF(E12="S2 PCB Layout",IF(R12="","Not added",R12),IF(E12="S3 SI &amp; PI",IF(V12="","Not added",V12),IF(E12="S4 Bare-PCB Fab",IF(Z12="","Not added",Z12),IF(E12="S5 Assembly",IF(AD12="","Not added",AD12),IF(E12="S6 Bring-up",IF(AH12="","Not added",AH12),IF(AL12="","Not added",AL12)))))))))</f>
        <v/>
      </c>
      <c r="H12" s="32" t="str">
        <f aca="true">IF($C12="","",IF(OR(F12="Completed",F12="Cancelled"),"",IF(NOT(ISNUMBER(G12)),"No date set",IF(TODAY()&gt;G12,TODAY()-G12&amp;" days late",G12-TODAY()&amp;" days left"))))</f>
        <v/>
      </c>
      <c r="I12" s="31" t="str">
        <f aca="false">IF($C12="","",COUNTIF(M12,"Completed")+COUNTIF(Q12,"Completed")+COUNTIF(U12,"Completed")+COUNTIF(Y12,"Completed")+COUNTIF(AC12,"Completed")+COUNTIF(AG12,"Completed")+COUNTIF(AK12,"Completed"))</f>
        <v/>
      </c>
      <c r="J12" s="31" t="str">
        <f aca="false">IF($C12="","",7-(COUNTIF(M12,"NA")+COUNTIF(Q12,"NA")+COUNTIF(U12,"NA")+COUNTIF(Y12,"NA")+COUNTIF(AC12,"NA")+COUNTIF(AG12,"NA")+COUNTIF(AK12,"NA")))</f>
        <v/>
      </c>
      <c r="K12" s="34" t="str">
        <f aca="false">IFERROR(I12/J12,"")</f>
        <v/>
      </c>
      <c r="L12" s="29"/>
      <c r="M12" s="35"/>
      <c r="N12" s="36"/>
      <c r="O12" s="36"/>
      <c r="P12" s="29"/>
      <c r="Q12" s="35"/>
      <c r="R12" s="36"/>
      <c r="S12" s="36"/>
      <c r="T12" s="29"/>
      <c r="U12" s="35"/>
      <c r="V12" s="36"/>
      <c r="W12" s="36"/>
      <c r="X12" s="29"/>
      <c r="Y12" s="35"/>
      <c r="Z12" s="36"/>
      <c r="AA12" s="36"/>
      <c r="AB12" s="29"/>
      <c r="AC12" s="35"/>
      <c r="AD12" s="36"/>
      <c r="AE12" s="36"/>
      <c r="AF12" s="29"/>
      <c r="AG12" s="35"/>
      <c r="AH12" s="36"/>
      <c r="AI12" s="36"/>
      <c r="AJ12" s="29"/>
      <c r="AK12" s="35"/>
      <c r="AL12" s="36"/>
      <c r="AM12" s="36"/>
      <c r="AN12" s="29"/>
      <c r="AO12" s="29"/>
      <c r="AP12" s="29"/>
      <c r="AQ12" s="37"/>
      <c r="AR12" s="39" t="str">
        <f aca="false">IF(AN12&lt;&gt;"Yes","",IF(AO12="","SELECT RE-ENTRY STAGE","MOVE TO ACTIVE at "&amp;AO12))</f>
        <v/>
      </c>
      <c r="AS12" s="40" t="str">
        <f aca="false">IF(AN12="Yes",COUNTIF($AN$6:AN12,"Yes"),"")</f>
        <v/>
      </c>
      <c r="AT12" s="29"/>
      <c r="AU12" s="38" t="str">
        <f aca="false">IF($C12="","",IF(OR(F12="Completed",F12="Cancelled"),"",IF(AND(OR(F12="On Hold",ISNUMBER(VALUE(LEFT(H12,2)))),AT12=""),"Reason not given","")))</f>
        <v/>
      </c>
      <c r="AV12" s="30"/>
      <c r="AW12" s="30"/>
    </row>
    <row r="13" customFormat="false" ht="19.5" hidden="false" customHeight="true" outlineLevel="0" collapsed="false">
      <c r="A13" s="28" t="str">
        <f aca="false">IF($C13="","",COUNTA($C$6:$C13))</f>
        <v/>
      </c>
      <c r="B13" s="29"/>
      <c r="C13" s="30"/>
      <c r="D13" s="29"/>
      <c r="E13" s="31" t="str">
        <f aca="false">IF($C13="","",IF(NOT(OR(M13="Completed",M13="NA",M13="Cancelled")),"S1 Schematic",IF(NOT(OR(Q13="Completed",Q13="NA",Q13="Cancelled")),"S2 PCB Layout",IF(NOT(OR(U13="Completed",U13="NA",U13="Cancelled")),"S3 SI &amp; PI",IF(NOT(OR(Y13="Completed",Y13="NA",Y13="Cancelled")),"S4 Bare-PCB Fab",IF(NOT(OR(AC13="Completed",AC13="NA",AC13="Cancelled")),"S5 Assembly",IF(NOT(OR(AG13="Completed",AG13="NA",AG13="Cancelled")),"S6 Bring-up",IF(NOT(OR(AK13="Completed",AK13="NA",AK13="Cancelled")),"S7 BOM Procurement","All Stages Closed"))))))))</f>
        <v/>
      </c>
      <c r="F13" s="32" t="str">
        <f aca="false">IF($C13="","",IF(COUNTIF(M13,"Cancelled")+COUNTIF(Q13,"Cancelled")+COUNTIF(U13,"Cancelled")+COUNTIF(Y13,"Cancelled")+COUNTIF(AC13,"Cancelled")+COUNTIF(AG13,"Cancelled")+COUNTIF(AK13,"Cancelled")&gt;0,"Cancelled",IF(E13="All Stages Closed","Completed",IF(E13="S1 Schematic",M13,IF(E13="S2 PCB Layout",Q13,IF(E13="S3 SI &amp; PI",U13,IF(E13="S4 Bare-PCB Fab",Y13,IF(E13="S5 Assembly",AC13,IF(E13="S6 Bring-up",AG13,AK13)))))))))</f>
        <v/>
      </c>
      <c r="G13" s="33" t="str">
        <f aca="false">IF($C13="","",IF(E13="All Stages Closed","",IF(E13="S1 Schematic",IF(N13="","Not added",N13),IF(E13="S2 PCB Layout",IF(R13="","Not added",R13),IF(E13="S3 SI &amp; PI",IF(V13="","Not added",V13),IF(E13="S4 Bare-PCB Fab",IF(Z13="","Not added",Z13),IF(E13="S5 Assembly",IF(AD13="","Not added",AD13),IF(E13="S6 Bring-up",IF(AH13="","Not added",AH13),IF(AL13="","Not added",AL13)))))))))</f>
        <v/>
      </c>
      <c r="H13" s="32" t="str">
        <f aca="true">IF($C13="","",IF(OR(F13="Completed",F13="Cancelled"),"",IF(NOT(ISNUMBER(G13)),"No date set",IF(TODAY()&gt;G13,TODAY()-G13&amp;" days late",G13-TODAY()&amp;" days left"))))</f>
        <v/>
      </c>
      <c r="I13" s="31" t="str">
        <f aca="false">IF($C13="","",COUNTIF(M13,"Completed")+COUNTIF(Q13,"Completed")+COUNTIF(U13,"Completed")+COUNTIF(Y13,"Completed")+COUNTIF(AC13,"Completed")+COUNTIF(AG13,"Completed")+COUNTIF(AK13,"Completed"))</f>
        <v/>
      </c>
      <c r="J13" s="31" t="str">
        <f aca="false">IF($C13="","",7-(COUNTIF(M13,"NA")+COUNTIF(Q13,"NA")+COUNTIF(U13,"NA")+COUNTIF(Y13,"NA")+COUNTIF(AC13,"NA")+COUNTIF(AG13,"NA")+COUNTIF(AK13,"NA")))</f>
        <v/>
      </c>
      <c r="K13" s="34" t="str">
        <f aca="false">IFERROR(I13/J13,"")</f>
        <v/>
      </c>
      <c r="L13" s="29"/>
      <c r="M13" s="35"/>
      <c r="N13" s="36"/>
      <c r="O13" s="36"/>
      <c r="P13" s="29"/>
      <c r="Q13" s="35"/>
      <c r="R13" s="36"/>
      <c r="S13" s="36"/>
      <c r="T13" s="29"/>
      <c r="U13" s="35"/>
      <c r="V13" s="36"/>
      <c r="W13" s="36"/>
      <c r="X13" s="29"/>
      <c r="Y13" s="35"/>
      <c r="Z13" s="36"/>
      <c r="AA13" s="36"/>
      <c r="AB13" s="29"/>
      <c r="AC13" s="35"/>
      <c r="AD13" s="36"/>
      <c r="AE13" s="36"/>
      <c r="AF13" s="29"/>
      <c r="AG13" s="35"/>
      <c r="AH13" s="36"/>
      <c r="AI13" s="36"/>
      <c r="AJ13" s="29"/>
      <c r="AK13" s="35"/>
      <c r="AL13" s="36"/>
      <c r="AM13" s="36"/>
      <c r="AN13" s="29"/>
      <c r="AO13" s="29"/>
      <c r="AP13" s="29"/>
      <c r="AQ13" s="37"/>
      <c r="AR13" s="39" t="str">
        <f aca="false">IF(AN13&lt;&gt;"Yes","",IF(AO13="","SELECT RE-ENTRY STAGE","MOVE TO ACTIVE at "&amp;AO13))</f>
        <v/>
      </c>
      <c r="AS13" s="40" t="str">
        <f aca="false">IF(AN13="Yes",COUNTIF($AN$6:AN13,"Yes"),"")</f>
        <v/>
      </c>
      <c r="AT13" s="29"/>
      <c r="AU13" s="38" t="str">
        <f aca="false">IF($C13="","",IF(OR(F13="Completed",F13="Cancelled"),"",IF(AND(OR(F13="On Hold",ISNUMBER(VALUE(LEFT(H13,2)))),AT13=""),"Reason not given","")))</f>
        <v/>
      </c>
      <c r="AV13" s="30"/>
      <c r="AW13" s="30"/>
    </row>
    <row r="14" customFormat="false" ht="19.5" hidden="false" customHeight="true" outlineLevel="0" collapsed="false">
      <c r="A14" s="28" t="str">
        <f aca="false">IF($C14="","",COUNTA($C$6:$C14))</f>
        <v/>
      </c>
      <c r="B14" s="29"/>
      <c r="C14" s="30"/>
      <c r="D14" s="29"/>
      <c r="E14" s="31" t="str">
        <f aca="false">IF($C14="","",IF(NOT(OR(M14="Completed",M14="NA",M14="Cancelled")),"S1 Schematic",IF(NOT(OR(Q14="Completed",Q14="NA",Q14="Cancelled")),"S2 PCB Layout",IF(NOT(OR(U14="Completed",U14="NA",U14="Cancelled")),"S3 SI &amp; PI",IF(NOT(OR(Y14="Completed",Y14="NA",Y14="Cancelled")),"S4 Bare-PCB Fab",IF(NOT(OR(AC14="Completed",AC14="NA",AC14="Cancelled")),"S5 Assembly",IF(NOT(OR(AG14="Completed",AG14="NA",AG14="Cancelled")),"S6 Bring-up",IF(NOT(OR(AK14="Completed",AK14="NA",AK14="Cancelled")),"S7 BOM Procurement","All Stages Closed"))))))))</f>
        <v/>
      </c>
      <c r="F14" s="32" t="str">
        <f aca="false">IF($C14="","",IF(COUNTIF(M14,"Cancelled")+COUNTIF(Q14,"Cancelled")+COUNTIF(U14,"Cancelled")+COUNTIF(Y14,"Cancelled")+COUNTIF(AC14,"Cancelled")+COUNTIF(AG14,"Cancelled")+COUNTIF(AK14,"Cancelled")&gt;0,"Cancelled",IF(E14="All Stages Closed","Completed",IF(E14="S1 Schematic",M14,IF(E14="S2 PCB Layout",Q14,IF(E14="S3 SI &amp; PI",U14,IF(E14="S4 Bare-PCB Fab",Y14,IF(E14="S5 Assembly",AC14,IF(E14="S6 Bring-up",AG14,AK14)))))))))</f>
        <v/>
      </c>
      <c r="G14" s="33" t="str">
        <f aca="false">IF($C14="","",IF(E14="All Stages Closed","",IF(E14="S1 Schematic",IF(N14="","Not added",N14),IF(E14="S2 PCB Layout",IF(R14="","Not added",R14),IF(E14="S3 SI &amp; PI",IF(V14="","Not added",V14),IF(E14="S4 Bare-PCB Fab",IF(Z14="","Not added",Z14),IF(E14="S5 Assembly",IF(AD14="","Not added",AD14),IF(E14="S6 Bring-up",IF(AH14="","Not added",AH14),IF(AL14="","Not added",AL14)))))))))</f>
        <v/>
      </c>
      <c r="H14" s="32" t="str">
        <f aca="true">IF($C14="","",IF(OR(F14="Completed",F14="Cancelled"),"",IF(NOT(ISNUMBER(G14)),"No date set",IF(TODAY()&gt;G14,TODAY()-G14&amp;" days late",G14-TODAY()&amp;" days left"))))</f>
        <v/>
      </c>
      <c r="I14" s="31" t="str">
        <f aca="false">IF($C14="","",COUNTIF(M14,"Completed")+COUNTIF(Q14,"Completed")+COUNTIF(U14,"Completed")+COUNTIF(Y14,"Completed")+COUNTIF(AC14,"Completed")+COUNTIF(AG14,"Completed")+COUNTIF(AK14,"Completed"))</f>
        <v/>
      </c>
      <c r="J14" s="31" t="str">
        <f aca="false">IF($C14="","",7-(COUNTIF(M14,"NA")+COUNTIF(Q14,"NA")+COUNTIF(U14,"NA")+COUNTIF(Y14,"NA")+COUNTIF(AC14,"NA")+COUNTIF(AG14,"NA")+COUNTIF(AK14,"NA")))</f>
        <v/>
      </c>
      <c r="K14" s="34" t="str">
        <f aca="false">IFERROR(I14/J14,"")</f>
        <v/>
      </c>
      <c r="L14" s="29"/>
      <c r="M14" s="35"/>
      <c r="N14" s="36"/>
      <c r="O14" s="36"/>
      <c r="P14" s="29"/>
      <c r="Q14" s="35"/>
      <c r="R14" s="36"/>
      <c r="S14" s="36"/>
      <c r="T14" s="29"/>
      <c r="U14" s="35"/>
      <c r="V14" s="36"/>
      <c r="W14" s="36"/>
      <c r="X14" s="29"/>
      <c r="Y14" s="35"/>
      <c r="Z14" s="36"/>
      <c r="AA14" s="36"/>
      <c r="AB14" s="29"/>
      <c r="AC14" s="35"/>
      <c r="AD14" s="36"/>
      <c r="AE14" s="36"/>
      <c r="AF14" s="29"/>
      <c r="AG14" s="35"/>
      <c r="AH14" s="36"/>
      <c r="AI14" s="36"/>
      <c r="AJ14" s="29"/>
      <c r="AK14" s="35"/>
      <c r="AL14" s="36"/>
      <c r="AM14" s="36"/>
      <c r="AN14" s="29"/>
      <c r="AO14" s="29"/>
      <c r="AP14" s="29"/>
      <c r="AQ14" s="37"/>
      <c r="AR14" s="39" t="str">
        <f aca="false">IF(AN14&lt;&gt;"Yes","",IF(AO14="","SELECT RE-ENTRY STAGE","MOVE TO ACTIVE at "&amp;AO14))</f>
        <v/>
      </c>
      <c r="AS14" s="40" t="str">
        <f aca="false">IF(AN14="Yes",COUNTIF($AN$6:AN14,"Yes"),"")</f>
        <v/>
      </c>
      <c r="AT14" s="29"/>
      <c r="AU14" s="38" t="str">
        <f aca="false">IF($C14="","",IF(OR(F14="Completed",F14="Cancelled"),"",IF(AND(OR(F14="On Hold",ISNUMBER(VALUE(LEFT(H14,2)))),AT14=""),"Reason not given","")))</f>
        <v/>
      </c>
      <c r="AV14" s="30"/>
      <c r="AW14" s="30"/>
    </row>
    <row r="15" customFormat="false" ht="19.5" hidden="false" customHeight="true" outlineLevel="0" collapsed="false">
      <c r="A15" s="28" t="str">
        <f aca="false">IF($C15="","",COUNTA($C$6:$C15))</f>
        <v/>
      </c>
      <c r="B15" s="29"/>
      <c r="C15" s="30"/>
      <c r="D15" s="29"/>
      <c r="E15" s="31" t="str">
        <f aca="false">IF($C15="","",IF(NOT(OR(M15="Completed",M15="NA",M15="Cancelled")),"S1 Schematic",IF(NOT(OR(Q15="Completed",Q15="NA",Q15="Cancelled")),"S2 PCB Layout",IF(NOT(OR(U15="Completed",U15="NA",U15="Cancelled")),"S3 SI &amp; PI",IF(NOT(OR(Y15="Completed",Y15="NA",Y15="Cancelled")),"S4 Bare-PCB Fab",IF(NOT(OR(AC15="Completed",AC15="NA",AC15="Cancelled")),"S5 Assembly",IF(NOT(OR(AG15="Completed",AG15="NA",AG15="Cancelled")),"S6 Bring-up",IF(NOT(OR(AK15="Completed",AK15="NA",AK15="Cancelled")),"S7 BOM Procurement","All Stages Closed"))))))))</f>
        <v/>
      </c>
      <c r="F15" s="32" t="str">
        <f aca="false">IF($C15="","",IF(COUNTIF(M15,"Cancelled")+COUNTIF(Q15,"Cancelled")+COUNTIF(U15,"Cancelled")+COUNTIF(Y15,"Cancelled")+COUNTIF(AC15,"Cancelled")+COUNTIF(AG15,"Cancelled")+COUNTIF(AK15,"Cancelled")&gt;0,"Cancelled",IF(E15="All Stages Closed","Completed",IF(E15="S1 Schematic",M15,IF(E15="S2 PCB Layout",Q15,IF(E15="S3 SI &amp; PI",U15,IF(E15="S4 Bare-PCB Fab",Y15,IF(E15="S5 Assembly",AC15,IF(E15="S6 Bring-up",AG15,AK15)))))))))</f>
        <v/>
      </c>
      <c r="G15" s="33" t="str">
        <f aca="false">IF($C15="","",IF(E15="All Stages Closed","",IF(E15="S1 Schematic",IF(N15="","Not added",N15),IF(E15="S2 PCB Layout",IF(R15="","Not added",R15),IF(E15="S3 SI &amp; PI",IF(V15="","Not added",V15),IF(E15="S4 Bare-PCB Fab",IF(Z15="","Not added",Z15),IF(E15="S5 Assembly",IF(AD15="","Not added",AD15),IF(E15="S6 Bring-up",IF(AH15="","Not added",AH15),IF(AL15="","Not added",AL15)))))))))</f>
        <v/>
      </c>
      <c r="H15" s="32" t="str">
        <f aca="true">IF($C15="","",IF(OR(F15="Completed",F15="Cancelled"),"",IF(NOT(ISNUMBER(G15)),"No date set",IF(TODAY()&gt;G15,TODAY()-G15&amp;" days late",G15-TODAY()&amp;" days left"))))</f>
        <v/>
      </c>
      <c r="I15" s="31" t="str">
        <f aca="false">IF($C15="","",COUNTIF(M15,"Completed")+COUNTIF(Q15,"Completed")+COUNTIF(U15,"Completed")+COUNTIF(Y15,"Completed")+COUNTIF(AC15,"Completed")+COUNTIF(AG15,"Completed")+COUNTIF(AK15,"Completed"))</f>
        <v/>
      </c>
      <c r="J15" s="31" t="str">
        <f aca="false">IF($C15="","",7-(COUNTIF(M15,"NA")+COUNTIF(Q15,"NA")+COUNTIF(U15,"NA")+COUNTIF(Y15,"NA")+COUNTIF(AC15,"NA")+COUNTIF(AG15,"NA")+COUNTIF(AK15,"NA")))</f>
        <v/>
      </c>
      <c r="K15" s="34" t="str">
        <f aca="false">IFERROR(I15/J15,"")</f>
        <v/>
      </c>
      <c r="L15" s="29"/>
      <c r="M15" s="35"/>
      <c r="N15" s="36"/>
      <c r="O15" s="36"/>
      <c r="P15" s="29"/>
      <c r="Q15" s="35"/>
      <c r="R15" s="36"/>
      <c r="S15" s="36"/>
      <c r="T15" s="29"/>
      <c r="U15" s="35"/>
      <c r="V15" s="36"/>
      <c r="W15" s="36"/>
      <c r="X15" s="29"/>
      <c r="Y15" s="35"/>
      <c r="Z15" s="36"/>
      <c r="AA15" s="36"/>
      <c r="AB15" s="29"/>
      <c r="AC15" s="35"/>
      <c r="AD15" s="36"/>
      <c r="AE15" s="36"/>
      <c r="AF15" s="29"/>
      <c r="AG15" s="35"/>
      <c r="AH15" s="36"/>
      <c r="AI15" s="36"/>
      <c r="AJ15" s="29"/>
      <c r="AK15" s="35"/>
      <c r="AL15" s="36"/>
      <c r="AM15" s="36"/>
      <c r="AN15" s="29"/>
      <c r="AO15" s="29"/>
      <c r="AP15" s="29"/>
      <c r="AQ15" s="37"/>
      <c r="AR15" s="39" t="str">
        <f aca="false">IF(AN15&lt;&gt;"Yes","",IF(AO15="","SELECT RE-ENTRY STAGE","MOVE TO ACTIVE at "&amp;AO15))</f>
        <v/>
      </c>
      <c r="AS15" s="40" t="str">
        <f aca="false">IF(AN15="Yes",COUNTIF($AN$6:AN15,"Yes"),"")</f>
        <v/>
      </c>
      <c r="AT15" s="29"/>
      <c r="AU15" s="38" t="str">
        <f aca="false">IF($C15="","",IF(OR(F15="Completed",F15="Cancelled"),"",IF(AND(OR(F15="On Hold",ISNUMBER(VALUE(LEFT(H15,2)))),AT15=""),"Reason not given","")))</f>
        <v/>
      </c>
      <c r="AV15" s="30"/>
      <c r="AW15" s="30"/>
    </row>
    <row r="16" customFormat="false" ht="19.5" hidden="false" customHeight="true" outlineLevel="0" collapsed="false">
      <c r="A16" s="28" t="str">
        <f aca="false">IF($C16="","",COUNTA($C$6:$C16))</f>
        <v/>
      </c>
      <c r="B16" s="29"/>
      <c r="C16" s="30"/>
      <c r="D16" s="29"/>
      <c r="E16" s="31" t="str">
        <f aca="false">IF($C16="","",IF(NOT(OR(M16="Completed",M16="NA",M16="Cancelled")),"S1 Schematic",IF(NOT(OR(Q16="Completed",Q16="NA",Q16="Cancelled")),"S2 PCB Layout",IF(NOT(OR(U16="Completed",U16="NA",U16="Cancelled")),"S3 SI &amp; PI",IF(NOT(OR(Y16="Completed",Y16="NA",Y16="Cancelled")),"S4 Bare-PCB Fab",IF(NOT(OR(AC16="Completed",AC16="NA",AC16="Cancelled")),"S5 Assembly",IF(NOT(OR(AG16="Completed",AG16="NA",AG16="Cancelled")),"S6 Bring-up",IF(NOT(OR(AK16="Completed",AK16="NA",AK16="Cancelled")),"S7 BOM Procurement","All Stages Closed"))))))))</f>
        <v/>
      </c>
      <c r="F16" s="32" t="str">
        <f aca="false">IF($C16="","",IF(COUNTIF(M16,"Cancelled")+COUNTIF(Q16,"Cancelled")+COUNTIF(U16,"Cancelled")+COUNTIF(Y16,"Cancelled")+COUNTIF(AC16,"Cancelled")+COUNTIF(AG16,"Cancelled")+COUNTIF(AK16,"Cancelled")&gt;0,"Cancelled",IF(E16="All Stages Closed","Completed",IF(E16="S1 Schematic",M16,IF(E16="S2 PCB Layout",Q16,IF(E16="S3 SI &amp; PI",U16,IF(E16="S4 Bare-PCB Fab",Y16,IF(E16="S5 Assembly",AC16,IF(E16="S6 Bring-up",AG16,AK16)))))))))</f>
        <v/>
      </c>
      <c r="G16" s="33" t="str">
        <f aca="false">IF($C16="","",IF(E16="All Stages Closed","",IF(E16="S1 Schematic",IF(N16="","Not added",N16),IF(E16="S2 PCB Layout",IF(R16="","Not added",R16),IF(E16="S3 SI &amp; PI",IF(V16="","Not added",V16),IF(E16="S4 Bare-PCB Fab",IF(Z16="","Not added",Z16),IF(E16="S5 Assembly",IF(AD16="","Not added",AD16),IF(E16="S6 Bring-up",IF(AH16="","Not added",AH16),IF(AL16="","Not added",AL16)))))))))</f>
        <v/>
      </c>
      <c r="H16" s="32" t="str">
        <f aca="true">IF($C16="","",IF(OR(F16="Completed",F16="Cancelled"),"",IF(NOT(ISNUMBER(G16)),"No date set",IF(TODAY()&gt;G16,TODAY()-G16&amp;" days late",G16-TODAY()&amp;" days left"))))</f>
        <v/>
      </c>
      <c r="I16" s="31" t="str">
        <f aca="false">IF($C16="","",COUNTIF(M16,"Completed")+COUNTIF(Q16,"Completed")+COUNTIF(U16,"Completed")+COUNTIF(Y16,"Completed")+COUNTIF(AC16,"Completed")+COUNTIF(AG16,"Completed")+COUNTIF(AK16,"Completed"))</f>
        <v/>
      </c>
      <c r="J16" s="31" t="str">
        <f aca="false">IF($C16="","",7-(COUNTIF(M16,"NA")+COUNTIF(Q16,"NA")+COUNTIF(U16,"NA")+COUNTIF(Y16,"NA")+COUNTIF(AC16,"NA")+COUNTIF(AG16,"NA")+COUNTIF(AK16,"NA")))</f>
        <v/>
      </c>
      <c r="K16" s="34" t="str">
        <f aca="false">IFERROR(I16/J16,"")</f>
        <v/>
      </c>
      <c r="L16" s="29"/>
      <c r="M16" s="35"/>
      <c r="N16" s="36"/>
      <c r="O16" s="36"/>
      <c r="P16" s="29"/>
      <c r="Q16" s="35"/>
      <c r="R16" s="36"/>
      <c r="S16" s="36"/>
      <c r="T16" s="29"/>
      <c r="U16" s="35"/>
      <c r="V16" s="36"/>
      <c r="W16" s="36"/>
      <c r="X16" s="29"/>
      <c r="Y16" s="35"/>
      <c r="Z16" s="36"/>
      <c r="AA16" s="36"/>
      <c r="AB16" s="29"/>
      <c r="AC16" s="35"/>
      <c r="AD16" s="36"/>
      <c r="AE16" s="36"/>
      <c r="AF16" s="29"/>
      <c r="AG16" s="35"/>
      <c r="AH16" s="36"/>
      <c r="AI16" s="36"/>
      <c r="AJ16" s="29"/>
      <c r="AK16" s="35"/>
      <c r="AL16" s="36"/>
      <c r="AM16" s="36"/>
      <c r="AN16" s="29"/>
      <c r="AO16" s="29"/>
      <c r="AP16" s="29"/>
      <c r="AQ16" s="37"/>
      <c r="AR16" s="39" t="str">
        <f aca="false">IF(AN16&lt;&gt;"Yes","",IF(AO16="","SELECT RE-ENTRY STAGE","MOVE TO ACTIVE at "&amp;AO16))</f>
        <v/>
      </c>
      <c r="AS16" s="40" t="str">
        <f aca="false">IF(AN16="Yes",COUNTIF($AN$6:AN16,"Yes"),"")</f>
        <v/>
      </c>
      <c r="AT16" s="29"/>
      <c r="AU16" s="38" t="str">
        <f aca="false">IF($C16="","",IF(OR(F16="Completed",F16="Cancelled"),"",IF(AND(OR(F16="On Hold",ISNUMBER(VALUE(LEFT(H16,2)))),AT16=""),"Reason not given","")))</f>
        <v/>
      </c>
      <c r="AV16" s="30"/>
      <c r="AW16" s="30"/>
    </row>
    <row r="17" customFormat="false" ht="19.5" hidden="false" customHeight="true" outlineLevel="0" collapsed="false">
      <c r="A17" s="28" t="str">
        <f aca="false">IF($C17="","",COUNTA($C$6:$C17))</f>
        <v/>
      </c>
      <c r="B17" s="29"/>
      <c r="C17" s="30"/>
      <c r="D17" s="29"/>
      <c r="E17" s="31" t="str">
        <f aca="false">IF($C17="","",IF(NOT(OR(M17="Completed",M17="NA",M17="Cancelled")),"S1 Schematic",IF(NOT(OR(Q17="Completed",Q17="NA",Q17="Cancelled")),"S2 PCB Layout",IF(NOT(OR(U17="Completed",U17="NA",U17="Cancelled")),"S3 SI &amp; PI",IF(NOT(OR(Y17="Completed",Y17="NA",Y17="Cancelled")),"S4 Bare-PCB Fab",IF(NOT(OR(AC17="Completed",AC17="NA",AC17="Cancelled")),"S5 Assembly",IF(NOT(OR(AG17="Completed",AG17="NA",AG17="Cancelled")),"S6 Bring-up",IF(NOT(OR(AK17="Completed",AK17="NA",AK17="Cancelled")),"S7 BOM Procurement","All Stages Closed"))))))))</f>
        <v/>
      </c>
      <c r="F17" s="32" t="str">
        <f aca="false">IF($C17="","",IF(COUNTIF(M17,"Cancelled")+COUNTIF(Q17,"Cancelled")+COUNTIF(U17,"Cancelled")+COUNTIF(Y17,"Cancelled")+COUNTIF(AC17,"Cancelled")+COUNTIF(AG17,"Cancelled")+COUNTIF(AK17,"Cancelled")&gt;0,"Cancelled",IF(E17="All Stages Closed","Completed",IF(E17="S1 Schematic",M17,IF(E17="S2 PCB Layout",Q17,IF(E17="S3 SI &amp; PI",U17,IF(E17="S4 Bare-PCB Fab",Y17,IF(E17="S5 Assembly",AC17,IF(E17="S6 Bring-up",AG17,AK17)))))))))</f>
        <v/>
      </c>
      <c r="G17" s="33" t="str">
        <f aca="false">IF($C17="","",IF(E17="All Stages Closed","",IF(E17="S1 Schematic",IF(N17="","Not added",N17),IF(E17="S2 PCB Layout",IF(R17="","Not added",R17),IF(E17="S3 SI &amp; PI",IF(V17="","Not added",V17),IF(E17="S4 Bare-PCB Fab",IF(Z17="","Not added",Z17),IF(E17="S5 Assembly",IF(AD17="","Not added",AD17),IF(E17="S6 Bring-up",IF(AH17="","Not added",AH17),IF(AL17="","Not added",AL17)))))))))</f>
        <v/>
      </c>
      <c r="H17" s="32" t="str">
        <f aca="true">IF($C17="","",IF(OR(F17="Completed",F17="Cancelled"),"",IF(NOT(ISNUMBER(G17)),"No date set",IF(TODAY()&gt;G17,TODAY()-G17&amp;" days late",G17-TODAY()&amp;" days left"))))</f>
        <v/>
      </c>
      <c r="I17" s="31" t="str">
        <f aca="false">IF($C17="","",COUNTIF(M17,"Completed")+COUNTIF(Q17,"Completed")+COUNTIF(U17,"Completed")+COUNTIF(Y17,"Completed")+COUNTIF(AC17,"Completed")+COUNTIF(AG17,"Completed")+COUNTIF(AK17,"Completed"))</f>
        <v/>
      </c>
      <c r="J17" s="31" t="str">
        <f aca="false">IF($C17="","",7-(COUNTIF(M17,"NA")+COUNTIF(Q17,"NA")+COUNTIF(U17,"NA")+COUNTIF(Y17,"NA")+COUNTIF(AC17,"NA")+COUNTIF(AG17,"NA")+COUNTIF(AK17,"NA")))</f>
        <v/>
      </c>
      <c r="K17" s="34" t="str">
        <f aca="false">IFERROR(I17/J17,"")</f>
        <v/>
      </c>
      <c r="L17" s="29"/>
      <c r="M17" s="35"/>
      <c r="N17" s="36"/>
      <c r="O17" s="36"/>
      <c r="P17" s="29"/>
      <c r="Q17" s="35"/>
      <c r="R17" s="36"/>
      <c r="S17" s="36"/>
      <c r="T17" s="29"/>
      <c r="U17" s="35"/>
      <c r="V17" s="36"/>
      <c r="W17" s="36"/>
      <c r="X17" s="29"/>
      <c r="Y17" s="35"/>
      <c r="Z17" s="36"/>
      <c r="AA17" s="36"/>
      <c r="AB17" s="29"/>
      <c r="AC17" s="35"/>
      <c r="AD17" s="36"/>
      <c r="AE17" s="36"/>
      <c r="AF17" s="29"/>
      <c r="AG17" s="35"/>
      <c r="AH17" s="36"/>
      <c r="AI17" s="36"/>
      <c r="AJ17" s="29"/>
      <c r="AK17" s="35"/>
      <c r="AL17" s="36"/>
      <c r="AM17" s="36"/>
      <c r="AN17" s="29"/>
      <c r="AO17" s="29"/>
      <c r="AP17" s="29"/>
      <c r="AQ17" s="37"/>
      <c r="AR17" s="39" t="str">
        <f aca="false">IF(AN17&lt;&gt;"Yes","",IF(AO17="","SELECT RE-ENTRY STAGE","MOVE TO ACTIVE at "&amp;AO17))</f>
        <v/>
      </c>
      <c r="AS17" s="40" t="str">
        <f aca="false">IF(AN17="Yes",COUNTIF($AN$6:AN17,"Yes"),"")</f>
        <v/>
      </c>
      <c r="AT17" s="29"/>
      <c r="AU17" s="38" t="str">
        <f aca="false">IF($C17="","",IF(OR(F17="Completed",F17="Cancelled"),"",IF(AND(OR(F17="On Hold",ISNUMBER(VALUE(LEFT(H17,2)))),AT17=""),"Reason not given","")))</f>
        <v/>
      </c>
      <c r="AV17" s="30"/>
      <c r="AW17" s="30"/>
    </row>
    <row r="18" customFormat="false" ht="19.5" hidden="false" customHeight="true" outlineLevel="0" collapsed="false">
      <c r="A18" s="28" t="str">
        <f aca="false">IF($C18="","",COUNTA($C$6:$C18))</f>
        <v/>
      </c>
      <c r="B18" s="29"/>
      <c r="C18" s="30"/>
      <c r="D18" s="29"/>
      <c r="E18" s="31" t="str">
        <f aca="false">IF($C18="","",IF(NOT(OR(M18="Completed",M18="NA",M18="Cancelled")),"S1 Schematic",IF(NOT(OR(Q18="Completed",Q18="NA",Q18="Cancelled")),"S2 PCB Layout",IF(NOT(OR(U18="Completed",U18="NA",U18="Cancelled")),"S3 SI &amp; PI",IF(NOT(OR(Y18="Completed",Y18="NA",Y18="Cancelled")),"S4 Bare-PCB Fab",IF(NOT(OR(AC18="Completed",AC18="NA",AC18="Cancelled")),"S5 Assembly",IF(NOT(OR(AG18="Completed",AG18="NA",AG18="Cancelled")),"S6 Bring-up",IF(NOT(OR(AK18="Completed",AK18="NA",AK18="Cancelled")),"S7 BOM Procurement","All Stages Closed"))))))))</f>
        <v/>
      </c>
      <c r="F18" s="32" t="str">
        <f aca="false">IF($C18="","",IF(COUNTIF(M18,"Cancelled")+COUNTIF(Q18,"Cancelled")+COUNTIF(U18,"Cancelled")+COUNTIF(Y18,"Cancelled")+COUNTIF(AC18,"Cancelled")+COUNTIF(AG18,"Cancelled")+COUNTIF(AK18,"Cancelled")&gt;0,"Cancelled",IF(E18="All Stages Closed","Completed",IF(E18="S1 Schematic",M18,IF(E18="S2 PCB Layout",Q18,IF(E18="S3 SI &amp; PI",U18,IF(E18="S4 Bare-PCB Fab",Y18,IF(E18="S5 Assembly",AC18,IF(E18="S6 Bring-up",AG18,AK18)))))))))</f>
        <v/>
      </c>
      <c r="G18" s="33" t="str">
        <f aca="false">IF($C18="","",IF(E18="All Stages Closed","",IF(E18="S1 Schematic",IF(N18="","Not added",N18),IF(E18="S2 PCB Layout",IF(R18="","Not added",R18),IF(E18="S3 SI &amp; PI",IF(V18="","Not added",V18),IF(E18="S4 Bare-PCB Fab",IF(Z18="","Not added",Z18),IF(E18="S5 Assembly",IF(AD18="","Not added",AD18),IF(E18="S6 Bring-up",IF(AH18="","Not added",AH18),IF(AL18="","Not added",AL18)))))))))</f>
        <v/>
      </c>
      <c r="H18" s="32" t="str">
        <f aca="true">IF($C18="","",IF(OR(F18="Completed",F18="Cancelled"),"",IF(NOT(ISNUMBER(G18)),"No date set",IF(TODAY()&gt;G18,TODAY()-G18&amp;" days late",G18-TODAY()&amp;" days left"))))</f>
        <v/>
      </c>
      <c r="I18" s="31" t="str">
        <f aca="false">IF($C18="","",COUNTIF(M18,"Completed")+COUNTIF(Q18,"Completed")+COUNTIF(U18,"Completed")+COUNTIF(Y18,"Completed")+COUNTIF(AC18,"Completed")+COUNTIF(AG18,"Completed")+COUNTIF(AK18,"Completed"))</f>
        <v/>
      </c>
      <c r="J18" s="31" t="str">
        <f aca="false">IF($C18="","",7-(COUNTIF(M18,"NA")+COUNTIF(Q18,"NA")+COUNTIF(U18,"NA")+COUNTIF(Y18,"NA")+COUNTIF(AC18,"NA")+COUNTIF(AG18,"NA")+COUNTIF(AK18,"NA")))</f>
        <v/>
      </c>
      <c r="K18" s="34" t="str">
        <f aca="false">IFERROR(I18/J18,"")</f>
        <v/>
      </c>
      <c r="L18" s="29"/>
      <c r="M18" s="35"/>
      <c r="N18" s="36"/>
      <c r="O18" s="36"/>
      <c r="P18" s="29"/>
      <c r="Q18" s="35"/>
      <c r="R18" s="36"/>
      <c r="S18" s="36"/>
      <c r="T18" s="29"/>
      <c r="U18" s="35"/>
      <c r="V18" s="36"/>
      <c r="W18" s="36"/>
      <c r="X18" s="29"/>
      <c r="Y18" s="35"/>
      <c r="Z18" s="36"/>
      <c r="AA18" s="36"/>
      <c r="AB18" s="29"/>
      <c r="AC18" s="35"/>
      <c r="AD18" s="36"/>
      <c r="AE18" s="36"/>
      <c r="AF18" s="29"/>
      <c r="AG18" s="35"/>
      <c r="AH18" s="36"/>
      <c r="AI18" s="36"/>
      <c r="AJ18" s="29"/>
      <c r="AK18" s="35"/>
      <c r="AL18" s="36"/>
      <c r="AM18" s="36"/>
      <c r="AN18" s="29"/>
      <c r="AO18" s="29"/>
      <c r="AP18" s="29"/>
      <c r="AQ18" s="37"/>
      <c r="AR18" s="39" t="str">
        <f aca="false">IF(AN18&lt;&gt;"Yes","",IF(AO18="","SELECT RE-ENTRY STAGE","MOVE TO ACTIVE at "&amp;AO18))</f>
        <v/>
      </c>
      <c r="AS18" s="40" t="str">
        <f aca="false">IF(AN18="Yes",COUNTIF($AN$6:AN18,"Yes"),"")</f>
        <v/>
      </c>
      <c r="AT18" s="29"/>
      <c r="AU18" s="38" t="str">
        <f aca="false">IF($C18="","",IF(OR(F18="Completed",F18="Cancelled"),"",IF(AND(OR(F18="On Hold",ISNUMBER(VALUE(LEFT(H18,2)))),AT18=""),"Reason not given","")))</f>
        <v/>
      </c>
      <c r="AV18" s="30"/>
      <c r="AW18" s="30"/>
    </row>
    <row r="19" customFormat="false" ht="19.5" hidden="false" customHeight="true" outlineLevel="0" collapsed="false">
      <c r="A19" s="28" t="str">
        <f aca="false">IF($C19="","",COUNTA($C$6:$C19))</f>
        <v/>
      </c>
      <c r="B19" s="29"/>
      <c r="C19" s="30"/>
      <c r="D19" s="29"/>
      <c r="E19" s="31" t="str">
        <f aca="false">IF($C19="","",IF(NOT(OR(M19="Completed",M19="NA",M19="Cancelled")),"S1 Schematic",IF(NOT(OR(Q19="Completed",Q19="NA",Q19="Cancelled")),"S2 PCB Layout",IF(NOT(OR(U19="Completed",U19="NA",U19="Cancelled")),"S3 SI &amp; PI",IF(NOT(OR(Y19="Completed",Y19="NA",Y19="Cancelled")),"S4 Bare-PCB Fab",IF(NOT(OR(AC19="Completed",AC19="NA",AC19="Cancelled")),"S5 Assembly",IF(NOT(OR(AG19="Completed",AG19="NA",AG19="Cancelled")),"S6 Bring-up",IF(NOT(OR(AK19="Completed",AK19="NA",AK19="Cancelled")),"S7 BOM Procurement","All Stages Closed"))))))))</f>
        <v/>
      </c>
      <c r="F19" s="32" t="str">
        <f aca="false">IF($C19="","",IF(COUNTIF(M19,"Cancelled")+COUNTIF(Q19,"Cancelled")+COUNTIF(U19,"Cancelled")+COUNTIF(Y19,"Cancelled")+COUNTIF(AC19,"Cancelled")+COUNTIF(AG19,"Cancelled")+COUNTIF(AK19,"Cancelled")&gt;0,"Cancelled",IF(E19="All Stages Closed","Completed",IF(E19="S1 Schematic",M19,IF(E19="S2 PCB Layout",Q19,IF(E19="S3 SI &amp; PI",U19,IF(E19="S4 Bare-PCB Fab",Y19,IF(E19="S5 Assembly",AC19,IF(E19="S6 Bring-up",AG19,AK19)))))))))</f>
        <v/>
      </c>
      <c r="G19" s="33" t="str">
        <f aca="false">IF($C19="","",IF(E19="All Stages Closed","",IF(E19="S1 Schematic",IF(N19="","Not added",N19),IF(E19="S2 PCB Layout",IF(R19="","Not added",R19),IF(E19="S3 SI &amp; PI",IF(V19="","Not added",V19),IF(E19="S4 Bare-PCB Fab",IF(Z19="","Not added",Z19),IF(E19="S5 Assembly",IF(AD19="","Not added",AD19),IF(E19="S6 Bring-up",IF(AH19="","Not added",AH19),IF(AL19="","Not added",AL19)))))))))</f>
        <v/>
      </c>
      <c r="H19" s="32" t="str">
        <f aca="true">IF($C19="","",IF(OR(F19="Completed",F19="Cancelled"),"",IF(NOT(ISNUMBER(G19)),"No date set",IF(TODAY()&gt;G19,TODAY()-G19&amp;" days late",G19-TODAY()&amp;" days left"))))</f>
        <v/>
      </c>
      <c r="I19" s="31" t="str">
        <f aca="false">IF($C19="","",COUNTIF(M19,"Completed")+COUNTIF(Q19,"Completed")+COUNTIF(U19,"Completed")+COUNTIF(Y19,"Completed")+COUNTIF(AC19,"Completed")+COUNTIF(AG19,"Completed")+COUNTIF(AK19,"Completed"))</f>
        <v/>
      </c>
      <c r="J19" s="31" t="str">
        <f aca="false">IF($C19="","",7-(COUNTIF(M19,"NA")+COUNTIF(Q19,"NA")+COUNTIF(U19,"NA")+COUNTIF(Y19,"NA")+COUNTIF(AC19,"NA")+COUNTIF(AG19,"NA")+COUNTIF(AK19,"NA")))</f>
        <v/>
      </c>
      <c r="K19" s="34" t="str">
        <f aca="false">IFERROR(I19/J19,"")</f>
        <v/>
      </c>
      <c r="L19" s="29"/>
      <c r="M19" s="35"/>
      <c r="N19" s="36"/>
      <c r="O19" s="36"/>
      <c r="P19" s="29"/>
      <c r="Q19" s="35"/>
      <c r="R19" s="36"/>
      <c r="S19" s="36"/>
      <c r="T19" s="29"/>
      <c r="U19" s="35"/>
      <c r="V19" s="36"/>
      <c r="W19" s="36"/>
      <c r="X19" s="29"/>
      <c r="Y19" s="35"/>
      <c r="Z19" s="36"/>
      <c r="AA19" s="36"/>
      <c r="AB19" s="29"/>
      <c r="AC19" s="35"/>
      <c r="AD19" s="36"/>
      <c r="AE19" s="36"/>
      <c r="AF19" s="29"/>
      <c r="AG19" s="35"/>
      <c r="AH19" s="36"/>
      <c r="AI19" s="36"/>
      <c r="AJ19" s="29"/>
      <c r="AK19" s="35"/>
      <c r="AL19" s="36"/>
      <c r="AM19" s="36"/>
      <c r="AN19" s="29"/>
      <c r="AO19" s="29"/>
      <c r="AP19" s="29"/>
      <c r="AQ19" s="37"/>
      <c r="AR19" s="39" t="str">
        <f aca="false">IF(AN19&lt;&gt;"Yes","",IF(AO19="","SELECT RE-ENTRY STAGE","MOVE TO ACTIVE at "&amp;AO19))</f>
        <v/>
      </c>
      <c r="AS19" s="40" t="str">
        <f aca="false">IF(AN19="Yes",COUNTIF($AN$6:AN19,"Yes"),"")</f>
        <v/>
      </c>
      <c r="AT19" s="29"/>
      <c r="AU19" s="38" t="str">
        <f aca="false">IF($C19="","",IF(OR(F19="Completed",F19="Cancelled"),"",IF(AND(OR(F19="On Hold",ISNUMBER(VALUE(LEFT(H19,2)))),AT19=""),"Reason not given","")))</f>
        <v/>
      </c>
      <c r="AV19" s="30"/>
      <c r="AW19" s="30"/>
    </row>
    <row r="20" customFormat="false" ht="19.5" hidden="false" customHeight="true" outlineLevel="0" collapsed="false">
      <c r="A20" s="28" t="str">
        <f aca="false">IF($C20="","",COUNTA($C$6:$C20))</f>
        <v/>
      </c>
      <c r="B20" s="29"/>
      <c r="C20" s="30"/>
      <c r="D20" s="29"/>
      <c r="E20" s="31" t="str">
        <f aca="false">IF($C20="","",IF(NOT(OR(M20="Completed",M20="NA",M20="Cancelled")),"S1 Schematic",IF(NOT(OR(Q20="Completed",Q20="NA",Q20="Cancelled")),"S2 PCB Layout",IF(NOT(OR(U20="Completed",U20="NA",U20="Cancelled")),"S3 SI &amp; PI",IF(NOT(OR(Y20="Completed",Y20="NA",Y20="Cancelled")),"S4 Bare-PCB Fab",IF(NOT(OR(AC20="Completed",AC20="NA",AC20="Cancelled")),"S5 Assembly",IF(NOT(OR(AG20="Completed",AG20="NA",AG20="Cancelled")),"S6 Bring-up",IF(NOT(OR(AK20="Completed",AK20="NA",AK20="Cancelled")),"S7 BOM Procurement","All Stages Closed"))))))))</f>
        <v/>
      </c>
      <c r="F20" s="32" t="str">
        <f aca="false">IF($C20="","",IF(COUNTIF(M20,"Cancelled")+COUNTIF(Q20,"Cancelled")+COUNTIF(U20,"Cancelled")+COUNTIF(Y20,"Cancelled")+COUNTIF(AC20,"Cancelled")+COUNTIF(AG20,"Cancelled")+COUNTIF(AK20,"Cancelled")&gt;0,"Cancelled",IF(E20="All Stages Closed","Completed",IF(E20="S1 Schematic",M20,IF(E20="S2 PCB Layout",Q20,IF(E20="S3 SI &amp; PI",U20,IF(E20="S4 Bare-PCB Fab",Y20,IF(E20="S5 Assembly",AC20,IF(E20="S6 Bring-up",AG20,AK20)))))))))</f>
        <v/>
      </c>
      <c r="G20" s="33" t="str">
        <f aca="false">IF($C20="","",IF(E20="All Stages Closed","",IF(E20="S1 Schematic",IF(N20="","Not added",N20),IF(E20="S2 PCB Layout",IF(R20="","Not added",R20),IF(E20="S3 SI &amp; PI",IF(V20="","Not added",V20),IF(E20="S4 Bare-PCB Fab",IF(Z20="","Not added",Z20),IF(E20="S5 Assembly",IF(AD20="","Not added",AD20),IF(E20="S6 Bring-up",IF(AH20="","Not added",AH20),IF(AL20="","Not added",AL20)))))))))</f>
        <v/>
      </c>
      <c r="H20" s="32" t="str">
        <f aca="true">IF($C20="","",IF(OR(F20="Completed",F20="Cancelled"),"",IF(NOT(ISNUMBER(G20)),"No date set",IF(TODAY()&gt;G20,TODAY()-G20&amp;" days late",G20-TODAY()&amp;" days left"))))</f>
        <v/>
      </c>
      <c r="I20" s="31" t="str">
        <f aca="false">IF($C20="","",COUNTIF(M20,"Completed")+COUNTIF(Q20,"Completed")+COUNTIF(U20,"Completed")+COUNTIF(Y20,"Completed")+COUNTIF(AC20,"Completed")+COUNTIF(AG20,"Completed")+COUNTIF(AK20,"Completed"))</f>
        <v/>
      </c>
      <c r="J20" s="31" t="str">
        <f aca="false">IF($C20="","",7-(COUNTIF(M20,"NA")+COUNTIF(Q20,"NA")+COUNTIF(U20,"NA")+COUNTIF(Y20,"NA")+COUNTIF(AC20,"NA")+COUNTIF(AG20,"NA")+COUNTIF(AK20,"NA")))</f>
        <v/>
      </c>
      <c r="K20" s="34" t="str">
        <f aca="false">IFERROR(I20/J20,"")</f>
        <v/>
      </c>
      <c r="L20" s="29"/>
      <c r="M20" s="35"/>
      <c r="N20" s="36"/>
      <c r="O20" s="36"/>
      <c r="P20" s="29"/>
      <c r="Q20" s="35"/>
      <c r="R20" s="36"/>
      <c r="S20" s="36"/>
      <c r="T20" s="29"/>
      <c r="U20" s="35"/>
      <c r="V20" s="36"/>
      <c r="W20" s="36"/>
      <c r="X20" s="29"/>
      <c r="Y20" s="35"/>
      <c r="Z20" s="36"/>
      <c r="AA20" s="36"/>
      <c r="AB20" s="29"/>
      <c r="AC20" s="35"/>
      <c r="AD20" s="36"/>
      <c r="AE20" s="36"/>
      <c r="AF20" s="29"/>
      <c r="AG20" s="35"/>
      <c r="AH20" s="36"/>
      <c r="AI20" s="36"/>
      <c r="AJ20" s="29"/>
      <c r="AK20" s="35"/>
      <c r="AL20" s="36"/>
      <c r="AM20" s="36"/>
      <c r="AN20" s="29"/>
      <c r="AO20" s="29"/>
      <c r="AP20" s="29"/>
      <c r="AQ20" s="37"/>
      <c r="AR20" s="39" t="str">
        <f aca="false">IF(AN20&lt;&gt;"Yes","",IF(AO20="","SELECT RE-ENTRY STAGE","MOVE TO ACTIVE at "&amp;AO20))</f>
        <v/>
      </c>
      <c r="AS20" s="40" t="str">
        <f aca="false">IF(AN20="Yes",COUNTIF($AN$6:AN20,"Yes"),"")</f>
        <v/>
      </c>
      <c r="AT20" s="29"/>
      <c r="AU20" s="38" t="str">
        <f aca="false">IF($C20="","",IF(OR(F20="Completed",F20="Cancelled"),"",IF(AND(OR(F20="On Hold",ISNUMBER(VALUE(LEFT(H20,2)))),AT20=""),"Reason not given","")))</f>
        <v/>
      </c>
      <c r="AV20" s="30"/>
      <c r="AW20" s="30"/>
    </row>
    <row r="21" customFormat="false" ht="19.5" hidden="false" customHeight="true" outlineLevel="0" collapsed="false">
      <c r="A21" s="28" t="str">
        <f aca="false">IF($C21="","",COUNTA($C$6:$C21))</f>
        <v/>
      </c>
      <c r="B21" s="29"/>
      <c r="C21" s="30"/>
      <c r="D21" s="29"/>
      <c r="E21" s="31" t="str">
        <f aca="false">IF($C21="","",IF(NOT(OR(M21="Completed",M21="NA",M21="Cancelled")),"S1 Schematic",IF(NOT(OR(Q21="Completed",Q21="NA",Q21="Cancelled")),"S2 PCB Layout",IF(NOT(OR(U21="Completed",U21="NA",U21="Cancelled")),"S3 SI &amp; PI",IF(NOT(OR(Y21="Completed",Y21="NA",Y21="Cancelled")),"S4 Bare-PCB Fab",IF(NOT(OR(AC21="Completed",AC21="NA",AC21="Cancelled")),"S5 Assembly",IF(NOT(OR(AG21="Completed",AG21="NA",AG21="Cancelled")),"S6 Bring-up",IF(NOT(OR(AK21="Completed",AK21="NA",AK21="Cancelled")),"S7 BOM Procurement","All Stages Closed"))))))))</f>
        <v/>
      </c>
      <c r="F21" s="32" t="str">
        <f aca="false">IF($C21="","",IF(COUNTIF(M21,"Cancelled")+COUNTIF(Q21,"Cancelled")+COUNTIF(U21,"Cancelled")+COUNTIF(Y21,"Cancelled")+COUNTIF(AC21,"Cancelled")+COUNTIF(AG21,"Cancelled")+COUNTIF(AK21,"Cancelled")&gt;0,"Cancelled",IF(E21="All Stages Closed","Completed",IF(E21="S1 Schematic",M21,IF(E21="S2 PCB Layout",Q21,IF(E21="S3 SI &amp; PI",U21,IF(E21="S4 Bare-PCB Fab",Y21,IF(E21="S5 Assembly",AC21,IF(E21="S6 Bring-up",AG21,AK21)))))))))</f>
        <v/>
      </c>
      <c r="G21" s="33" t="str">
        <f aca="false">IF($C21="","",IF(E21="All Stages Closed","",IF(E21="S1 Schematic",IF(N21="","Not added",N21),IF(E21="S2 PCB Layout",IF(R21="","Not added",R21),IF(E21="S3 SI &amp; PI",IF(V21="","Not added",V21),IF(E21="S4 Bare-PCB Fab",IF(Z21="","Not added",Z21),IF(E21="S5 Assembly",IF(AD21="","Not added",AD21),IF(E21="S6 Bring-up",IF(AH21="","Not added",AH21),IF(AL21="","Not added",AL21)))))))))</f>
        <v/>
      </c>
      <c r="H21" s="32" t="str">
        <f aca="true">IF($C21="","",IF(OR(F21="Completed",F21="Cancelled"),"",IF(NOT(ISNUMBER(G21)),"No date set",IF(TODAY()&gt;G21,TODAY()-G21&amp;" days late",G21-TODAY()&amp;" days left"))))</f>
        <v/>
      </c>
      <c r="I21" s="31" t="str">
        <f aca="false">IF($C21="","",COUNTIF(M21,"Completed")+COUNTIF(Q21,"Completed")+COUNTIF(U21,"Completed")+COUNTIF(Y21,"Completed")+COUNTIF(AC21,"Completed")+COUNTIF(AG21,"Completed")+COUNTIF(AK21,"Completed"))</f>
        <v/>
      </c>
      <c r="J21" s="31" t="str">
        <f aca="false">IF($C21="","",7-(COUNTIF(M21,"NA")+COUNTIF(Q21,"NA")+COUNTIF(U21,"NA")+COUNTIF(Y21,"NA")+COUNTIF(AC21,"NA")+COUNTIF(AG21,"NA")+COUNTIF(AK21,"NA")))</f>
        <v/>
      </c>
      <c r="K21" s="34" t="str">
        <f aca="false">IFERROR(I21/J21,"")</f>
        <v/>
      </c>
      <c r="L21" s="29"/>
      <c r="M21" s="35"/>
      <c r="N21" s="36"/>
      <c r="O21" s="36"/>
      <c r="P21" s="29"/>
      <c r="Q21" s="35"/>
      <c r="R21" s="36"/>
      <c r="S21" s="36"/>
      <c r="T21" s="29"/>
      <c r="U21" s="35"/>
      <c r="V21" s="36"/>
      <c r="W21" s="36"/>
      <c r="X21" s="29"/>
      <c r="Y21" s="35"/>
      <c r="Z21" s="36"/>
      <c r="AA21" s="36"/>
      <c r="AB21" s="29"/>
      <c r="AC21" s="35"/>
      <c r="AD21" s="36"/>
      <c r="AE21" s="36"/>
      <c r="AF21" s="29"/>
      <c r="AG21" s="35"/>
      <c r="AH21" s="36"/>
      <c r="AI21" s="36"/>
      <c r="AJ21" s="29"/>
      <c r="AK21" s="35"/>
      <c r="AL21" s="36"/>
      <c r="AM21" s="36"/>
      <c r="AN21" s="29"/>
      <c r="AO21" s="29"/>
      <c r="AP21" s="29"/>
      <c r="AQ21" s="37"/>
      <c r="AR21" s="39" t="str">
        <f aca="false">IF(AN21&lt;&gt;"Yes","",IF(AO21="","SELECT RE-ENTRY STAGE","MOVE TO ACTIVE at "&amp;AO21))</f>
        <v/>
      </c>
      <c r="AS21" s="40" t="str">
        <f aca="false">IF(AN21="Yes",COUNTIF($AN$6:AN21,"Yes"),"")</f>
        <v/>
      </c>
      <c r="AT21" s="29"/>
      <c r="AU21" s="38" t="str">
        <f aca="false">IF($C21="","",IF(OR(F21="Completed",F21="Cancelled"),"",IF(AND(OR(F21="On Hold",ISNUMBER(VALUE(LEFT(H21,2)))),AT21=""),"Reason not given","")))</f>
        <v/>
      </c>
      <c r="AV21" s="30"/>
      <c r="AW21" s="30"/>
    </row>
    <row r="22" customFormat="false" ht="19.5" hidden="false" customHeight="true" outlineLevel="0" collapsed="false">
      <c r="A22" s="28" t="str">
        <f aca="false">IF($C22="","",COUNTA($C$6:$C22))</f>
        <v/>
      </c>
      <c r="B22" s="29"/>
      <c r="C22" s="30"/>
      <c r="D22" s="29"/>
      <c r="E22" s="31" t="str">
        <f aca="false">IF($C22="","",IF(NOT(OR(M22="Completed",M22="NA",M22="Cancelled")),"S1 Schematic",IF(NOT(OR(Q22="Completed",Q22="NA",Q22="Cancelled")),"S2 PCB Layout",IF(NOT(OR(U22="Completed",U22="NA",U22="Cancelled")),"S3 SI &amp; PI",IF(NOT(OR(Y22="Completed",Y22="NA",Y22="Cancelled")),"S4 Bare-PCB Fab",IF(NOT(OR(AC22="Completed",AC22="NA",AC22="Cancelled")),"S5 Assembly",IF(NOT(OR(AG22="Completed",AG22="NA",AG22="Cancelled")),"S6 Bring-up",IF(NOT(OR(AK22="Completed",AK22="NA",AK22="Cancelled")),"S7 BOM Procurement","All Stages Closed"))))))))</f>
        <v/>
      </c>
      <c r="F22" s="32" t="str">
        <f aca="false">IF($C22="","",IF(COUNTIF(M22,"Cancelled")+COUNTIF(Q22,"Cancelled")+COUNTIF(U22,"Cancelled")+COUNTIF(Y22,"Cancelled")+COUNTIF(AC22,"Cancelled")+COUNTIF(AG22,"Cancelled")+COUNTIF(AK22,"Cancelled")&gt;0,"Cancelled",IF(E22="All Stages Closed","Completed",IF(E22="S1 Schematic",M22,IF(E22="S2 PCB Layout",Q22,IF(E22="S3 SI &amp; PI",U22,IF(E22="S4 Bare-PCB Fab",Y22,IF(E22="S5 Assembly",AC22,IF(E22="S6 Bring-up",AG22,AK22)))))))))</f>
        <v/>
      </c>
      <c r="G22" s="33" t="str">
        <f aca="false">IF($C22="","",IF(E22="All Stages Closed","",IF(E22="S1 Schematic",IF(N22="","Not added",N22),IF(E22="S2 PCB Layout",IF(R22="","Not added",R22),IF(E22="S3 SI &amp; PI",IF(V22="","Not added",V22),IF(E22="S4 Bare-PCB Fab",IF(Z22="","Not added",Z22),IF(E22="S5 Assembly",IF(AD22="","Not added",AD22),IF(E22="S6 Bring-up",IF(AH22="","Not added",AH22),IF(AL22="","Not added",AL22)))))))))</f>
        <v/>
      </c>
      <c r="H22" s="32" t="str">
        <f aca="true">IF($C22="","",IF(OR(F22="Completed",F22="Cancelled"),"",IF(NOT(ISNUMBER(G22)),"No date set",IF(TODAY()&gt;G22,TODAY()-G22&amp;" days late",G22-TODAY()&amp;" days left"))))</f>
        <v/>
      </c>
      <c r="I22" s="31" t="str">
        <f aca="false">IF($C22="","",COUNTIF(M22,"Completed")+COUNTIF(Q22,"Completed")+COUNTIF(U22,"Completed")+COUNTIF(Y22,"Completed")+COUNTIF(AC22,"Completed")+COUNTIF(AG22,"Completed")+COUNTIF(AK22,"Completed"))</f>
        <v/>
      </c>
      <c r="J22" s="31" t="str">
        <f aca="false">IF($C22="","",7-(COUNTIF(M22,"NA")+COUNTIF(Q22,"NA")+COUNTIF(U22,"NA")+COUNTIF(Y22,"NA")+COUNTIF(AC22,"NA")+COUNTIF(AG22,"NA")+COUNTIF(AK22,"NA")))</f>
        <v/>
      </c>
      <c r="K22" s="34" t="str">
        <f aca="false">IFERROR(I22/J22,"")</f>
        <v/>
      </c>
      <c r="L22" s="29"/>
      <c r="M22" s="35"/>
      <c r="N22" s="36"/>
      <c r="O22" s="36"/>
      <c r="P22" s="29"/>
      <c r="Q22" s="35"/>
      <c r="R22" s="36"/>
      <c r="S22" s="36"/>
      <c r="T22" s="29"/>
      <c r="U22" s="35"/>
      <c r="V22" s="36"/>
      <c r="W22" s="36"/>
      <c r="X22" s="29"/>
      <c r="Y22" s="35"/>
      <c r="Z22" s="36"/>
      <c r="AA22" s="36"/>
      <c r="AB22" s="29"/>
      <c r="AC22" s="35"/>
      <c r="AD22" s="36"/>
      <c r="AE22" s="36"/>
      <c r="AF22" s="29"/>
      <c r="AG22" s="35"/>
      <c r="AH22" s="36"/>
      <c r="AI22" s="36"/>
      <c r="AJ22" s="29"/>
      <c r="AK22" s="35"/>
      <c r="AL22" s="36"/>
      <c r="AM22" s="36"/>
      <c r="AN22" s="29"/>
      <c r="AO22" s="29"/>
      <c r="AP22" s="29"/>
      <c r="AQ22" s="37"/>
      <c r="AR22" s="39" t="str">
        <f aca="false">IF(AN22&lt;&gt;"Yes","",IF(AO22="","SELECT RE-ENTRY STAGE","MOVE TO ACTIVE at "&amp;AO22))</f>
        <v/>
      </c>
      <c r="AS22" s="40" t="str">
        <f aca="false">IF(AN22="Yes",COUNTIF($AN$6:AN22,"Yes"),"")</f>
        <v/>
      </c>
      <c r="AT22" s="29"/>
      <c r="AU22" s="38" t="str">
        <f aca="false">IF($C22="","",IF(OR(F22="Completed",F22="Cancelled"),"",IF(AND(OR(F22="On Hold",ISNUMBER(VALUE(LEFT(H22,2)))),AT22=""),"Reason not given","")))</f>
        <v/>
      </c>
      <c r="AV22" s="30"/>
      <c r="AW22" s="30"/>
    </row>
    <row r="23" customFormat="false" ht="19.5" hidden="false" customHeight="true" outlineLevel="0" collapsed="false">
      <c r="A23" s="28" t="str">
        <f aca="false">IF($C23="","",COUNTA($C$6:$C23))</f>
        <v/>
      </c>
      <c r="B23" s="29"/>
      <c r="C23" s="30"/>
      <c r="D23" s="29"/>
      <c r="E23" s="31" t="str">
        <f aca="false">IF($C23="","",IF(NOT(OR(M23="Completed",M23="NA",M23="Cancelled")),"S1 Schematic",IF(NOT(OR(Q23="Completed",Q23="NA",Q23="Cancelled")),"S2 PCB Layout",IF(NOT(OR(U23="Completed",U23="NA",U23="Cancelled")),"S3 SI &amp; PI",IF(NOT(OR(Y23="Completed",Y23="NA",Y23="Cancelled")),"S4 Bare-PCB Fab",IF(NOT(OR(AC23="Completed",AC23="NA",AC23="Cancelled")),"S5 Assembly",IF(NOT(OR(AG23="Completed",AG23="NA",AG23="Cancelled")),"S6 Bring-up",IF(NOT(OR(AK23="Completed",AK23="NA",AK23="Cancelled")),"S7 BOM Procurement","All Stages Closed"))))))))</f>
        <v/>
      </c>
      <c r="F23" s="32" t="str">
        <f aca="false">IF($C23="","",IF(COUNTIF(M23,"Cancelled")+COUNTIF(Q23,"Cancelled")+COUNTIF(U23,"Cancelled")+COUNTIF(Y23,"Cancelled")+COUNTIF(AC23,"Cancelled")+COUNTIF(AG23,"Cancelled")+COUNTIF(AK23,"Cancelled")&gt;0,"Cancelled",IF(E23="All Stages Closed","Completed",IF(E23="S1 Schematic",M23,IF(E23="S2 PCB Layout",Q23,IF(E23="S3 SI &amp; PI",U23,IF(E23="S4 Bare-PCB Fab",Y23,IF(E23="S5 Assembly",AC23,IF(E23="S6 Bring-up",AG23,AK23)))))))))</f>
        <v/>
      </c>
      <c r="G23" s="33" t="str">
        <f aca="false">IF($C23="","",IF(E23="All Stages Closed","",IF(E23="S1 Schematic",IF(N23="","Not added",N23),IF(E23="S2 PCB Layout",IF(R23="","Not added",R23),IF(E23="S3 SI &amp; PI",IF(V23="","Not added",V23),IF(E23="S4 Bare-PCB Fab",IF(Z23="","Not added",Z23),IF(E23="S5 Assembly",IF(AD23="","Not added",AD23),IF(E23="S6 Bring-up",IF(AH23="","Not added",AH23),IF(AL23="","Not added",AL23)))))))))</f>
        <v/>
      </c>
      <c r="H23" s="32" t="str">
        <f aca="true">IF($C23="","",IF(OR(F23="Completed",F23="Cancelled"),"",IF(NOT(ISNUMBER(G23)),"No date set",IF(TODAY()&gt;G23,TODAY()-G23&amp;" days late",G23-TODAY()&amp;" days left"))))</f>
        <v/>
      </c>
      <c r="I23" s="31" t="str">
        <f aca="false">IF($C23="","",COUNTIF(M23,"Completed")+COUNTIF(Q23,"Completed")+COUNTIF(U23,"Completed")+COUNTIF(Y23,"Completed")+COUNTIF(AC23,"Completed")+COUNTIF(AG23,"Completed")+COUNTIF(AK23,"Completed"))</f>
        <v/>
      </c>
      <c r="J23" s="31" t="str">
        <f aca="false">IF($C23="","",7-(COUNTIF(M23,"NA")+COUNTIF(Q23,"NA")+COUNTIF(U23,"NA")+COUNTIF(Y23,"NA")+COUNTIF(AC23,"NA")+COUNTIF(AG23,"NA")+COUNTIF(AK23,"NA")))</f>
        <v/>
      </c>
      <c r="K23" s="34" t="str">
        <f aca="false">IFERROR(I23/J23,"")</f>
        <v/>
      </c>
      <c r="L23" s="29"/>
      <c r="M23" s="35"/>
      <c r="N23" s="36"/>
      <c r="O23" s="36"/>
      <c r="P23" s="29"/>
      <c r="Q23" s="35"/>
      <c r="R23" s="36"/>
      <c r="S23" s="36"/>
      <c r="T23" s="29"/>
      <c r="U23" s="35"/>
      <c r="V23" s="36"/>
      <c r="W23" s="36"/>
      <c r="X23" s="29"/>
      <c r="Y23" s="35"/>
      <c r="Z23" s="36"/>
      <c r="AA23" s="36"/>
      <c r="AB23" s="29"/>
      <c r="AC23" s="35"/>
      <c r="AD23" s="36"/>
      <c r="AE23" s="36"/>
      <c r="AF23" s="29"/>
      <c r="AG23" s="35"/>
      <c r="AH23" s="36"/>
      <c r="AI23" s="36"/>
      <c r="AJ23" s="29"/>
      <c r="AK23" s="35"/>
      <c r="AL23" s="36"/>
      <c r="AM23" s="36"/>
      <c r="AN23" s="29"/>
      <c r="AO23" s="29"/>
      <c r="AP23" s="29"/>
      <c r="AQ23" s="37"/>
      <c r="AR23" s="39" t="str">
        <f aca="false">IF(AN23&lt;&gt;"Yes","",IF(AO23="","SELECT RE-ENTRY STAGE","MOVE TO ACTIVE at "&amp;AO23))</f>
        <v/>
      </c>
      <c r="AS23" s="40" t="str">
        <f aca="false">IF(AN23="Yes",COUNTIF($AN$6:AN23,"Yes"),"")</f>
        <v/>
      </c>
      <c r="AT23" s="29"/>
      <c r="AU23" s="38" t="str">
        <f aca="false">IF($C23="","",IF(OR(F23="Completed",F23="Cancelled"),"",IF(AND(OR(F23="On Hold",ISNUMBER(VALUE(LEFT(H23,2)))),AT23=""),"Reason not given","")))</f>
        <v/>
      </c>
      <c r="AV23" s="30"/>
      <c r="AW23" s="30"/>
    </row>
    <row r="24" customFormat="false" ht="19.5" hidden="false" customHeight="true" outlineLevel="0" collapsed="false">
      <c r="A24" s="28" t="str">
        <f aca="false">IF($C24="","",COUNTA($C$6:$C24))</f>
        <v/>
      </c>
      <c r="B24" s="29"/>
      <c r="C24" s="30"/>
      <c r="D24" s="29"/>
      <c r="E24" s="31" t="str">
        <f aca="false">IF($C24="","",IF(NOT(OR(M24="Completed",M24="NA",M24="Cancelled")),"S1 Schematic",IF(NOT(OR(Q24="Completed",Q24="NA",Q24="Cancelled")),"S2 PCB Layout",IF(NOT(OR(U24="Completed",U24="NA",U24="Cancelled")),"S3 SI &amp; PI",IF(NOT(OR(Y24="Completed",Y24="NA",Y24="Cancelled")),"S4 Bare-PCB Fab",IF(NOT(OR(AC24="Completed",AC24="NA",AC24="Cancelled")),"S5 Assembly",IF(NOT(OR(AG24="Completed",AG24="NA",AG24="Cancelled")),"S6 Bring-up",IF(NOT(OR(AK24="Completed",AK24="NA",AK24="Cancelled")),"S7 BOM Procurement","All Stages Closed"))))))))</f>
        <v/>
      </c>
      <c r="F24" s="32" t="str">
        <f aca="false">IF($C24="","",IF(COUNTIF(M24,"Cancelled")+COUNTIF(Q24,"Cancelled")+COUNTIF(U24,"Cancelled")+COUNTIF(Y24,"Cancelled")+COUNTIF(AC24,"Cancelled")+COUNTIF(AG24,"Cancelled")+COUNTIF(AK24,"Cancelled")&gt;0,"Cancelled",IF(E24="All Stages Closed","Completed",IF(E24="S1 Schematic",M24,IF(E24="S2 PCB Layout",Q24,IF(E24="S3 SI &amp; PI",U24,IF(E24="S4 Bare-PCB Fab",Y24,IF(E24="S5 Assembly",AC24,IF(E24="S6 Bring-up",AG24,AK24)))))))))</f>
        <v/>
      </c>
      <c r="G24" s="33" t="str">
        <f aca="false">IF($C24="","",IF(E24="All Stages Closed","",IF(E24="S1 Schematic",IF(N24="","Not added",N24),IF(E24="S2 PCB Layout",IF(R24="","Not added",R24),IF(E24="S3 SI &amp; PI",IF(V24="","Not added",V24),IF(E24="S4 Bare-PCB Fab",IF(Z24="","Not added",Z24),IF(E24="S5 Assembly",IF(AD24="","Not added",AD24),IF(E24="S6 Bring-up",IF(AH24="","Not added",AH24),IF(AL24="","Not added",AL24)))))))))</f>
        <v/>
      </c>
      <c r="H24" s="32" t="str">
        <f aca="true">IF($C24="","",IF(OR(F24="Completed",F24="Cancelled"),"",IF(NOT(ISNUMBER(G24)),"No date set",IF(TODAY()&gt;G24,TODAY()-G24&amp;" days late",G24-TODAY()&amp;" days left"))))</f>
        <v/>
      </c>
      <c r="I24" s="31" t="str">
        <f aca="false">IF($C24="","",COUNTIF(M24,"Completed")+COUNTIF(Q24,"Completed")+COUNTIF(U24,"Completed")+COUNTIF(Y24,"Completed")+COUNTIF(AC24,"Completed")+COUNTIF(AG24,"Completed")+COUNTIF(AK24,"Completed"))</f>
        <v/>
      </c>
      <c r="J24" s="31" t="str">
        <f aca="false">IF($C24="","",7-(COUNTIF(M24,"NA")+COUNTIF(Q24,"NA")+COUNTIF(U24,"NA")+COUNTIF(Y24,"NA")+COUNTIF(AC24,"NA")+COUNTIF(AG24,"NA")+COUNTIF(AK24,"NA")))</f>
        <v/>
      </c>
      <c r="K24" s="34" t="str">
        <f aca="false">IFERROR(I24/J24,"")</f>
        <v/>
      </c>
      <c r="L24" s="29"/>
      <c r="M24" s="35"/>
      <c r="N24" s="36"/>
      <c r="O24" s="36"/>
      <c r="P24" s="29"/>
      <c r="Q24" s="35"/>
      <c r="R24" s="36"/>
      <c r="S24" s="36"/>
      <c r="T24" s="29"/>
      <c r="U24" s="35"/>
      <c r="V24" s="36"/>
      <c r="W24" s="36"/>
      <c r="X24" s="29"/>
      <c r="Y24" s="35"/>
      <c r="Z24" s="36"/>
      <c r="AA24" s="36"/>
      <c r="AB24" s="29"/>
      <c r="AC24" s="35"/>
      <c r="AD24" s="36"/>
      <c r="AE24" s="36"/>
      <c r="AF24" s="29"/>
      <c r="AG24" s="35"/>
      <c r="AH24" s="36"/>
      <c r="AI24" s="36"/>
      <c r="AJ24" s="29"/>
      <c r="AK24" s="35"/>
      <c r="AL24" s="36"/>
      <c r="AM24" s="36"/>
      <c r="AN24" s="29"/>
      <c r="AO24" s="29"/>
      <c r="AP24" s="29"/>
      <c r="AQ24" s="37"/>
      <c r="AR24" s="39" t="str">
        <f aca="false">IF(AN24&lt;&gt;"Yes","",IF(AO24="","SELECT RE-ENTRY STAGE","MOVE TO ACTIVE at "&amp;AO24))</f>
        <v/>
      </c>
      <c r="AS24" s="40" t="str">
        <f aca="false">IF(AN24="Yes",COUNTIF($AN$6:AN24,"Yes"),"")</f>
        <v/>
      </c>
      <c r="AT24" s="29"/>
      <c r="AU24" s="38" t="str">
        <f aca="false">IF($C24="","",IF(OR(F24="Completed",F24="Cancelled"),"",IF(AND(OR(F24="On Hold",ISNUMBER(VALUE(LEFT(H24,2)))),AT24=""),"Reason not given","")))</f>
        <v/>
      </c>
      <c r="AV24" s="30"/>
      <c r="AW24" s="30"/>
    </row>
    <row r="25" customFormat="false" ht="19.5" hidden="false" customHeight="true" outlineLevel="0" collapsed="false">
      <c r="A25" s="28" t="str">
        <f aca="false">IF($C25="","",COUNTA($C$6:$C25))</f>
        <v/>
      </c>
      <c r="B25" s="29"/>
      <c r="C25" s="30"/>
      <c r="D25" s="29"/>
      <c r="E25" s="31" t="str">
        <f aca="false">IF($C25="","",IF(NOT(OR(M25="Completed",M25="NA",M25="Cancelled")),"S1 Schematic",IF(NOT(OR(Q25="Completed",Q25="NA",Q25="Cancelled")),"S2 PCB Layout",IF(NOT(OR(U25="Completed",U25="NA",U25="Cancelled")),"S3 SI &amp; PI",IF(NOT(OR(Y25="Completed",Y25="NA",Y25="Cancelled")),"S4 Bare-PCB Fab",IF(NOT(OR(AC25="Completed",AC25="NA",AC25="Cancelled")),"S5 Assembly",IF(NOT(OR(AG25="Completed",AG25="NA",AG25="Cancelled")),"S6 Bring-up",IF(NOT(OR(AK25="Completed",AK25="NA",AK25="Cancelled")),"S7 BOM Procurement","All Stages Closed"))))))))</f>
        <v/>
      </c>
      <c r="F25" s="32" t="str">
        <f aca="false">IF($C25="","",IF(COUNTIF(M25,"Cancelled")+COUNTIF(Q25,"Cancelled")+COUNTIF(U25,"Cancelled")+COUNTIF(Y25,"Cancelled")+COUNTIF(AC25,"Cancelled")+COUNTIF(AG25,"Cancelled")+COUNTIF(AK25,"Cancelled")&gt;0,"Cancelled",IF(E25="All Stages Closed","Completed",IF(E25="S1 Schematic",M25,IF(E25="S2 PCB Layout",Q25,IF(E25="S3 SI &amp; PI",U25,IF(E25="S4 Bare-PCB Fab",Y25,IF(E25="S5 Assembly",AC25,IF(E25="S6 Bring-up",AG25,AK25)))))))))</f>
        <v/>
      </c>
      <c r="G25" s="33" t="str">
        <f aca="false">IF($C25="","",IF(E25="All Stages Closed","",IF(E25="S1 Schematic",IF(N25="","Not added",N25),IF(E25="S2 PCB Layout",IF(R25="","Not added",R25),IF(E25="S3 SI &amp; PI",IF(V25="","Not added",V25),IF(E25="S4 Bare-PCB Fab",IF(Z25="","Not added",Z25),IF(E25="S5 Assembly",IF(AD25="","Not added",AD25),IF(E25="S6 Bring-up",IF(AH25="","Not added",AH25),IF(AL25="","Not added",AL25)))))))))</f>
        <v/>
      </c>
      <c r="H25" s="32" t="str">
        <f aca="true">IF($C25="","",IF(OR(F25="Completed",F25="Cancelled"),"",IF(NOT(ISNUMBER(G25)),"No date set",IF(TODAY()&gt;G25,TODAY()-G25&amp;" days late",G25-TODAY()&amp;" days left"))))</f>
        <v/>
      </c>
      <c r="I25" s="31" t="str">
        <f aca="false">IF($C25="","",COUNTIF(M25,"Completed")+COUNTIF(Q25,"Completed")+COUNTIF(U25,"Completed")+COUNTIF(Y25,"Completed")+COUNTIF(AC25,"Completed")+COUNTIF(AG25,"Completed")+COUNTIF(AK25,"Completed"))</f>
        <v/>
      </c>
      <c r="J25" s="31" t="str">
        <f aca="false">IF($C25="","",7-(COUNTIF(M25,"NA")+COUNTIF(Q25,"NA")+COUNTIF(U25,"NA")+COUNTIF(Y25,"NA")+COUNTIF(AC25,"NA")+COUNTIF(AG25,"NA")+COUNTIF(AK25,"NA")))</f>
        <v/>
      </c>
      <c r="K25" s="34" t="str">
        <f aca="false">IFERROR(I25/J25,"")</f>
        <v/>
      </c>
      <c r="L25" s="29"/>
      <c r="M25" s="35"/>
      <c r="N25" s="36"/>
      <c r="O25" s="36"/>
      <c r="P25" s="29"/>
      <c r="Q25" s="35"/>
      <c r="R25" s="36"/>
      <c r="S25" s="36"/>
      <c r="T25" s="29"/>
      <c r="U25" s="35"/>
      <c r="V25" s="36"/>
      <c r="W25" s="36"/>
      <c r="X25" s="29"/>
      <c r="Y25" s="35"/>
      <c r="Z25" s="36"/>
      <c r="AA25" s="36"/>
      <c r="AB25" s="29"/>
      <c r="AC25" s="35"/>
      <c r="AD25" s="36"/>
      <c r="AE25" s="36"/>
      <c r="AF25" s="29"/>
      <c r="AG25" s="35"/>
      <c r="AH25" s="36"/>
      <c r="AI25" s="36"/>
      <c r="AJ25" s="29"/>
      <c r="AK25" s="35"/>
      <c r="AL25" s="36"/>
      <c r="AM25" s="36"/>
      <c r="AN25" s="29"/>
      <c r="AO25" s="29"/>
      <c r="AP25" s="29"/>
      <c r="AQ25" s="37"/>
      <c r="AR25" s="39" t="str">
        <f aca="false">IF(AN25&lt;&gt;"Yes","",IF(AO25="","SELECT RE-ENTRY STAGE","MOVE TO ACTIVE at "&amp;AO25))</f>
        <v/>
      </c>
      <c r="AS25" s="40" t="str">
        <f aca="false">IF(AN25="Yes",COUNTIF($AN$6:AN25,"Yes"),"")</f>
        <v/>
      </c>
      <c r="AT25" s="29"/>
      <c r="AU25" s="38" t="str">
        <f aca="false">IF($C25="","",IF(OR(F25="Completed",F25="Cancelled"),"",IF(AND(OR(F25="On Hold",ISNUMBER(VALUE(LEFT(H25,2)))),AT25=""),"Reason not given","")))</f>
        <v/>
      </c>
      <c r="AV25" s="30"/>
      <c r="AW25" s="30"/>
    </row>
    <row r="26" customFormat="false" ht="19.5" hidden="false" customHeight="true" outlineLevel="0" collapsed="false">
      <c r="A26" s="28" t="str">
        <f aca="false">IF($C26="","",COUNTA($C$6:$C26))</f>
        <v/>
      </c>
      <c r="B26" s="29"/>
      <c r="C26" s="30"/>
      <c r="D26" s="29"/>
      <c r="E26" s="31" t="str">
        <f aca="false">IF($C26="","",IF(NOT(OR(M26="Completed",M26="NA",M26="Cancelled")),"S1 Schematic",IF(NOT(OR(Q26="Completed",Q26="NA",Q26="Cancelled")),"S2 PCB Layout",IF(NOT(OR(U26="Completed",U26="NA",U26="Cancelled")),"S3 SI &amp; PI",IF(NOT(OR(Y26="Completed",Y26="NA",Y26="Cancelled")),"S4 Bare-PCB Fab",IF(NOT(OR(AC26="Completed",AC26="NA",AC26="Cancelled")),"S5 Assembly",IF(NOT(OR(AG26="Completed",AG26="NA",AG26="Cancelled")),"S6 Bring-up",IF(NOT(OR(AK26="Completed",AK26="NA",AK26="Cancelled")),"S7 BOM Procurement","All Stages Closed"))))))))</f>
        <v/>
      </c>
      <c r="F26" s="32" t="str">
        <f aca="false">IF($C26="","",IF(COUNTIF(M26,"Cancelled")+COUNTIF(Q26,"Cancelled")+COUNTIF(U26,"Cancelled")+COUNTIF(Y26,"Cancelled")+COUNTIF(AC26,"Cancelled")+COUNTIF(AG26,"Cancelled")+COUNTIF(AK26,"Cancelled")&gt;0,"Cancelled",IF(E26="All Stages Closed","Completed",IF(E26="S1 Schematic",M26,IF(E26="S2 PCB Layout",Q26,IF(E26="S3 SI &amp; PI",U26,IF(E26="S4 Bare-PCB Fab",Y26,IF(E26="S5 Assembly",AC26,IF(E26="S6 Bring-up",AG26,AK26)))))))))</f>
        <v/>
      </c>
      <c r="G26" s="33" t="str">
        <f aca="false">IF($C26="","",IF(E26="All Stages Closed","",IF(E26="S1 Schematic",IF(N26="","Not added",N26),IF(E26="S2 PCB Layout",IF(R26="","Not added",R26),IF(E26="S3 SI &amp; PI",IF(V26="","Not added",V26),IF(E26="S4 Bare-PCB Fab",IF(Z26="","Not added",Z26),IF(E26="S5 Assembly",IF(AD26="","Not added",AD26),IF(E26="S6 Bring-up",IF(AH26="","Not added",AH26),IF(AL26="","Not added",AL26)))))))))</f>
        <v/>
      </c>
      <c r="H26" s="32" t="str">
        <f aca="true">IF($C26="","",IF(OR(F26="Completed",F26="Cancelled"),"",IF(NOT(ISNUMBER(G26)),"No date set",IF(TODAY()&gt;G26,TODAY()-G26&amp;" days late",G26-TODAY()&amp;" days left"))))</f>
        <v/>
      </c>
      <c r="I26" s="31" t="str">
        <f aca="false">IF($C26="","",COUNTIF(M26,"Completed")+COUNTIF(Q26,"Completed")+COUNTIF(U26,"Completed")+COUNTIF(Y26,"Completed")+COUNTIF(AC26,"Completed")+COUNTIF(AG26,"Completed")+COUNTIF(AK26,"Completed"))</f>
        <v/>
      </c>
      <c r="J26" s="31" t="str">
        <f aca="false">IF($C26="","",7-(COUNTIF(M26,"NA")+COUNTIF(Q26,"NA")+COUNTIF(U26,"NA")+COUNTIF(Y26,"NA")+COUNTIF(AC26,"NA")+COUNTIF(AG26,"NA")+COUNTIF(AK26,"NA")))</f>
        <v/>
      </c>
      <c r="K26" s="34" t="str">
        <f aca="false">IFERROR(I26/J26,"")</f>
        <v/>
      </c>
      <c r="L26" s="29"/>
      <c r="M26" s="35"/>
      <c r="N26" s="36"/>
      <c r="O26" s="36"/>
      <c r="P26" s="29"/>
      <c r="Q26" s="35"/>
      <c r="R26" s="36"/>
      <c r="S26" s="36"/>
      <c r="T26" s="29"/>
      <c r="U26" s="35"/>
      <c r="V26" s="36"/>
      <c r="W26" s="36"/>
      <c r="X26" s="29"/>
      <c r="Y26" s="35"/>
      <c r="Z26" s="36"/>
      <c r="AA26" s="36"/>
      <c r="AB26" s="29"/>
      <c r="AC26" s="35"/>
      <c r="AD26" s="36"/>
      <c r="AE26" s="36"/>
      <c r="AF26" s="29"/>
      <c r="AG26" s="35"/>
      <c r="AH26" s="36"/>
      <c r="AI26" s="36"/>
      <c r="AJ26" s="29"/>
      <c r="AK26" s="35"/>
      <c r="AL26" s="36"/>
      <c r="AM26" s="36"/>
      <c r="AN26" s="29"/>
      <c r="AO26" s="29"/>
      <c r="AP26" s="29"/>
      <c r="AQ26" s="37"/>
      <c r="AR26" s="39" t="str">
        <f aca="false">IF(AN26&lt;&gt;"Yes","",IF(AO26="","SELECT RE-ENTRY STAGE","MOVE TO ACTIVE at "&amp;AO26))</f>
        <v/>
      </c>
      <c r="AS26" s="40" t="str">
        <f aca="false">IF(AN26="Yes",COUNTIF($AN$6:AN26,"Yes"),"")</f>
        <v/>
      </c>
      <c r="AT26" s="29"/>
      <c r="AU26" s="38" t="str">
        <f aca="false">IF($C26="","",IF(OR(F26="Completed",F26="Cancelled"),"",IF(AND(OR(F26="On Hold",ISNUMBER(VALUE(LEFT(H26,2)))),AT26=""),"Reason not given","")))</f>
        <v/>
      </c>
      <c r="AV26" s="30"/>
      <c r="AW26" s="30"/>
    </row>
    <row r="27" customFormat="false" ht="19.5" hidden="false" customHeight="true" outlineLevel="0" collapsed="false">
      <c r="A27" s="28" t="str">
        <f aca="false">IF($C27="","",COUNTA($C$6:$C27))</f>
        <v/>
      </c>
      <c r="B27" s="29"/>
      <c r="C27" s="30"/>
      <c r="D27" s="29"/>
      <c r="E27" s="31" t="str">
        <f aca="false">IF($C27="","",IF(NOT(OR(M27="Completed",M27="NA",M27="Cancelled")),"S1 Schematic",IF(NOT(OR(Q27="Completed",Q27="NA",Q27="Cancelled")),"S2 PCB Layout",IF(NOT(OR(U27="Completed",U27="NA",U27="Cancelled")),"S3 SI &amp; PI",IF(NOT(OR(Y27="Completed",Y27="NA",Y27="Cancelled")),"S4 Bare-PCB Fab",IF(NOT(OR(AC27="Completed",AC27="NA",AC27="Cancelled")),"S5 Assembly",IF(NOT(OR(AG27="Completed",AG27="NA",AG27="Cancelled")),"S6 Bring-up",IF(NOT(OR(AK27="Completed",AK27="NA",AK27="Cancelled")),"S7 BOM Procurement","All Stages Closed"))))))))</f>
        <v/>
      </c>
      <c r="F27" s="32" t="str">
        <f aca="false">IF($C27="","",IF(COUNTIF(M27,"Cancelled")+COUNTIF(Q27,"Cancelled")+COUNTIF(U27,"Cancelled")+COUNTIF(Y27,"Cancelled")+COUNTIF(AC27,"Cancelled")+COUNTIF(AG27,"Cancelled")+COUNTIF(AK27,"Cancelled")&gt;0,"Cancelled",IF(E27="All Stages Closed","Completed",IF(E27="S1 Schematic",M27,IF(E27="S2 PCB Layout",Q27,IF(E27="S3 SI &amp; PI",U27,IF(E27="S4 Bare-PCB Fab",Y27,IF(E27="S5 Assembly",AC27,IF(E27="S6 Bring-up",AG27,AK27)))))))))</f>
        <v/>
      </c>
      <c r="G27" s="33" t="str">
        <f aca="false">IF($C27="","",IF(E27="All Stages Closed","",IF(E27="S1 Schematic",IF(N27="","Not added",N27),IF(E27="S2 PCB Layout",IF(R27="","Not added",R27),IF(E27="S3 SI &amp; PI",IF(V27="","Not added",V27),IF(E27="S4 Bare-PCB Fab",IF(Z27="","Not added",Z27),IF(E27="S5 Assembly",IF(AD27="","Not added",AD27),IF(E27="S6 Bring-up",IF(AH27="","Not added",AH27),IF(AL27="","Not added",AL27)))))))))</f>
        <v/>
      </c>
      <c r="H27" s="32" t="str">
        <f aca="true">IF($C27="","",IF(OR(F27="Completed",F27="Cancelled"),"",IF(NOT(ISNUMBER(G27)),"No date set",IF(TODAY()&gt;G27,TODAY()-G27&amp;" days late",G27-TODAY()&amp;" days left"))))</f>
        <v/>
      </c>
      <c r="I27" s="31" t="str">
        <f aca="false">IF($C27="","",COUNTIF(M27,"Completed")+COUNTIF(Q27,"Completed")+COUNTIF(U27,"Completed")+COUNTIF(Y27,"Completed")+COUNTIF(AC27,"Completed")+COUNTIF(AG27,"Completed")+COUNTIF(AK27,"Completed"))</f>
        <v/>
      </c>
      <c r="J27" s="31" t="str">
        <f aca="false">IF($C27="","",7-(COUNTIF(M27,"NA")+COUNTIF(Q27,"NA")+COUNTIF(U27,"NA")+COUNTIF(Y27,"NA")+COUNTIF(AC27,"NA")+COUNTIF(AG27,"NA")+COUNTIF(AK27,"NA")))</f>
        <v/>
      </c>
      <c r="K27" s="34" t="str">
        <f aca="false">IFERROR(I27/J27,"")</f>
        <v/>
      </c>
      <c r="L27" s="29"/>
      <c r="M27" s="35"/>
      <c r="N27" s="36"/>
      <c r="O27" s="36"/>
      <c r="P27" s="29"/>
      <c r="Q27" s="35"/>
      <c r="R27" s="36"/>
      <c r="S27" s="36"/>
      <c r="T27" s="29"/>
      <c r="U27" s="35"/>
      <c r="V27" s="36"/>
      <c r="W27" s="36"/>
      <c r="X27" s="29"/>
      <c r="Y27" s="35"/>
      <c r="Z27" s="36"/>
      <c r="AA27" s="36"/>
      <c r="AB27" s="29"/>
      <c r="AC27" s="35"/>
      <c r="AD27" s="36"/>
      <c r="AE27" s="36"/>
      <c r="AF27" s="29"/>
      <c r="AG27" s="35"/>
      <c r="AH27" s="36"/>
      <c r="AI27" s="36"/>
      <c r="AJ27" s="29"/>
      <c r="AK27" s="35"/>
      <c r="AL27" s="36"/>
      <c r="AM27" s="36"/>
      <c r="AN27" s="29"/>
      <c r="AO27" s="29"/>
      <c r="AP27" s="29"/>
      <c r="AQ27" s="37"/>
      <c r="AR27" s="39" t="str">
        <f aca="false">IF(AN27&lt;&gt;"Yes","",IF(AO27="","SELECT RE-ENTRY STAGE","MOVE TO ACTIVE at "&amp;AO27))</f>
        <v/>
      </c>
      <c r="AS27" s="40" t="str">
        <f aca="false">IF(AN27="Yes",COUNTIF($AN$6:AN27,"Yes"),"")</f>
        <v/>
      </c>
      <c r="AT27" s="29"/>
      <c r="AU27" s="38" t="str">
        <f aca="false">IF($C27="","",IF(OR(F27="Completed",F27="Cancelled"),"",IF(AND(OR(F27="On Hold",ISNUMBER(VALUE(LEFT(H27,2)))),AT27=""),"Reason not given","")))</f>
        <v/>
      </c>
      <c r="AV27" s="30"/>
      <c r="AW27" s="30"/>
    </row>
    <row r="28" customFormat="false" ht="19.5" hidden="false" customHeight="true" outlineLevel="0" collapsed="false">
      <c r="A28" s="28" t="str">
        <f aca="false">IF($C28="","",COUNTA($C$6:$C28))</f>
        <v/>
      </c>
      <c r="B28" s="29"/>
      <c r="C28" s="30"/>
      <c r="D28" s="29"/>
      <c r="E28" s="31" t="str">
        <f aca="false">IF($C28="","",IF(NOT(OR(M28="Completed",M28="NA",M28="Cancelled")),"S1 Schematic",IF(NOT(OR(Q28="Completed",Q28="NA",Q28="Cancelled")),"S2 PCB Layout",IF(NOT(OR(U28="Completed",U28="NA",U28="Cancelled")),"S3 SI &amp; PI",IF(NOT(OR(Y28="Completed",Y28="NA",Y28="Cancelled")),"S4 Bare-PCB Fab",IF(NOT(OR(AC28="Completed",AC28="NA",AC28="Cancelled")),"S5 Assembly",IF(NOT(OR(AG28="Completed",AG28="NA",AG28="Cancelled")),"S6 Bring-up",IF(NOT(OR(AK28="Completed",AK28="NA",AK28="Cancelled")),"S7 BOM Procurement","All Stages Closed"))))))))</f>
        <v/>
      </c>
      <c r="F28" s="32" t="str">
        <f aca="false">IF($C28="","",IF(COUNTIF(M28,"Cancelled")+COUNTIF(Q28,"Cancelled")+COUNTIF(U28,"Cancelled")+COUNTIF(Y28,"Cancelled")+COUNTIF(AC28,"Cancelled")+COUNTIF(AG28,"Cancelled")+COUNTIF(AK28,"Cancelled")&gt;0,"Cancelled",IF(E28="All Stages Closed","Completed",IF(E28="S1 Schematic",M28,IF(E28="S2 PCB Layout",Q28,IF(E28="S3 SI &amp; PI",U28,IF(E28="S4 Bare-PCB Fab",Y28,IF(E28="S5 Assembly",AC28,IF(E28="S6 Bring-up",AG28,AK28)))))))))</f>
        <v/>
      </c>
      <c r="G28" s="33" t="str">
        <f aca="false">IF($C28="","",IF(E28="All Stages Closed","",IF(E28="S1 Schematic",IF(N28="","Not added",N28),IF(E28="S2 PCB Layout",IF(R28="","Not added",R28),IF(E28="S3 SI &amp; PI",IF(V28="","Not added",V28),IF(E28="S4 Bare-PCB Fab",IF(Z28="","Not added",Z28),IF(E28="S5 Assembly",IF(AD28="","Not added",AD28),IF(E28="S6 Bring-up",IF(AH28="","Not added",AH28),IF(AL28="","Not added",AL28)))))))))</f>
        <v/>
      </c>
      <c r="H28" s="32" t="str">
        <f aca="true">IF($C28="","",IF(OR(F28="Completed",F28="Cancelled"),"",IF(NOT(ISNUMBER(G28)),"No date set",IF(TODAY()&gt;G28,TODAY()-G28&amp;" days late",G28-TODAY()&amp;" days left"))))</f>
        <v/>
      </c>
      <c r="I28" s="31" t="str">
        <f aca="false">IF($C28="","",COUNTIF(M28,"Completed")+COUNTIF(Q28,"Completed")+COUNTIF(U28,"Completed")+COUNTIF(Y28,"Completed")+COUNTIF(AC28,"Completed")+COUNTIF(AG28,"Completed")+COUNTIF(AK28,"Completed"))</f>
        <v/>
      </c>
      <c r="J28" s="31" t="str">
        <f aca="false">IF($C28="","",7-(COUNTIF(M28,"NA")+COUNTIF(Q28,"NA")+COUNTIF(U28,"NA")+COUNTIF(Y28,"NA")+COUNTIF(AC28,"NA")+COUNTIF(AG28,"NA")+COUNTIF(AK28,"NA")))</f>
        <v/>
      </c>
      <c r="K28" s="34" t="str">
        <f aca="false">IFERROR(I28/J28,"")</f>
        <v/>
      </c>
      <c r="L28" s="29"/>
      <c r="M28" s="35"/>
      <c r="N28" s="36"/>
      <c r="O28" s="36"/>
      <c r="P28" s="29"/>
      <c r="Q28" s="35"/>
      <c r="R28" s="36"/>
      <c r="S28" s="36"/>
      <c r="T28" s="29"/>
      <c r="U28" s="35"/>
      <c r="V28" s="36"/>
      <c r="W28" s="36"/>
      <c r="X28" s="29"/>
      <c r="Y28" s="35"/>
      <c r="Z28" s="36"/>
      <c r="AA28" s="36"/>
      <c r="AB28" s="29"/>
      <c r="AC28" s="35"/>
      <c r="AD28" s="36"/>
      <c r="AE28" s="36"/>
      <c r="AF28" s="29"/>
      <c r="AG28" s="35"/>
      <c r="AH28" s="36"/>
      <c r="AI28" s="36"/>
      <c r="AJ28" s="29"/>
      <c r="AK28" s="35"/>
      <c r="AL28" s="36"/>
      <c r="AM28" s="36"/>
      <c r="AN28" s="29"/>
      <c r="AO28" s="29"/>
      <c r="AP28" s="29"/>
      <c r="AQ28" s="37"/>
      <c r="AR28" s="39" t="str">
        <f aca="false">IF(AN28&lt;&gt;"Yes","",IF(AO28="","SELECT RE-ENTRY STAGE","MOVE TO ACTIVE at "&amp;AO28))</f>
        <v/>
      </c>
      <c r="AS28" s="40" t="str">
        <f aca="false">IF(AN28="Yes",COUNTIF($AN$6:AN28,"Yes"),"")</f>
        <v/>
      </c>
      <c r="AT28" s="29"/>
      <c r="AU28" s="38" t="str">
        <f aca="false">IF($C28="","",IF(OR(F28="Completed",F28="Cancelled"),"",IF(AND(OR(F28="On Hold",ISNUMBER(VALUE(LEFT(H28,2)))),AT28=""),"Reason not given","")))</f>
        <v/>
      </c>
      <c r="AV28" s="30"/>
      <c r="AW28" s="30"/>
    </row>
    <row r="29" customFormat="false" ht="19.5" hidden="false" customHeight="true" outlineLevel="0" collapsed="false">
      <c r="A29" s="28" t="str">
        <f aca="false">IF($C29="","",COUNTA($C$6:$C29))</f>
        <v/>
      </c>
      <c r="B29" s="29"/>
      <c r="C29" s="30"/>
      <c r="D29" s="29"/>
      <c r="E29" s="31" t="str">
        <f aca="false">IF($C29="","",IF(NOT(OR(M29="Completed",M29="NA",M29="Cancelled")),"S1 Schematic",IF(NOT(OR(Q29="Completed",Q29="NA",Q29="Cancelled")),"S2 PCB Layout",IF(NOT(OR(U29="Completed",U29="NA",U29="Cancelled")),"S3 SI &amp; PI",IF(NOT(OR(Y29="Completed",Y29="NA",Y29="Cancelled")),"S4 Bare-PCB Fab",IF(NOT(OR(AC29="Completed",AC29="NA",AC29="Cancelled")),"S5 Assembly",IF(NOT(OR(AG29="Completed",AG29="NA",AG29="Cancelled")),"S6 Bring-up",IF(NOT(OR(AK29="Completed",AK29="NA",AK29="Cancelled")),"S7 BOM Procurement","All Stages Closed"))))))))</f>
        <v/>
      </c>
      <c r="F29" s="32" t="str">
        <f aca="false">IF($C29="","",IF(COUNTIF(M29,"Cancelled")+COUNTIF(Q29,"Cancelled")+COUNTIF(U29,"Cancelled")+COUNTIF(Y29,"Cancelled")+COUNTIF(AC29,"Cancelled")+COUNTIF(AG29,"Cancelled")+COUNTIF(AK29,"Cancelled")&gt;0,"Cancelled",IF(E29="All Stages Closed","Completed",IF(E29="S1 Schematic",M29,IF(E29="S2 PCB Layout",Q29,IF(E29="S3 SI &amp; PI",U29,IF(E29="S4 Bare-PCB Fab",Y29,IF(E29="S5 Assembly",AC29,IF(E29="S6 Bring-up",AG29,AK29)))))))))</f>
        <v/>
      </c>
      <c r="G29" s="33" t="str">
        <f aca="false">IF($C29="","",IF(E29="All Stages Closed","",IF(E29="S1 Schematic",IF(N29="","Not added",N29),IF(E29="S2 PCB Layout",IF(R29="","Not added",R29),IF(E29="S3 SI &amp; PI",IF(V29="","Not added",V29),IF(E29="S4 Bare-PCB Fab",IF(Z29="","Not added",Z29),IF(E29="S5 Assembly",IF(AD29="","Not added",AD29),IF(E29="S6 Bring-up",IF(AH29="","Not added",AH29),IF(AL29="","Not added",AL29)))))))))</f>
        <v/>
      </c>
      <c r="H29" s="32" t="str">
        <f aca="true">IF($C29="","",IF(OR(F29="Completed",F29="Cancelled"),"",IF(NOT(ISNUMBER(G29)),"No date set",IF(TODAY()&gt;G29,TODAY()-G29&amp;" days late",G29-TODAY()&amp;" days left"))))</f>
        <v/>
      </c>
      <c r="I29" s="31" t="str">
        <f aca="false">IF($C29="","",COUNTIF(M29,"Completed")+COUNTIF(Q29,"Completed")+COUNTIF(U29,"Completed")+COUNTIF(Y29,"Completed")+COUNTIF(AC29,"Completed")+COUNTIF(AG29,"Completed")+COUNTIF(AK29,"Completed"))</f>
        <v/>
      </c>
      <c r="J29" s="31" t="str">
        <f aca="false">IF($C29="","",7-(COUNTIF(M29,"NA")+COUNTIF(Q29,"NA")+COUNTIF(U29,"NA")+COUNTIF(Y29,"NA")+COUNTIF(AC29,"NA")+COUNTIF(AG29,"NA")+COUNTIF(AK29,"NA")))</f>
        <v/>
      </c>
      <c r="K29" s="34" t="str">
        <f aca="false">IFERROR(I29/J29,"")</f>
        <v/>
      </c>
      <c r="L29" s="29"/>
      <c r="M29" s="35"/>
      <c r="N29" s="36"/>
      <c r="O29" s="36"/>
      <c r="P29" s="29"/>
      <c r="Q29" s="35"/>
      <c r="R29" s="36"/>
      <c r="S29" s="36"/>
      <c r="T29" s="29"/>
      <c r="U29" s="35"/>
      <c r="V29" s="36"/>
      <c r="W29" s="36"/>
      <c r="X29" s="29"/>
      <c r="Y29" s="35"/>
      <c r="Z29" s="36"/>
      <c r="AA29" s="36"/>
      <c r="AB29" s="29"/>
      <c r="AC29" s="35"/>
      <c r="AD29" s="36"/>
      <c r="AE29" s="36"/>
      <c r="AF29" s="29"/>
      <c r="AG29" s="35"/>
      <c r="AH29" s="36"/>
      <c r="AI29" s="36"/>
      <c r="AJ29" s="29"/>
      <c r="AK29" s="35"/>
      <c r="AL29" s="36"/>
      <c r="AM29" s="36"/>
      <c r="AN29" s="29"/>
      <c r="AO29" s="29"/>
      <c r="AP29" s="29"/>
      <c r="AQ29" s="37"/>
      <c r="AR29" s="39" t="str">
        <f aca="false">IF(AN29&lt;&gt;"Yes","",IF(AO29="","SELECT RE-ENTRY STAGE","MOVE TO ACTIVE at "&amp;AO29))</f>
        <v/>
      </c>
      <c r="AS29" s="40" t="str">
        <f aca="false">IF(AN29="Yes",COUNTIF($AN$6:AN29,"Yes"),"")</f>
        <v/>
      </c>
      <c r="AT29" s="29"/>
      <c r="AU29" s="38" t="str">
        <f aca="false">IF($C29="","",IF(OR(F29="Completed",F29="Cancelled"),"",IF(AND(OR(F29="On Hold",ISNUMBER(VALUE(LEFT(H29,2)))),AT29=""),"Reason not given","")))</f>
        <v/>
      </c>
      <c r="AV29" s="30"/>
      <c r="AW29" s="30"/>
    </row>
    <row r="30" customFormat="false" ht="19.5" hidden="false" customHeight="true" outlineLevel="0" collapsed="false">
      <c r="A30" s="28" t="str">
        <f aca="false">IF($C30="","",COUNTA($C$6:$C30))</f>
        <v/>
      </c>
      <c r="B30" s="29"/>
      <c r="C30" s="30"/>
      <c r="D30" s="29"/>
      <c r="E30" s="31" t="str">
        <f aca="false">IF($C30="","",IF(NOT(OR(M30="Completed",M30="NA",M30="Cancelled")),"S1 Schematic",IF(NOT(OR(Q30="Completed",Q30="NA",Q30="Cancelled")),"S2 PCB Layout",IF(NOT(OR(U30="Completed",U30="NA",U30="Cancelled")),"S3 SI &amp; PI",IF(NOT(OR(Y30="Completed",Y30="NA",Y30="Cancelled")),"S4 Bare-PCB Fab",IF(NOT(OR(AC30="Completed",AC30="NA",AC30="Cancelled")),"S5 Assembly",IF(NOT(OR(AG30="Completed",AG30="NA",AG30="Cancelled")),"S6 Bring-up",IF(NOT(OR(AK30="Completed",AK30="NA",AK30="Cancelled")),"S7 BOM Procurement","All Stages Closed"))))))))</f>
        <v/>
      </c>
      <c r="F30" s="32" t="str">
        <f aca="false">IF($C30="","",IF(COUNTIF(M30,"Cancelled")+COUNTIF(Q30,"Cancelled")+COUNTIF(U30,"Cancelled")+COUNTIF(Y30,"Cancelled")+COUNTIF(AC30,"Cancelled")+COUNTIF(AG30,"Cancelled")+COUNTIF(AK30,"Cancelled")&gt;0,"Cancelled",IF(E30="All Stages Closed","Completed",IF(E30="S1 Schematic",M30,IF(E30="S2 PCB Layout",Q30,IF(E30="S3 SI &amp; PI",U30,IF(E30="S4 Bare-PCB Fab",Y30,IF(E30="S5 Assembly",AC30,IF(E30="S6 Bring-up",AG30,AK30)))))))))</f>
        <v/>
      </c>
      <c r="G30" s="33" t="str">
        <f aca="false">IF($C30="","",IF(E30="All Stages Closed","",IF(E30="S1 Schematic",IF(N30="","Not added",N30),IF(E30="S2 PCB Layout",IF(R30="","Not added",R30),IF(E30="S3 SI &amp; PI",IF(V30="","Not added",V30),IF(E30="S4 Bare-PCB Fab",IF(Z30="","Not added",Z30),IF(E30="S5 Assembly",IF(AD30="","Not added",AD30),IF(E30="S6 Bring-up",IF(AH30="","Not added",AH30),IF(AL30="","Not added",AL30)))))))))</f>
        <v/>
      </c>
      <c r="H30" s="32" t="str">
        <f aca="true">IF($C30="","",IF(OR(F30="Completed",F30="Cancelled"),"",IF(NOT(ISNUMBER(G30)),"No date set",IF(TODAY()&gt;G30,TODAY()-G30&amp;" days late",G30-TODAY()&amp;" days left"))))</f>
        <v/>
      </c>
      <c r="I30" s="31" t="str">
        <f aca="false">IF($C30="","",COUNTIF(M30,"Completed")+COUNTIF(Q30,"Completed")+COUNTIF(U30,"Completed")+COUNTIF(Y30,"Completed")+COUNTIF(AC30,"Completed")+COUNTIF(AG30,"Completed")+COUNTIF(AK30,"Completed"))</f>
        <v/>
      </c>
      <c r="J30" s="31" t="str">
        <f aca="false">IF($C30="","",7-(COUNTIF(M30,"NA")+COUNTIF(Q30,"NA")+COUNTIF(U30,"NA")+COUNTIF(Y30,"NA")+COUNTIF(AC30,"NA")+COUNTIF(AG30,"NA")+COUNTIF(AK30,"NA")))</f>
        <v/>
      </c>
      <c r="K30" s="34" t="str">
        <f aca="false">IFERROR(I30/J30,"")</f>
        <v/>
      </c>
      <c r="L30" s="29"/>
      <c r="M30" s="35"/>
      <c r="N30" s="36"/>
      <c r="O30" s="36"/>
      <c r="P30" s="29"/>
      <c r="Q30" s="35"/>
      <c r="R30" s="36"/>
      <c r="S30" s="36"/>
      <c r="T30" s="29"/>
      <c r="U30" s="35"/>
      <c r="V30" s="36"/>
      <c r="W30" s="36"/>
      <c r="X30" s="29"/>
      <c r="Y30" s="35"/>
      <c r="Z30" s="36"/>
      <c r="AA30" s="36"/>
      <c r="AB30" s="29"/>
      <c r="AC30" s="35"/>
      <c r="AD30" s="36"/>
      <c r="AE30" s="36"/>
      <c r="AF30" s="29"/>
      <c r="AG30" s="35"/>
      <c r="AH30" s="36"/>
      <c r="AI30" s="36"/>
      <c r="AJ30" s="29"/>
      <c r="AK30" s="35"/>
      <c r="AL30" s="36"/>
      <c r="AM30" s="36"/>
      <c r="AN30" s="29"/>
      <c r="AO30" s="29"/>
      <c r="AP30" s="29"/>
      <c r="AQ30" s="37"/>
      <c r="AR30" s="39" t="str">
        <f aca="false">IF(AN30&lt;&gt;"Yes","",IF(AO30="","SELECT RE-ENTRY STAGE","MOVE TO ACTIVE at "&amp;AO30))</f>
        <v/>
      </c>
      <c r="AS30" s="40" t="str">
        <f aca="false">IF(AN30="Yes",COUNTIF($AN$6:AN30,"Yes"),"")</f>
        <v/>
      </c>
      <c r="AT30" s="29"/>
      <c r="AU30" s="38" t="str">
        <f aca="false">IF($C30="","",IF(OR(F30="Completed",F30="Cancelled"),"",IF(AND(OR(F30="On Hold",ISNUMBER(VALUE(LEFT(H30,2)))),AT30=""),"Reason not given","")))</f>
        <v/>
      </c>
      <c r="AV30" s="30"/>
      <c r="AW30" s="30"/>
    </row>
    <row r="31" customFormat="false" ht="19.5" hidden="false" customHeight="true" outlineLevel="0" collapsed="false">
      <c r="A31" s="28" t="str">
        <f aca="false">IF($C31="","",COUNTA($C$6:$C31))</f>
        <v/>
      </c>
      <c r="B31" s="29"/>
      <c r="C31" s="30"/>
      <c r="D31" s="29"/>
      <c r="E31" s="31" t="str">
        <f aca="false">IF($C31="","",IF(NOT(OR(M31="Completed",M31="NA",M31="Cancelled")),"S1 Schematic",IF(NOT(OR(Q31="Completed",Q31="NA",Q31="Cancelled")),"S2 PCB Layout",IF(NOT(OR(U31="Completed",U31="NA",U31="Cancelled")),"S3 SI &amp; PI",IF(NOT(OR(Y31="Completed",Y31="NA",Y31="Cancelled")),"S4 Bare-PCB Fab",IF(NOT(OR(AC31="Completed",AC31="NA",AC31="Cancelled")),"S5 Assembly",IF(NOT(OR(AG31="Completed",AG31="NA",AG31="Cancelled")),"S6 Bring-up",IF(NOT(OR(AK31="Completed",AK31="NA",AK31="Cancelled")),"S7 BOM Procurement","All Stages Closed"))))))))</f>
        <v/>
      </c>
      <c r="F31" s="32" t="str">
        <f aca="false">IF($C31="","",IF(COUNTIF(M31,"Cancelled")+COUNTIF(Q31,"Cancelled")+COUNTIF(U31,"Cancelled")+COUNTIF(Y31,"Cancelled")+COUNTIF(AC31,"Cancelled")+COUNTIF(AG31,"Cancelled")+COUNTIF(AK31,"Cancelled")&gt;0,"Cancelled",IF(E31="All Stages Closed","Completed",IF(E31="S1 Schematic",M31,IF(E31="S2 PCB Layout",Q31,IF(E31="S3 SI &amp; PI",U31,IF(E31="S4 Bare-PCB Fab",Y31,IF(E31="S5 Assembly",AC31,IF(E31="S6 Bring-up",AG31,AK31)))))))))</f>
        <v/>
      </c>
      <c r="G31" s="33" t="str">
        <f aca="false">IF($C31="","",IF(E31="All Stages Closed","",IF(E31="S1 Schematic",IF(N31="","Not added",N31),IF(E31="S2 PCB Layout",IF(R31="","Not added",R31),IF(E31="S3 SI &amp; PI",IF(V31="","Not added",V31),IF(E31="S4 Bare-PCB Fab",IF(Z31="","Not added",Z31),IF(E31="S5 Assembly",IF(AD31="","Not added",AD31),IF(E31="S6 Bring-up",IF(AH31="","Not added",AH31),IF(AL31="","Not added",AL31)))))))))</f>
        <v/>
      </c>
      <c r="H31" s="32" t="str">
        <f aca="true">IF($C31="","",IF(OR(F31="Completed",F31="Cancelled"),"",IF(NOT(ISNUMBER(G31)),"No date set",IF(TODAY()&gt;G31,TODAY()-G31&amp;" days late",G31-TODAY()&amp;" days left"))))</f>
        <v/>
      </c>
      <c r="I31" s="31" t="str">
        <f aca="false">IF($C31="","",COUNTIF(M31,"Completed")+COUNTIF(Q31,"Completed")+COUNTIF(U31,"Completed")+COUNTIF(Y31,"Completed")+COUNTIF(AC31,"Completed")+COUNTIF(AG31,"Completed")+COUNTIF(AK31,"Completed"))</f>
        <v/>
      </c>
      <c r="J31" s="31" t="str">
        <f aca="false">IF($C31="","",7-(COUNTIF(M31,"NA")+COUNTIF(Q31,"NA")+COUNTIF(U31,"NA")+COUNTIF(Y31,"NA")+COUNTIF(AC31,"NA")+COUNTIF(AG31,"NA")+COUNTIF(AK31,"NA")))</f>
        <v/>
      </c>
      <c r="K31" s="34" t="str">
        <f aca="false">IFERROR(I31/J31,"")</f>
        <v/>
      </c>
      <c r="L31" s="29"/>
      <c r="M31" s="35"/>
      <c r="N31" s="36"/>
      <c r="O31" s="36"/>
      <c r="P31" s="29"/>
      <c r="Q31" s="35"/>
      <c r="R31" s="36"/>
      <c r="S31" s="36"/>
      <c r="T31" s="29"/>
      <c r="U31" s="35"/>
      <c r="V31" s="36"/>
      <c r="W31" s="36"/>
      <c r="X31" s="29"/>
      <c r="Y31" s="35"/>
      <c r="Z31" s="36"/>
      <c r="AA31" s="36"/>
      <c r="AB31" s="29"/>
      <c r="AC31" s="35"/>
      <c r="AD31" s="36"/>
      <c r="AE31" s="36"/>
      <c r="AF31" s="29"/>
      <c r="AG31" s="35"/>
      <c r="AH31" s="36"/>
      <c r="AI31" s="36"/>
      <c r="AJ31" s="29"/>
      <c r="AK31" s="35"/>
      <c r="AL31" s="36"/>
      <c r="AM31" s="36"/>
      <c r="AN31" s="29"/>
      <c r="AO31" s="29"/>
      <c r="AP31" s="29"/>
      <c r="AQ31" s="37"/>
      <c r="AR31" s="39" t="str">
        <f aca="false">IF(AN31&lt;&gt;"Yes","",IF(AO31="","SELECT RE-ENTRY STAGE","MOVE TO ACTIVE at "&amp;AO31))</f>
        <v/>
      </c>
      <c r="AS31" s="40" t="str">
        <f aca="false">IF(AN31="Yes",COUNTIF($AN$6:AN31,"Yes"),"")</f>
        <v/>
      </c>
      <c r="AT31" s="29"/>
      <c r="AU31" s="38" t="str">
        <f aca="false">IF($C31="","",IF(OR(F31="Completed",F31="Cancelled"),"",IF(AND(OR(F31="On Hold",ISNUMBER(VALUE(LEFT(H31,2)))),AT31=""),"Reason not given","")))</f>
        <v/>
      </c>
      <c r="AV31" s="30"/>
      <c r="AW31" s="30"/>
    </row>
    <row r="32" customFormat="false" ht="19.5" hidden="false" customHeight="true" outlineLevel="0" collapsed="false">
      <c r="A32" s="28" t="str">
        <f aca="false">IF($C32="","",COUNTA($C$6:$C32))</f>
        <v/>
      </c>
      <c r="B32" s="29"/>
      <c r="C32" s="30"/>
      <c r="D32" s="29"/>
      <c r="E32" s="31" t="str">
        <f aca="false">IF($C32="","",IF(NOT(OR(M32="Completed",M32="NA",M32="Cancelled")),"S1 Schematic",IF(NOT(OR(Q32="Completed",Q32="NA",Q32="Cancelled")),"S2 PCB Layout",IF(NOT(OR(U32="Completed",U32="NA",U32="Cancelled")),"S3 SI &amp; PI",IF(NOT(OR(Y32="Completed",Y32="NA",Y32="Cancelled")),"S4 Bare-PCB Fab",IF(NOT(OR(AC32="Completed",AC32="NA",AC32="Cancelled")),"S5 Assembly",IF(NOT(OR(AG32="Completed",AG32="NA",AG32="Cancelled")),"S6 Bring-up",IF(NOT(OR(AK32="Completed",AK32="NA",AK32="Cancelled")),"S7 BOM Procurement","All Stages Closed"))))))))</f>
        <v/>
      </c>
      <c r="F32" s="32" t="str">
        <f aca="false">IF($C32="","",IF(COUNTIF(M32,"Cancelled")+COUNTIF(Q32,"Cancelled")+COUNTIF(U32,"Cancelled")+COUNTIF(Y32,"Cancelled")+COUNTIF(AC32,"Cancelled")+COUNTIF(AG32,"Cancelled")+COUNTIF(AK32,"Cancelled")&gt;0,"Cancelled",IF(E32="All Stages Closed","Completed",IF(E32="S1 Schematic",M32,IF(E32="S2 PCB Layout",Q32,IF(E32="S3 SI &amp; PI",U32,IF(E32="S4 Bare-PCB Fab",Y32,IF(E32="S5 Assembly",AC32,IF(E32="S6 Bring-up",AG32,AK32)))))))))</f>
        <v/>
      </c>
      <c r="G32" s="33" t="str">
        <f aca="false">IF($C32="","",IF(E32="All Stages Closed","",IF(E32="S1 Schematic",IF(N32="","Not added",N32),IF(E32="S2 PCB Layout",IF(R32="","Not added",R32),IF(E32="S3 SI &amp; PI",IF(V32="","Not added",V32),IF(E32="S4 Bare-PCB Fab",IF(Z32="","Not added",Z32),IF(E32="S5 Assembly",IF(AD32="","Not added",AD32),IF(E32="S6 Bring-up",IF(AH32="","Not added",AH32),IF(AL32="","Not added",AL32)))))))))</f>
        <v/>
      </c>
      <c r="H32" s="32" t="str">
        <f aca="true">IF($C32="","",IF(OR(F32="Completed",F32="Cancelled"),"",IF(NOT(ISNUMBER(G32)),"No date set",IF(TODAY()&gt;G32,TODAY()-G32&amp;" days late",G32-TODAY()&amp;" days left"))))</f>
        <v/>
      </c>
      <c r="I32" s="31" t="str">
        <f aca="false">IF($C32="","",COUNTIF(M32,"Completed")+COUNTIF(Q32,"Completed")+COUNTIF(U32,"Completed")+COUNTIF(Y32,"Completed")+COUNTIF(AC32,"Completed")+COUNTIF(AG32,"Completed")+COUNTIF(AK32,"Completed"))</f>
        <v/>
      </c>
      <c r="J32" s="31" t="str">
        <f aca="false">IF($C32="","",7-(COUNTIF(M32,"NA")+COUNTIF(Q32,"NA")+COUNTIF(U32,"NA")+COUNTIF(Y32,"NA")+COUNTIF(AC32,"NA")+COUNTIF(AG32,"NA")+COUNTIF(AK32,"NA")))</f>
        <v/>
      </c>
      <c r="K32" s="34" t="str">
        <f aca="false">IFERROR(I32/J32,"")</f>
        <v/>
      </c>
      <c r="L32" s="29"/>
      <c r="M32" s="35"/>
      <c r="N32" s="36"/>
      <c r="O32" s="36"/>
      <c r="P32" s="29"/>
      <c r="Q32" s="35"/>
      <c r="R32" s="36"/>
      <c r="S32" s="36"/>
      <c r="T32" s="29"/>
      <c r="U32" s="35"/>
      <c r="V32" s="36"/>
      <c r="W32" s="36"/>
      <c r="X32" s="29"/>
      <c r="Y32" s="35"/>
      <c r="Z32" s="36"/>
      <c r="AA32" s="36"/>
      <c r="AB32" s="29"/>
      <c r="AC32" s="35"/>
      <c r="AD32" s="36"/>
      <c r="AE32" s="36"/>
      <c r="AF32" s="29"/>
      <c r="AG32" s="35"/>
      <c r="AH32" s="36"/>
      <c r="AI32" s="36"/>
      <c r="AJ32" s="29"/>
      <c r="AK32" s="35"/>
      <c r="AL32" s="36"/>
      <c r="AM32" s="36"/>
      <c r="AN32" s="29"/>
      <c r="AO32" s="29"/>
      <c r="AP32" s="29"/>
      <c r="AQ32" s="37"/>
      <c r="AR32" s="39" t="str">
        <f aca="false">IF(AN32&lt;&gt;"Yes","",IF(AO32="","SELECT RE-ENTRY STAGE","MOVE TO ACTIVE at "&amp;AO32))</f>
        <v/>
      </c>
      <c r="AS32" s="40" t="str">
        <f aca="false">IF(AN32="Yes",COUNTIF($AN$6:AN32,"Yes"),"")</f>
        <v/>
      </c>
      <c r="AT32" s="29"/>
      <c r="AU32" s="38" t="str">
        <f aca="false">IF($C32="","",IF(OR(F32="Completed",F32="Cancelled"),"",IF(AND(OR(F32="On Hold",ISNUMBER(VALUE(LEFT(H32,2)))),AT32=""),"Reason not given","")))</f>
        <v/>
      </c>
      <c r="AV32" s="30"/>
      <c r="AW32" s="30"/>
    </row>
    <row r="33" customFormat="false" ht="19.5" hidden="false" customHeight="true" outlineLevel="0" collapsed="false">
      <c r="A33" s="28" t="str">
        <f aca="false">IF($C33="","",COUNTA($C$6:$C33))</f>
        <v/>
      </c>
      <c r="B33" s="29"/>
      <c r="C33" s="30"/>
      <c r="D33" s="29"/>
      <c r="E33" s="31" t="str">
        <f aca="false">IF($C33="","",IF(NOT(OR(M33="Completed",M33="NA",M33="Cancelled")),"S1 Schematic",IF(NOT(OR(Q33="Completed",Q33="NA",Q33="Cancelled")),"S2 PCB Layout",IF(NOT(OR(U33="Completed",U33="NA",U33="Cancelled")),"S3 SI &amp; PI",IF(NOT(OR(Y33="Completed",Y33="NA",Y33="Cancelled")),"S4 Bare-PCB Fab",IF(NOT(OR(AC33="Completed",AC33="NA",AC33="Cancelled")),"S5 Assembly",IF(NOT(OR(AG33="Completed",AG33="NA",AG33="Cancelled")),"S6 Bring-up",IF(NOT(OR(AK33="Completed",AK33="NA",AK33="Cancelled")),"S7 BOM Procurement","All Stages Closed"))))))))</f>
        <v/>
      </c>
      <c r="F33" s="32" t="str">
        <f aca="false">IF($C33="","",IF(COUNTIF(M33,"Cancelled")+COUNTIF(Q33,"Cancelled")+COUNTIF(U33,"Cancelled")+COUNTIF(Y33,"Cancelled")+COUNTIF(AC33,"Cancelled")+COUNTIF(AG33,"Cancelled")+COUNTIF(AK33,"Cancelled")&gt;0,"Cancelled",IF(E33="All Stages Closed","Completed",IF(E33="S1 Schematic",M33,IF(E33="S2 PCB Layout",Q33,IF(E33="S3 SI &amp; PI",U33,IF(E33="S4 Bare-PCB Fab",Y33,IF(E33="S5 Assembly",AC33,IF(E33="S6 Bring-up",AG33,AK33)))))))))</f>
        <v/>
      </c>
      <c r="G33" s="33" t="str">
        <f aca="false">IF($C33="","",IF(E33="All Stages Closed","",IF(E33="S1 Schematic",IF(N33="","Not added",N33),IF(E33="S2 PCB Layout",IF(R33="","Not added",R33),IF(E33="S3 SI &amp; PI",IF(V33="","Not added",V33),IF(E33="S4 Bare-PCB Fab",IF(Z33="","Not added",Z33),IF(E33="S5 Assembly",IF(AD33="","Not added",AD33),IF(E33="S6 Bring-up",IF(AH33="","Not added",AH33),IF(AL33="","Not added",AL33)))))))))</f>
        <v/>
      </c>
      <c r="H33" s="32" t="str">
        <f aca="true">IF($C33="","",IF(OR(F33="Completed",F33="Cancelled"),"",IF(NOT(ISNUMBER(G33)),"No date set",IF(TODAY()&gt;G33,TODAY()-G33&amp;" days late",G33-TODAY()&amp;" days left"))))</f>
        <v/>
      </c>
      <c r="I33" s="31" t="str">
        <f aca="false">IF($C33="","",COUNTIF(M33,"Completed")+COUNTIF(Q33,"Completed")+COUNTIF(U33,"Completed")+COUNTIF(Y33,"Completed")+COUNTIF(AC33,"Completed")+COUNTIF(AG33,"Completed")+COUNTIF(AK33,"Completed"))</f>
        <v/>
      </c>
      <c r="J33" s="31" t="str">
        <f aca="false">IF($C33="","",7-(COUNTIF(M33,"NA")+COUNTIF(Q33,"NA")+COUNTIF(U33,"NA")+COUNTIF(Y33,"NA")+COUNTIF(AC33,"NA")+COUNTIF(AG33,"NA")+COUNTIF(AK33,"NA")))</f>
        <v/>
      </c>
      <c r="K33" s="34" t="str">
        <f aca="false">IFERROR(I33/J33,"")</f>
        <v/>
      </c>
      <c r="L33" s="29"/>
      <c r="M33" s="35"/>
      <c r="N33" s="36"/>
      <c r="O33" s="36"/>
      <c r="P33" s="29"/>
      <c r="Q33" s="35"/>
      <c r="R33" s="36"/>
      <c r="S33" s="36"/>
      <c r="T33" s="29"/>
      <c r="U33" s="35"/>
      <c r="V33" s="36"/>
      <c r="W33" s="36"/>
      <c r="X33" s="29"/>
      <c r="Y33" s="35"/>
      <c r="Z33" s="36"/>
      <c r="AA33" s="36"/>
      <c r="AB33" s="29"/>
      <c r="AC33" s="35"/>
      <c r="AD33" s="36"/>
      <c r="AE33" s="36"/>
      <c r="AF33" s="29"/>
      <c r="AG33" s="35"/>
      <c r="AH33" s="36"/>
      <c r="AI33" s="36"/>
      <c r="AJ33" s="29"/>
      <c r="AK33" s="35"/>
      <c r="AL33" s="36"/>
      <c r="AM33" s="36"/>
      <c r="AN33" s="29"/>
      <c r="AO33" s="29"/>
      <c r="AP33" s="29"/>
      <c r="AQ33" s="37"/>
      <c r="AR33" s="39" t="str">
        <f aca="false">IF(AN33&lt;&gt;"Yes","",IF(AO33="","SELECT RE-ENTRY STAGE","MOVE TO ACTIVE at "&amp;AO33))</f>
        <v/>
      </c>
      <c r="AS33" s="40" t="str">
        <f aca="false">IF(AN33="Yes",COUNTIF($AN$6:AN33,"Yes"),"")</f>
        <v/>
      </c>
      <c r="AT33" s="29"/>
      <c r="AU33" s="38" t="str">
        <f aca="false">IF($C33="","",IF(OR(F33="Completed",F33="Cancelled"),"",IF(AND(OR(F33="On Hold",ISNUMBER(VALUE(LEFT(H33,2)))),AT33=""),"Reason not given","")))</f>
        <v/>
      </c>
      <c r="AV33" s="30"/>
      <c r="AW33" s="30"/>
    </row>
    <row r="34" customFormat="false" ht="19.5" hidden="false" customHeight="true" outlineLevel="0" collapsed="false">
      <c r="A34" s="28" t="str">
        <f aca="false">IF($C34="","",COUNTA($C$6:$C34))</f>
        <v/>
      </c>
      <c r="B34" s="29"/>
      <c r="C34" s="30"/>
      <c r="D34" s="29"/>
      <c r="E34" s="31" t="str">
        <f aca="false">IF($C34="","",IF(NOT(OR(M34="Completed",M34="NA",M34="Cancelled")),"S1 Schematic",IF(NOT(OR(Q34="Completed",Q34="NA",Q34="Cancelled")),"S2 PCB Layout",IF(NOT(OR(U34="Completed",U34="NA",U34="Cancelled")),"S3 SI &amp; PI",IF(NOT(OR(Y34="Completed",Y34="NA",Y34="Cancelled")),"S4 Bare-PCB Fab",IF(NOT(OR(AC34="Completed",AC34="NA",AC34="Cancelled")),"S5 Assembly",IF(NOT(OR(AG34="Completed",AG34="NA",AG34="Cancelled")),"S6 Bring-up",IF(NOT(OR(AK34="Completed",AK34="NA",AK34="Cancelled")),"S7 BOM Procurement","All Stages Closed"))))))))</f>
        <v/>
      </c>
      <c r="F34" s="32" t="str">
        <f aca="false">IF($C34="","",IF(COUNTIF(M34,"Cancelled")+COUNTIF(Q34,"Cancelled")+COUNTIF(U34,"Cancelled")+COUNTIF(Y34,"Cancelled")+COUNTIF(AC34,"Cancelled")+COUNTIF(AG34,"Cancelled")+COUNTIF(AK34,"Cancelled")&gt;0,"Cancelled",IF(E34="All Stages Closed","Completed",IF(E34="S1 Schematic",M34,IF(E34="S2 PCB Layout",Q34,IF(E34="S3 SI &amp; PI",U34,IF(E34="S4 Bare-PCB Fab",Y34,IF(E34="S5 Assembly",AC34,IF(E34="S6 Bring-up",AG34,AK34)))))))))</f>
        <v/>
      </c>
      <c r="G34" s="33" t="str">
        <f aca="false">IF($C34="","",IF(E34="All Stages Closed","",IF(E34="S1 Schematic",IF(N34="","Not added",N34),IF(E34="S2 PCB Layout",IF(R34="","Not added",R34),IF(E34="S3 SI &amp; PI",IF(V34="","Not added",V34),IF(E34="S4 Bare-PCB Fab",IF(Z34="","Not added",Z34),IF(E34="S5 Assembly",IF(AD34="","Not added",AD34),IF(E34="S6 Bring-up",IF(AH34="","Not added",AH34),IF(AL34="","Not added",AL34)))))))))</f>
        <v/>
      </c>
      <c r="H34" s="32" t="str">
        <f aca="true">IF($C34="","",IF(OR(F34="Completed",F34="Cancelled"),"",IF(NOT(ISNUMBER(G34)),"No date set",IF(TODAY()&gt;G34,TODAY()-G34&amp;" days late",G34-TODAY()&amp;" days left"))))</f>
        <v/>
      </c>
      <c r="I34" s="31" t="str">
        <f aca="false">IF($C34="","",COUNTIF(M34,"Completed")+COUNTIF(Q34,"Completed")+COUNTIF(U34,"Completed")+COUNTIF(Y34,"Completed")+COUNTIF(AC34,"Completed")+COUNTIF(AG34,"Completed")+COUNTIF(AK34,"Completed"))</f>
        <v/>
      </c>
      <c r="J34" s="31" t="str">
        <f aca="false">IF($C34="","",7-(COUNTIF(M34,"NA")+COUNTIF(Q34,"NA")+COUNTIF(U34,"NA")+COUNTIF(Y34,"NA")+COUNTIF(AC34,"NA")+COUNTIF(AG34,"NA")+COUNTIF(AK34,"NA")))</f>
        <v/>
      </c>
      <c r="K34" s="34" t="str">
        <f aca="false">IFERROR(I34/J34,"")</f>
        <v/>
      </c>
      <c r="L34" s="29"/>
      <c r="M34" s="35"/>
      <c r="N34" s="36"/>
      <c r="O34" s="36"/>
      <c r="P34" s="29"/>
      <c r="Q34" s="35"/>
      <c r="R34" s="36"/>
      <c r="S34" s="36"/>
      <c r="T34" s="29"/>
      <c r="U34" s="35"/>
      <c r="V34" s="36"/>
      <c r="W34" s="36"/>
      <c r="X34" s="29"/>
      <c r="Y34" s="35"/>
      <c r="Z34" s="36"/>
      <c r="AA34" s="36"/>
      <c r="AB34" s="29"/>
      <c r="AC34" s="35"/>
      <c r="AD34" s="36"/>
      <c r="AE34" s="36"/>
      <c r="AF34" s="29"/>
      <c r="AG34" s="35"/>
      <c r="AH34" s="36"/>
      <c r="AI34" s="36"/>
      <c r="AJ34" s="29"/>
      <c r="AK34" s="35"/>
      <c r="AL34" s="36"/>
      <c r="AM34" s="36"/>
      <c r="AN34" s="29"/>
      <c r="AO34" s="29"/>
      <c r="AP34" s="29"/>
      <c r="AQ34" s="37"/>
      <c r="AR34" s="39" t="str">
        <f aca="false">IF(AN34&lt;&gt;"Yes","",IF(AO34="","SELECT RE-ENTRY STAGE","MOVE TO ACTIVE at "&amp;AO34))</f>
        <v/>
      </c>
      <c r="AS34" s="40" t="str">
        <f aca="false">IF(AN34="Yes",COUNTIF($AN$6:AN34,"Yes"),"")</f>
        <v/>
      </c>
      <c r="AT34" s="29"/>
      <c r="AU34" s="38" t="str">
        <f aca="false">IF($C34="","",IF(OR(F34="Completed",F34="Cancelled"),"",IF(AND(OR(F34="On Hold",ISNUMBER(VALUE(LEFT(H34,2)))),AT34=""),"Reason not given","")))</f>
        <v/>
      </c>
      <c r="AV34" s="30"/>
      <c r="AW34" s="30"/>
    </row>
    <row r="35" customFormat="false" ht="19.5" hidden="false" customHeight="true" outlineLevel="0" collapsed="false">
      <c r="A35" s="28" t="str">
        <f aca="false">IF($C35="","",COUNTA($C$6:$C35))</f>
        <v/>
      </c>
      <c r="B35" s="29"/>
      <c r="C35" s="30"/>
      <c r="D35" s="29"/>
      <c r="E35" s="31" t="str">
        <f aca="false">IF($C35="","",IF(NOT(OR(M35="Completed",M35="NA",M35="Cancelled")),"S1 Schematic",IF(NOT(OR(Q35="Completed",Q35="NA",Q35="Cancelled")),"S2 PCB Layout",IF(NOT(OR(U35="Completed",U35="NA",U35="Cancelled")),"S3 SI &amp; PI",IF(NOT(OR(Y35="Completed",Y35="NA",Y35="Cancelled")),"S4 Bare-PCB Fab",IF(NOT(OR(AC35="Completed",AC35="NA",AC35="Cancelled")),"S5 Assembly",IF(NOT(OR(AG35="Completed",AG35="NA",AG35="Cancelled")),"S6 Bring-up",IF(NOT(OR(AK35="Completed",AK35="NA",AK35="Cancelled")),"S7 BOM Procurement","All Stages Closed"))))))))</f>
        <v/>
      </c>
      <c r="F35" s="32" t="str">
        <f aca="false">IF($C35="","",IF(COUNTIF(M35,"Cancelled")+COUNTIF(Q35,"Cancelled")+COUNTIF(U35,"Cancelled")+COUNTIF(Y35,"Cancelled")+COUNTIF(AC35,"Cancelled")+COUNTIF(AG35,"Cancelled")+COUNTIF(AK35,"Cancelled")&gt;0,"Cancelled",IF(E35="All Stages Closed","Completed",IF(E35="S1 Schematic",M35,IF(E35="S2 PCB Layout",Q35,IF(E35="S3 SI &amp; PI",U35,IF(E35="S4 Bare-PCB Fab",Y35,IF(E35="S5 Assembly",AC35,IF(E35="S6 Bring-up",AG35,AK35)))))))))</f>
        <v/>
      </c>
      <c r="G35" s="33" t="str">
        <f aca="false">IF($C35="","",IF(E35="All Stages Closed","",IF(E35="S1 Schematic",IF(N35="","Not added",N35),IF(E35="S2 PCB Layout",IF(R35="","Not added",R35),IF(E35="S3 SI &amp; PI",IF(V35="","Not added",V35),IF(E35="S4 Bare-PCB Fab",IF(Z35="","Not added",Z35),IF(E35="S5 Assembly",IF(AD35="","Not added",AD35),IF(E35="S6 Bring-up",IF(AH35="","Not added",AH35),IF(AL35="","Not added",AL35)))))))))</f>
        <v/>
      </c>
      <c r="H35" s="32" t="str">
        <f aca="true">IF($C35="","",IF(OR(F35="Completed",F35="Cancelled"),"",IF(NOT(ISNUMBER(G35)),"No date set",IF(TODAY()&gt;G35,TODAY()-G35&amp;" days late",G35-TODAY()&amp;" days left"))))</f>
        <v/>
      </c>
      <c r="I35" s="31" t="str">
        <f aca="false">IF($C35="","",COUNTIF(M35,"Completed")+COUNTIF(Q35,"Completed")+COUNTIF(U35,"Completed")+COUNTIF(Y35,"Completed")+COUNTIF(AC35,"Completed")+COUNTIF(AG35,"Completed")+COUNTIF(AK35,"Completed"))</f>
        <v/>
      </c>
      <c r="J35" s="31" t="str">
        <f aca="false">IF($C35="","",7-(COUNTIF(M35,"NA")+COUNTIF(Q35,"NA")+COUNTIF(U35,"NA")+COUNTIF(Y35,"NA")+COUNTIF(AC35,"NA")+COUNTIF(AG35,"NA")+COUNTIF(AK35,"NA")))</f>
        <v/>
      </c>
      <c r="K35" s="34" t="str">
        <f aca="false">IFERROR(I35/J35,"")</f>
        <v/>
      </c>
      <c r="L35" s="29"/>
      <c r="M35" s="35"/>
      <c r="N35" s="36"/>
      <c r="O35" s="36"/>
      <c r="P35" s="29"/>
      <c r="Q35" s="35"/>
      <c r="R35" s="36"/>
      <c r="S35" s="36"/>
      <c r="T35" s="29"/>
      <c r="U35" s="35"/>
      <c r="V35" s="36"/>
      <c r="W35" s="36"/>
      <c r="X35" s="29"/>
      <c r="Y35" s="35"/>
      <c r="Z35" s="36"/>
      <c r="AA35" s="36"/>
      <c r="AB35" s="29"/>
      <c r="AC35" s="35"/>
      <c r="AD35" s="36"/>
      <c r="AE35" s="36"/>
      <c r="AF35" s="29"/>
      <c r="AG35" s="35"/>
      <c r="AH35" s="36"/>
      <c r="AI35" s="36"/>
      <c r="AJ35" s="29"/>
      <c r="AK35" s="35"/>
      <c r="AL35" s="36"/>
      <c r="AM35" s="36"/>
      <c r="AN35" s="29"/>
      <c r="AO35" s="29"/>
      <c r="AP35" s="29"/>
      <c r="AQ35" s="37"/>
      <c r="AR35" s="39" t="str">
        <f aca="false">IF(AN35&lt;&gt;"Yes","",IF(AO35="","SELECT RE-ENTRY STAGE","MOVE TO ACTIVE at "&amp;AO35))</f>
        <v/>
      </c>
      <c r="AS35" s="40" t="str">
        <f aca="false">IF(AN35="Yes",COUNTIF($AN$6:AN35,"Yes"),"")</f>
        <v/>
      </c>
      <c r="AT35" s="29"/>
      <c r="AU35" s="38" t="str">
        <f aca="false">IF($C35="","",IF(OR(F35="Completed",F35="Cancelled"),"",IF(AND(OR(F35="On Hold",ISNUMBER(VALUE(LEFT(H35,2)))),AT35=""),"Reason not given","")))</f>
        <v/>
      </c>
      <c r="AV35" s="30"/>
      <c r="AW35" s="30"/>
    </row>
    <row r="36" customFormat="false" ht="19.5" hidden="false" customHeight="true" outlineLevel="0" collapsed="false">
      <c r="A36" s="28" t="str">
        <f aca="false">IF($C36="","",COUNTA($C$6:$C36))</f>
        <v/>
      </c>
      <c r="B36" s="29"/>
      <c r="C36" s="30"/>
      <c r="D36" s="29"/>
      <c r="E36" s="31" t="str">
        <f aca="false">IF($C36="","",IF(NOT(OR(M36="Completed",M36="NA",M36="Cancelled")),"S1 Schematic",IF(NOT(OR(Q36="Completed",Q36="NA",Q36="Cancelled")),"S2 PCB Layout",IF(NOT(OR(U36="Completed",U36="NA",U36="Cancelled")),"S3 SI &amp; PI",IF(NOT(OR(Y36="Completed",Y36="NA",Y36="Cancelled")),"S4 Bare-PCB Fab",IF(NOT(OR(AC36="Completed",AC36="NA",AC36="Cancelled")),"S5 Assembly",IF(NOT(OR(AG36="Completed",AG36="NA",AG36="Cancelled")),"S6 Bring-up",IF(NOT(OR(AK36="Completed",AK36="NA",AK36="Cancelled")),"S7 BOM Procurement","All Stages Closed"))))))))</f>
        <v/>
      </c>
      <c r="F36" s="32" t="str">
        <f aca="false">IF($C36="","",IF(COUNTIF(M36,"Cancelled")+COUNTIF(Q36,"Cancelled")+COUNTIF(U36,"Cancelled")+COUNTIF(Y36,"Cancelled")+COUNTIF(AC36,"Cancelled")+COUNTIF(AG36,"Cancelled")+COUNTIF(AK36,"Cancelled")&gt;0,"Cancelled",IF(E36="All Stages Closed","Completed",IF(E36="S1 Schematic",M36,IF(E36="S2 PCB Layout",Q36,IF(E36="S3 SI &amp; PI",U36,IF(E36="S4 Bare-PCB Fab",Y36,IF(E36="S5 Assembly",AC36,IF(E36="S6 Bring-up",AG36,AK36)))))))))</f>
        <v/>
      </c>
      <c r="G36" s="33" t="str">
        <f aca="false">IF($C36="","",IF(E36="All Stages Closed","",IF(E36="S1 Schematic",IF(N36="","Not added",N36),IF(E36="S2 PCB Layout",IF(R36="","Not added",R36),IF(E36="S3 SI &amp; PI",IF(V36="","Not added",V36),IF(E36="S4 Bare-PCB Fab",IF(Z36="","Not added",Z36),IF(E36="S5 Assembly",IF(AD36="","Not added",AD36),IF(E36="S6 Bring-up",IF(AH36="","Not added",AH36),IF(AL36="","Not added",AL36)))))))))</f>
        <v/>
      </c>
      <c r="H36" s="32" t="str">
        <f aca="true">IF($C36="","",IF(OR(F36="Completed",F36="Cancelled"),"",IF(NOT(ISNUMBER(G36)),"No date set",IF(TODAY()&gt;G36,TODAY()-G36&amp;" days late",G36-TODAY()&amp;" days left"))))</f>
        <v/>
      </c>
      <c r="I36" s="31" t="str">
        <f aca="false">IF($C36="","",COUNTIF(M36,"Completed")+COUNTIF(Q36,"Completed")+COUNTIF(U36,"Completed")+COUNTIF(Y36,"Completed")+COUNTIF(AC36,"Completed")+COUNTIF(AG36,"Completed")+COUNTIF(AK36,"Completed"))</f>
        <v/>
      </c>
      <c r="J36" s="31" t="str">
        <f aca="false">IF($C36="","",7-(COUNTIF(M36,"NA")+COUNTIF(Q36,"NA")+COUNTIF(U36,"NA")+COUNTIF(Y36,"NA")+COUNTIF(AC36,"NA")+COUNTIF(AG36,"NA")+COUNTIF(AK36,"NA")))</f>
        <v/>
      </c>
      <c r="K36" s="34" t="str">
        <f aca="false">IFERROR(I36/J36,"")</f>
        <v/>
      </c>
      <c r="L36" s="29"/>
      <c r="M36" s="35"/>
      <c r="N36" s="36"/>
      <c r="O36" s="36"/>
      <c r="P36" s="29"/>
      <c r="Q36" s="35"/>
      <c r="R36" s="36"/>
      <c r="S36" s="36"/>
      <c r="T36" s="29"/>
      <c r="U36" s="35"/>
      <c r="V36" s="36"/>
      <c r="W36" s="36"/>
      <c r="X36" s="29"/>
      <c r="Y36" s="35"/>
      <c r="Z36" s="36"/>
      <c r="AA36" s="36"/>
      <c r="AB36" s="29"/>
      <c r="AC36" s="35"/>
      <c r="AD36" s="36"/>
      <c r="AE36" s="36"/>
      <c r="AF36" s="29"/>
      <c r="AG36" s="35"/>
      <c r="AH36" s="36"/>
      <c r="AI36" s="36"/>
      <c r="AJ36" s="29"/>
      <c r="AK36" s="35"/>
      <c r="AL36" s="36"/>
      <c r="AM36" s="36"/>
      <c r="AN36" s="29"/>
      <c r="AO36" s="29"/>
      <c r="AP36" s="29"/>
      <c r="AQ36" s="37"/>
      <c r="AR36" s="39" t="str">
        <f aca="false">IF(AN36&lt;&gt;"Yes","",IF(AO36="","SELECT RE-ENTRY STAGE","MOVE TO ACTIVE at "&amp;AO36))</f>
        <v/>
      </c>
      <c r="AS36" s="40" t="str">
        <f aca="false">IF(AN36="Yes",COUNTIF($AN$6:AN36,"Yes"),"")</f>
        <v/>
      </c>
      <c r="AT36" s="29"/>
      <c r="AU36" s="38" t="str">
        <f aca="false">IF($C36="","",IF(OR(F36="Completed",F36="Cancelled"),"",IF(AND(OR(F36="On Hold",ISNUMBER(VALUE(LEFT(H36,2)))),AT36=""),"Reason not given","")))</f>
        <v/>
      </c>
      <c r="AV36" s="30"/>
      <c r="AW36" s="30"/>
    </row>
    <row r="37" customFormat="false" ht="19.5" hidden="false" customHeight="true" outlineLevel="0" collapsed="false">
      <c r="A37" s="28" t="str">
        <f aca="false">IF($C37="","",COUNTA($C$6:$C37))</f>
        <v/>
      </c>
      <c r="B37" s="29"/>
      <c r="C37" s="30"/>
      <c r="D37" s="29"/>
      <c r="E37" s="31" t="str">
        <f aca="false">IF($C37="","",IF(NOT(OR(M37="Completed",M37="NA",M37="Cancelled")),"S1 Schematic",IF(NOT(OR(Q37="Completed",Q37="NA",Q37="Cancelled")),"S2 PCB Layout",IF(NOT(OR(U37="Completed",U37="NA",U37="Cancelled")),"S3 SI &amp; PI",IF(NOT(OR(Y37="Completed",Y37="NA",Y37="Cancelled")),"S4 Bare-PCB Fab",IF(NOT(OR(AC37="Completed",AC37="NA",AC37="Cancelled")),"S5 Assembly",IF(NOT(OR(AG37="Completed",AG37="NA",AG37="Cancelled")),"S6 Bring-up",IF(NOT(OR(AK37="Completed",AK37="NA",AK37="Cancelled")),"S7 BOM Procurement","All Stages Closed"))))))))</f>
        <v/>
      </c>
      <c r="F37" s="32" t="str">
        <f aca="false">IF($C37="","",IF(COUNTIF(M37,"Cancelled")+COUNTIF(Q37,"Cancelled")+COUNTIF(U37,"Cancelled")+COUNTIF(Y37,"Cancelled")+COUNTIF(AC37,"Cancelled")+COUNTIF(AG37,"Cancelled")+COUNTIF(AK37,"Cancelled")&gt;0,"Cancelled",IF(E37="All Stages Closed","Completed",IF(E37="S1 Schematic",M37,IF(E37="S2 PCB Layout",Q37,IF(E37="S3 SI &amp; PI",U37,IF(E37="S4 Bare-PCB Fab",Y37,IF(E37="S5 Assembly",AC37,IF(E37="S6 Bring-up",AG37,AK37)))))))))</f>
        <v/>
      </c>
      <c r="G37" s="33" t="str">
        <f aca="false">IF($C37="","",IF(E37="All Stages Closed","",IF(E37="S1 Schematic",IF(N37="","Not added",N37),IF(E37="S2 PCB Layout",IF(R37="","Not added",R37),IF(E37="S3 SI &amp; PI",IF(V37="","Not added",V37),IF(E37="S4 Bare-PCB Fab",IF(Z37="","Not added",Z37),IF(E37="S5 Assembly",IF(AD37="","Not added",AD37),IF(E37="S6 Bring-up",IF(AH37="","Not added",AH37),IF(AL37="","Not added",AL37)))))))))</f>
        <v/>
      </c>
      <c r="H37" s="32" t="str">
        <f aca="true">IF($C37="","",IF(OR(F37="Completed",F37="Cancelled"),"",IF(NOT(ISNUMBER(G37)),"No date set",IF(TODAY()&gt;G37,TODAY()-G37&amp;" days late",G37-TODAY()&amp;" days left"))))</f>
        <v/>
      </c>
      <c r="I37" s="31" t="str">
        <f aca="false">IF($C37="","",COUNTIF(M37,"Completed")+COUNTIF(Q37,"Completed")+COUNTIF(U37,"Completed")+COUNTIF(Y37,"Completed")+COUNTIF(AC37,"Completed")+COUNTIF(AG37,"Completed")+COUNTIF(AK37,"Completed"))</f>
        <v/>
      </c>
      <c r="J37" s="31" t="str">
        <f aca="false">IF($C37="","",7-(COUNTIF(M37,"NA")+COUNTIF(Q37,"NA")+COUNTIF(U37,"NA")+COUNTIF(Y37,"NA")+COUNTIF(AC37,"NA")+COUNTIF(AG37,"NA")+COUNTIF(AK37,"NA")))</f>
        <v/>
      </c>
      <c r="K37" s="34" t="str">
        <f aca="false">IFERROR(I37/J37,"")</f>
        <v/>
      </c>
      <c r="L37" s="29"/>
      <c r="M37" s="35"/>
      <c r="N37" s="36"/>
      <c r="O37" s="36"/>
      <c r="P37" s="29"/>
      <c r="Q37" s="35"/>
      <c r="R37" s="36"/>
      <c r="S37" s="36"/>
      <c r="T37" s="29"/>
      <c r="U37" s="35"/>
      <c r="V37" s="36"/>
      <c r="W37" s="36"/>
      <c r="X37" s="29"/>
      <c r="Y37" s="35"/>
      <c r="Z37" s="36"/>
      <c r="AA37" s="36"/>
      <c r="AB37" s="29"/>
      <c r="AC37" s="35"/>
      <c r="AD37" s="36"/>
      <c r="AE37" s="36"/>
      <c r="AF37" s="29"/>
      <c r="AG37" s="35"/>
      <c r="AH37" s="36"/>
      <c r="AI37" s="36"/>
      <c r="AJ37" s="29"/>
      <c r="AK37" s="35"/>
      <c r="AL37" s="36"/>
      <c r="AM37" s="36"/>
      <c r="AN37" s="29"/>
      <c r="AO37" s="29"/>
      <c r="AP37" s="29"/>
      <c r="AQ37" s="37"/>
      <c r="AR37" s="39" t="str">
        <f aca="false">IF(AN37&lt;&gt;"Yes","",IF(AO37="","SELECT RE-ENTRY STAGE","MOVE TO ACTIVE at "&amp;AO37))</f>
        <v/>
      </c>
      <c r="AS37" s="40" t="str">
        <f aca="false">IF(AN37="Yes",COUNTIF($AN$6:AN37,"Yes"),"")</f>
        <v/>
      </c>
      <c r="AT37" s="29"/>
      <c r="AU37" s="38" t="str">
        <f aca="false">IF($C37="","",IF(OR(F37="Completed",F37="Cancelled"),"",IF(AND(OR(F37="On Hold",ISNUMBER(VALUE(LEFT(H37,2)))),AT37=""),"Reason not given","")))</f>
        <v/>
      </c>
      <c r="AV37" s="30"/>
      <c r="AW37" s="30"/>
    </row>
    <row r="38" customFormat="false" ht="19.5" hidden="false" customHeight="true" outlineLevel="0" collapsed="false">
      <c r="A38" s="28" t="str">
        <f aca="false">IF($C38="","",COUNTA($C$6:$C38))</f>
        <v/>
      </c>
      <c r="B38" s="29"/>
      <c r="C38" s="30"/>
      <c r="D38" s="29"/>
      <c r="E38" s="31" t="str">
        <f aca="false">IF($C38="","",IF(NOT(OR(M38="Completed",M38="NA",M38="Cancelled")),"S1 Schematic",IF(NOT(OR(Q38="Completed",Q38="NA",Q38="Cancelled")),"S2 PCB Layout",IF(NOT(OR(U38="Completed",U38="NA",U38="Cancelled")),"S3 SI &amp; PI",IF(NOT(OR(Y38="Completed",Y38="NA",Y38="Cancelled")),"S4 Bare-PCB Fab",IF(NOT(OR(AC38="Completed",AC38="NA",AC38="Cancelled")),"S5 Assembly",IF(NOT(OR(AG38="Completed",AG38="NA",AG38="Cancelled")),"S6 Bring-up",IF(NOT(OR(AK38="Completed",AK38="NA",AK38="Cancelled")),"S7 BOM Procurement","All Stages Closed"))))))))</f>
        <v/>
      </c>
      <c r="F38" s="32" t="str">
        <f aca="false">IF($C38="","",IF(COUNTIF(M38,"Cancelled")+COUNTIF(Q38,"Cancelled")+COUNTIF(U38,"Cancelled")+COUNTIF(Y38,"Cancelled")+COUNTIF(AC38,"Cancelled")+COUNTIF(AG38,"Cancelled")+COUNTIF(AK38,"Cancelled")&gt;0,"Cancelled",IF(E38="All Stages Closed","Completed",IF(E38="S1 Schematic",M38,IF(E38="S2 PCB Layout",Q38,IF(E38="S3 SI &amp; PI",U38,IF(E38="S4 Bare-PCB Fab",Y38,IF(E38="S5 Assembly",AC38,IF(E38="S6 Bring-up",AG38,AK38)))))))))</f>
        <v/>
      </c>
      <c r="G38" s="33" t="str">
        <f aca="false">IF($C38="","",IF(E38="All Stages Closed","",IF(E38="S1 Schematic",IF(N38="","Not added",N38),IF(E38="S2 PCB Layout",IF(R38="","Not added",R38),IF(E38="S3 SI &amp; PI",IF(V38="","Not added",V38),IF(E38="S4 Bare-PCB Fab",IF(Z38="","Not added",Z38),IF(E38="S5 Assembly",IF(AD38="","Not added",AD38),IF(E38="S6 Bring-up",IF(AH38="","Not added",AH38),IF(AL38="","Not added",AL38)))))))))</f>
        <v/>
      </c>
      <c r="H38" s="32" t="str">
        <f aca="true">IF($C38="","",IF(OR(F38="Completed",F38="Cancelled"),"",IF(NOT(ISNUMBER(G38)),"No date set",IF(TODAY()&gt;G38,TODAY()-G38&amp;" days late",G38-TODAY()&amp;" days left"))))</f>
        <v/>
      </c>
      <c r="I38" s="31" t="str">
        <f aca="false">IF($C38="","",COUNTIF(M38,"Completed")+COUNTIF(Q38,"Completed")+COUNTIF(U38,"Completed")+COUNTIF(Y38,"Completed")+COUNTIF(AC38,"Completed")+COUNTIF(AG38,"Completed")+COUNTIF(AK38,"Completed"))</f>
        <v/>
      </c>
      <c r="J38" s="31" t="str">
        <f aca="false">IF($C38="","",7-(COUNTIF(M38,"NA")+COUNTIF(Q38,"NA")+COUNTIF(U38,"NA")+COUNTIF(Y38,"NA")+COUNTIF(AC38,"NA")+COUNTIF(AG38,"NA")+COUNTIF(AK38,"NA")))</f>
        <v/>
      </c>
      <c r="K38" s="34" t="str">
        <f aca="false">IFERROR(I38/J38,"")</f>
        <v/>
      </c>
      <c r="L38" s="29"/>
      <c r="M38" s="35"/>
      <c r="N38" s="36"/>
      <c r="O38" s="36"/>
      <c r="P38" s="29"/>
      <c r="Q38" s="35"/>
      <c r="R38" s="36"/>
      <c r="S38" s="36"/>
      <c r="T38" s="29"/>
      <c r="U38" s="35"/>
      <c r="V38" s="36"/>
      <c r="W38" s="36"/>
      <c r="X38" s="29"/>
      <c r="Y38" s="35"/>
      <c r="Z38" s="36"/>
      <c r="AA38" s="36"/>
      <c r="AB38" s="29"/>
      <c r="AC38" s="35"/>
      <c r="AD38" s="36"/>
      <c r="AE38" s="36"/>
      <c r="AF38" s="29"/>
      <c r="AG38" s="35"/>
      <c r="AH38" s="36"/>
      <c r="AI38" s="36"/>
      <c r="AJ38" s="29"/>
      <c r="AK38" s="35"/>
      <c r="AL38" s="36"/>
      <c r="AM38" s="36"/>
      <c r="AN38" s="29"/>
      <c r="AO38" s="29"/>
      <c r="AP38" s="29"/>
      <c r="AQ38" s="37"/>
      <c r="AR38" s="39" t="str">
        <f aca="false">IF(AN38&lt;&gt;"Yes","",IF(AO38="","SELECT RE-ENTRY STAGE","MOVE TO ACTIVE at "&amp;AO38))</f>
        <v/>
      </c>
      <c r="AS38" s="40" t="str">
        <f aca="false">IF(AN38="Yes",COUNTIF($AN$6:AN38,"Yes"),"")</f>
        <v/>
      </c>
      <c r="AT38" s="29"/>
      <c r="AU38" s="38" t="str">
        <f aca="false">IF($C38="","",IF(OR(F38="Completed",F38="Cancelled"),"",IF(AND(OR(F38="On Hold",ISNUMBER(VALUE(LEFT(H38,2)))),AT38=""),"Reason not given","")))</f>
        <v/>
      </c>
      <c r="AV38" s="30"/>
      <c r="AW38" s="30"/>
    </row>
    <row r="39" customFormat="false" ht="19.5" hidden="false" customHeight="true" outlineLevel="0" collapsed="false">
      <c r="A39" s="28" t="str">
        <f aca="false">IF($C39="","",COUNTA($C$6:$C39))</f>
        <v/>
      </c>
      <c r="B39" s="29"/>
      <c r="C39" s="30"/>
      <c r="D39" s="29"/>
      <c r="E39" s="31" t="str">
        <f aca="false">IF($C39="","",IF(NOT(OR(M39="Completed",M39="NA",M39="Cancelled")),"S1 Schematic",IF(NOT(OR(Q39="Completed",Q39="NA",Q39="Cancelled")),"S2 PCB Layout",IF(NOT(OR(U39="Completed",U39="NA",U39="Cancelled")),"S3 SI &amp; PI",IF(NOT(OR(Y39="Completed",Y39="NA",Y39="Cancelled")),"S4 Bare-PCB Fab",IF(NOT(OR(AC39="Completed",AC39="NA",AC39="Cancelled")),"S5 Assembly",IF(NOT(OR(AG39="Completed",AG39="NA",AG39="Cancelled")),"S6 Bring-up",IF(NOT(OR(AK39="Completed",AK39="NA",AK39="Cancelled")),"S7 BOM Procurement","All Stages Closed"))))))))</f>
        <v/>
      </c>
      <c r="F39" s="32" t="str">
        <f aca="false">IF($C39="","",IF(COUNTIF(M39,"Cancelled")+COUNTIF(Q39,"Cancelled")+COUNTIF(U39,"Cancelled")+COUNTIF(Y39,"Cancelled")+COUNTIF(AC39,"Cancelled")+COUNTIF(AG39,"Cancelled")+COUNTIF(AK39,"Cancelled")&gt;0,"Cancelled",IF(E39="All Stages Closed","Completed",IF(E39="S1 Schematic",M39,IF(E39="S2 PCB Layout",Q39,IF(E39="S3 SI &amp; PI",U39,IF(E39="S4 Bare-PCB Fab",Y39,IF(E39="S5 Assembly",AC39,IF(E39="S6 Bring-up",AG39,AK39)))))))))</f>
        <v/>
      </c>
      <c r="G39" s="33" t="str">
        <f aca="false">IF($C39="","",IF(E39="All Stages Closed","",IF(E39="S1 Schematic",IF(N39="","Not added",N39),IF(E39="S2 PCB Layout",IF(R39="","Not added",R39),IF(E39="S3 SI &amp; PI",IF(V39="","Not added",V39),IF(E39="S4 Bare-PCB Fab",IF(Z39="","Not added",Z39),IF(E39="S5 Assembly",IF(AD39="","Not added",AD39),IF(E39="S6 Bring-up",IF(AH39="","Not added",AH39),IF(AL39="","Not added",AL39)))))))))</f>
        <v/>
      </c>
      <c r="H39" s="32" t="str">
        <f aca="true">IF($C39="","",IF(OR(F39="Completed",F39="Cancelled"),"",IF(NOT(ISNUMBER(G39)),"No date set",IF(TODAY()&gt;G39,TODAY()-G39&amp;" days late",G39-TODAY()&amp;" days left"))))</f>
        <v/>
      </c>
      <c r="I39" s="31" t="str">
        <f aca="false">IF($C39="","",COUNTIF(M39,"Completed")+COUNTIF(Q39,"Completed")+COUNTIF(U39,"Completed")+COUNTIF(Y39,"Completed")+COUNTIF(AC39,"Completed")+COUNTIF(AG39,"Completed")+COUNTIF(AK39,"Completed"))</f>
        <v/>
      </c>
      <c r="J39" s="31" t="str">
        <f aca="false">IF($C39="","",7-(COUNTIF(M39,"NA")+COUNTIF(Q39,"NA")+COUNTIF(U39,"NA")+COUNTIF(Y39,"NA")+COUNTIF(AC39,"NA")+COUNTIF(AG39,"NA")+COUNTIF(AK39,"NA")))</f>
        <v/>
      </c>
      <c r="K39" s="34" t="str">
        <f aca="false">IFERROR(I39/J39,"")</f>
        <v/>
      </c>
      <c r="L39" s="29"/>
      <c r="M39" s="35"/>
      <c r="N39" s="36"/>
      <c r="O39" s="36"/>
      <c r="P39" s="29"/>
      <c r="Q39" s="35"/>
      <c r="R39" s="36"/>
      <c r="S39" s="36"/>
      <c r="T39" s="29"/>
      <c r="U39" s="35"/>
      <c r="V39" s="36"/>
      <c r="W39" s="36"/>
      <c r="X39" s="29"/>
      <c r="Y39" s="35"/>
      <c r="Z39" s="36"/>
      <c r="AA39" s="36"/>
      <c r="AB39" s="29"/>
      <c r="AC39" s="35"/>
      <c r="AD39" s="36"/>
      <c r="AE39" s="36"/>
      <c r="AF39" s="29"/>
      <c r="AG39" s="35"/>
      <c r="AH39" s="36"/>
      <c r="AI39" s="36"/>
      <c r="AJ39" s="29"/>
      <c r="AK39" s="35"/>
      <c r="AL39" s="36"/>
      <c r="AM39" s="36"/>
      <c r="AN39" s="29"/>
      <c r="AO39" s="29"/>
      <c r="AP39" s="29"/>
      <c r="AQ39" s="37"/>
      <c r="AR39" s="39" t="str">
        <f aca="false">IF(AN39&lt;&gt;"Yes","",IF(AO39="","SELECT RE-ENTRY STAGE","MOVE TO ACTIVE at "&amp;AO39))</f>
        <v/>
      </c>
      <c r="AS39" s="40" t="str">
        <f aca="false">IF(AN39="Yes",COUNTIF($AN$6:AN39,"Yes"),"")</f>
        <v/>
      </c>
      <c r="AT39" s="29"/>
      <c r="AU39" s="38" t="str">
        <f aca="false">IF($C39="","",IF(OR(F39="Completed",F39="Cancelled"),"",IF(AND(OR(F39="On Hold",ISNUMBER(VALUE(LEFT(H39,2)))),AT39=""),"Reason not given","")))</f>
        <v/>
      </c>
      <c r="AV39" s="30"/>
      <c r="AW39" s="30"/>
    </row>
    <row r="40" customFormat="false" ht="19.5" hidden="false" customHeight="true" outlineLevel="0" collapsed="false">
      <c r="A40" s="28" t="str">
        <f aca="false">IF($C40="","",COUNTA($C$6:$C40))</f>
        <v/>
      </c>
      <c r="B40" s="29"/>
      <c r="C40" s="30"/>
      <c r="D40" s="29"/>
      <c r="E40" s="31" t="str">
        <f aca="false">IF($C40="","",IF(NOT(OR(M40="Completed",M40="NA",M40="Cancelled")),"S1 Schematic",IF(NOT(OR(Q40="Completed",Q40="NA",Q40="Cancelled")),"S2 PCB Layout",IF(NOT(OR(U40="Completed",U40="NA",U40="Cancelled")),"S3 SI &amp; PI",IF(NOT(OR(Y40="Completed",Y40="NA",Y40="Cancelled")),"S4 Bare-PCB Fab",IF(NOT(OR(AC40="Completed",AC40="NA",AC40="Cancelled")),"S5 Assembly",IF(NOT(OR(AG40="Completed",AG40="NA",AG40="Cancelled")),"S6 Bring-up",IF(NOT(OR(AK40="Completed",AK40="NA",AK40="Cancelled")),"S7 BOM Procurement","All Stages Closed"))))))))</f>
        <v/>
      </c>
      <c r="F40" s="32" t="str">
        <f aca="false">IF($C40="","",IF(COUNTIF(M40,"Cancelled")+COUNTIF(Q40,"Cancelled")+COUNTIF(U40,"Cancelled")+COUNTIF(Y40,"Cancelled")+COUNTIF(AC40,"Cancelled")+COUNTIF(AG40,"Cancelled")+COUNTIF(AK40,"Cancelled")&gt;0,"Cancelled",IF(E40="All Stages Closed","Completed",IF(E40="S1 Schematic",M40,IF(E40="S2 PCB Layout",Q40,IF(E40="S3 SI &amp; PI",U40,IF(E40="S4 Bare-PCB Fab",Y40,IF(E40="S5 Assembly",AC40,IF(E40="S6 Bring-up",AG40,AK40)))))))))</f>
        <v/>
      </c>
      <c r="G40" s="33" t="str">
        <f aca="false">IF($C40="","",IF(E40="All Stages Closed","",IF(E40="S1 Schematic",IF(N40="","Not added",N40),IF(E40="S2 PCB Layout",IF(R40="","Not added",R40),IF(E40="S3 SI &amp; PI",IF(V40="","Not added",V40),IF(E40="S4 Bare-PCB Fab",IF(Z40="","Not added",Z40),IF(E40="S5 Assembly",IF(AD40="","Not added",AD40),IF(E40="S6 Bring-up",IF(AH40="","Not added",AH40),IF(AL40="","Not added",AL40)))))))))</f>
        <v/>
      </c>
      <c r="H40" s="32" t="str">
        <f aca="true">IF($C40="","",IF(OR(F40="Completed",F40="Cancelled"),"",IF(NOT(ISNUMBER(G40)),"No date set",IF(TODAY()&gt;G40,TODAY()-G40&amp;" days late",G40-TODAY()&amp;" days left"))))</f>
        <v/>
      </c>
      <c r="I40" s="31" t="str">
        <f aca="false">IF($C40="","",COUNTIF(M40,"Completed")+COUNTIF(Q40,"Completed")+COUNTIF(U40,"Completed")+COUNTIF(Y40,"Completed")+COUNTIF(AC40,"Completed")+COUNTIF(AG40,"Completed")+COUNTIF(AK40,"Completed"))</f>
        <v/>
      </c>
      <c r="J40" s="31" t="str">
        <f aca="false">IF($C40="","",7-(COUNTIF(M40,"NA")+COUNTIF(Q40,"NA")+COUNTIF(U40,"NA")+COUNTIF(Y40,"NA")+COUNTIF(AC40,"NA")+COUNTIF(AG40,"NA")+COUNTIF(AK40,"NA")))</f>
        <v/>
      </c>
      <c r="K40" s="34" t="str">
        <f aca="false">IFERROR(I40/J40,"")</f>
        <v/>
      </c>
      <c r="L40" s="29"/>
      <c r="M40" s="35"/>
      <c r="N40" s="36"/>
      <c r="O40" s="36"/>
      <c r="P40" s="29"/>
      <c r="Q40" s="35"/>
      <c r="R40" s="36"/>
      <c r="S40" s="36"/>
      <c r="T40" s="29"/>
      <c r="U40" s="35"/>
      <c r="V40" s="36"/>
      <c r="W40" s="36"/>
      <c r="X40" s="29"/>
      <c r="Y40" s="35"/>
      <c r="Z40" s="36"/>
      <c r="AA40" s="36"/>
      <c r="AB40" s="29"/>
      <c r="AC40" s="35"/>
      <c r="AD40" s="36"/>
      <c r="AE40" s="36"/>
      <c r="AF40" s="29"/>
      <c r="AG40" s="35"/>
      <c r="AH40" s="36"/>
      <c r="AI40" s="36"/>
      <c r="AJ40" s="29"/>
      <c r="AK40" s="35"/>
      <c r="AL40" s="36"/>
      <c r="AM40" s="36"/>
      <c r="AN40" s="29"/>
      <c r="AO40" s="29"/>
      <c r="AP40" s="29"/>
      <c r="AQ40" s="37"/>
      <c r="AR40" s="39" t="str">
        <f aca="false">IF(AN40&lt;&gt;"Yes","",IF(AO40="","SELECT RE-ENTRY STAGE","MOVE TO ACTIVE at "&amp;AO40))</f>
        <v/>
      </c>
      <c r="AS40" s="40" t="str">
        <f aca="false">IF(AN40="Yes",COUNTIF($AN$6:AN40,"Yes"),"")</f>
        <v/>
      </c>
      <c r="AT40" s="29"/>
      <c r="AU40" s="38" t="str">
        <f aca="false">IF($C40="","",IF(OR(F40="Completed",F40="Cancelled"),"",IF(AND(OR(F40="On Hold",ISNUMBER(VALUE(LEFT(H40,2)))),AT40=""),"Reason not given","")))</f>
        <v/>
      </c>
      <c r="AV40" s="30"/>
      <c r="AW40" s="30"/>
    </row>
    <row r="41" customFormat="false" ht="19.5" hidden="false" customHeight="true" outlineLevel="0" collapsed="false">
      <c r="A41" s="28" t="str">
        <f aca="false">IF($C41="","",COUNTA($C$6:$C41))</f>
        <v/>
      </c>
      <c r="B41" s="29"/>
      <c r="C41" s="30"/>
      <c r="D41" s="29"/>
      <c r="E41" s="31" t="str">
        <f aca="false">IF($C41="","",IF(NOT(OR(M41="Completed",M41="NA",M41="Cancelled")),"S1 Schematic",IF(NOT(OR(Q41="Completed",Q41="NA",Q41="Cancelled")),"S2 PCB Layout",IF(NOT(OR(U41="Completed",U41="NA",U41="Cancelled")),"S3 SI &amp; PI",IF(NOT(OR(Y41="Completed",Y41="NA",Y41="Cancelled")),"S4 Bare-PCB Fab",IF(NOT(OR(AC41="Completed",AC41="NA",AC41="Cancelled")),"S5 Assembly",IF(NOT(OR(AG41="Completed",AG41="NA",AG41="Cancelled")),"S6 Bring-up",IF(NOT(OR(AK41="Completed",AK41="NA",AK41="Cancelled")),"S7 BOM Procurement","All Stages Closed"))))))))</f>
        <v/>
      </c>
      <c r="F41" s="32" t="str">
        <f aca="false">IF($C41="","",IF(COUNTIF(M41,"Cancelled")+COUNTIF(Q41,"Cancelled")+COUNTIF(U41,"Cancelled")+COUNTIF(Y41,"Cancelled")+COUNTIF(AC41,"Cancelled")+COUNTIF(AG41,"Cancelled")+COUNTIF(AK41,"Cancelled")&gt;0,"Cancelled",IF(E41="All Stages Closed","Completed",IF(E41="S1 Schematic",M41,IF(E41="S2 PCB Layout",Q41,IF(E41="S3 SI &amp; PI",U41,IF(E41="S4 Bare-PCB Fab",Y41,IF(E41="S5 Assembly",AC41,IF(E41="S6 Bring-up",AG41,AK41)))))))))</f>
        <v/>
      </c>
      <c r="G41" s="33" t="str">
        <f aca="false">IF($C41="","",IF(E41="All Stages Closed","",IF(E41="S1 Schematic",IF(N41="","Not added",N41),IF(E41="S2 PCB Layout",IF(R41="","Not added",R41),IF(E41="S3 SI &amp; PI",IF(V41="","Not added",V41),IF(E41="S4 Bare-PCB Fab",IF(Z41="","Not added",Z41),IF(E41="S5 Assembly",IF(AD41="","Not added",AD41),IF(E41="S6 Bring-up",IF(AH41="","Not added",AH41),IF(AL41="","Not added",AL41)))))))))</f>
        <v/>
      </c>
      <c r="H41" s="32" t="str">
        <f aca="true">IF($C41="","",IF(OR(F41="Completed",F41="Cancelled"),"",IF(NOT(ISNUMBER(G41)),"No date set",IF(TODAY()&gt;G41,TODAY()-G41&amp;" days late",G41-TODAY()&amp;" days left"))))</f>
        <v/>
      </c>
      <c r="I41" s="31" t="str">
        <f aca="false">IF($C41="","",COUNTIF(M41,"Completed")+COUNTIF(Q41,"Completed")+COUNTIF(U41,"Completed")+COUNTIF(Y41,"Completed")+COUNTIF(AC41,"Completed")+COUNTIF(AG41,"Completed")+COUNTIF(AK41,"Completed"))</f>
        <v/>
      </c>
      <c r="J41" s="31" t="str">
        <f aca="false">IF($C41="","",7-(COUNTIF(M41,"NA")+COUNTIF(Q41,"NA")+COUNTIF(U41,"NA")+COUNTIF(Y41,"NA")+COUNTIF(AC41,"NA")+COUNTIF(AG41,"NA")+COUNTIF(AK41,"NA")))</f>
        <v/>
      </c>
      <c r="K41" s="34" t="str">
        <f aca="false">IFERROR(I41/J41,"")</f>
        <v/>
      </c>
      <c r="L41" s="29"/>
      <c r="M41" s="35"/>
      <c r="N41" s="36"/>
      <c r="O41" s="36"/>
      <c r="P41" s="29"/>
      <c r="Q41" s="35"/>
      <c r="R41" s="36"/>
      <c r="S41" s="36"/>
      <c r="T41" s="29"/>
      <c r="U41" s="35"/>
      <c r="V41" s="36"/>
      <c r="W41" s="36"/>
      <c r="X41" s="29"/>
      <c r="Y41" s="35"/>
      <c r="Z41" s="36"/>
      <c r="AA41" s="36"/>
      <c r="AB41" s="29"/>
      <c r="AC41" s="35"/>
      <c r="AD41" s="36"/>
      <c r="AE41" s="36"/>
      <c r="AF41" s="29"/>
      <c r="AG41" s="35"/>
      <c r="AH41" s="36"/>
      <c r="AI41" s="36"/>
      <c r="AJ41" s="29"/>
      <c r="AK41" s="35"/>
      <c r="AL41" s="36"/>
      <c r="AM41" s="36"/>
      <c r="AN41" s="29"/>
      <c r="AO41" s="29"/>
      <c r="AP41" s="29"/>
      <c r="AQ41" s="37"/>
      <c r="AR41" s="39" t="str">
        <f aca="false">IF(AN41&lt;&gt;"Yes","",IF(AO41="","SELECT RE-ENTRY STAGE","MOVE TO ACTIVE at "&amp;AO41))</f>
        <v/>
      </c>
      <c r="AS41" s="40" t="str">
        <f aca="false">IF(AN41="Yes",COUNTIF($AN$6:AN41,"Yes"),"")</f>
        <v/>
      </c>
      <c r="AT41" s="29"/>
      <c r="AU41" s="38" t="str">
        <f aca="false">IF($C41="","",IF(OR(F41="Completed",F41="Cancelled"),"",IF(AND(OR(F41="On Hold",ISNUMBER(VALUE(LEFT(H41,2)))),AT41=""),"Reason not given","")))</f>
        <v/>
      </c>
      <c r="AV41" s="30"/>
      <c r="AW41" s="30"/>
    </row>
    <row r="42" customFormat="false" ht="19.5" hidden="false" customHeight="true" outlineLevel="0" collapsed="false">
      <c r="A42" s="28" t="str">
        <f aca="false">IF($C42="","",COUNTA($C$6:$C42))</f>
        <v/>
      </c>
      <c r="B42" s="29"/>
      <c r="C42" s="30"/>
      <c r="D42" s="29"/>
      <c r="E42" s="31" t="str">
        <f aca="false">IF($C42="","",IF(NOT(OR(M42="Completed",M42="NA",M42="Cancelled")),"S1 Schematic",IF(NOT(OR(Q42="Completed",Q42="NA",Q42="Cancelled")),"S2 PCB Layout",IF(NOT(OR(U42="Completed",U42="NA",U42="Cancelled")),"S3 SI &amp; PI",IF(NOT(OR(Y42="Completed",Y42="NA",Y42="Cancelled")),"S4 Bare-PCB Fab",IF(NOT(OR(AC42="Completed",AC42="NA",AC42="Cancelled")),"S5 Assembly",IF(NOT(OR(AG42="Completed",AG42="NA",AG42="Cancelled")),"S6 Bring-up",IF(NOT(OR(AK42="Completed",AK42="NA",AK42="Cancelled")),"S7 BOM Procurement","All Stages Closed"))))))))</f>
        <v/>
      </c>
      <c r="F42" s="32" t="str">
        <f aca="false">IF($C42="","",IF(COUNTIF(M42,"Cancelled")+COUNTIF(Q42,"Cancelled")+COUNTIF(U42,"Cancelled")+COUNTIF(Y42,"Cancelled")+COUNTIF(AC42,"Cancelled")+COUNTIF(AG42,"Cancelled")+COUNTIF(AK42,"Cancelled")&gt;0,"Cancelled",IF(E42="All Stages Closed","Completed",IF(E42="S1 Schematic",M42,IF(E42="S2 PCB Layout",Q42,IF(E42="S3 SI &amp; PI",U42,IF(E42="S4 Bare-PCB Fab",Y42,IF(E42="S5 Assembly",AC42,IF(E42="S6 Bring-up",AG42,AK42)))))))))</f>
        <v/>
      </c>
      <c r="G42" s="33" t="str">
        <f aca="false">IF($C42="","",IF(E42="All Stages Closed","",IF(E42="S1 Schematic",IF(N42="","Not added",N42),IF(E42="S2 PCB Layout",IF(R42="","Not added",R42),IF(E42="S3 SI &amp; PI",IF(V42="","Not added",V42),IF(E42="S4 Bare-PCB Fab",IF(Z42="","Not added",Z42),IF(E42="S5 Assembly",IF(AD42="","Not added",AD42),IF(E42="S6 Bring-up",IF(AH42="","Not added",AH42),IF(AL42="","Not added",AL42)))))))))</f>
        <v/>
      </c>
      <c r="H42" s="32" t="str">
        <f aca="true">IF($C42="","",IF(OR(F42="Completed",F42="Cancelled"),"",IF(NOT(ISNUMBER(G42)),"No date set",IF(TODAY()&gt;G42,TODAY()-G42&amp;" days late",G42-TODAY()&amp;" days left"))))</f>
        <v/>
      </c>
      <c r="I42" s="31" t="str">
        <f aca="false">IF($C42="","",COUNTIF(M42,"Completed")+COUNTIF(Q42,"Completed")+COUNTIF(U42,"Completed")+COUNTIF(Y42,"Completed")+COUNTIF(AC42,"Completed")+COUNTIF(AG42,"Completed")+COUNTIF(AK42,"Completed"))</f>
        <v/>
      </c>
      <c r="J42" s="31" t="str">
        <f aca="false">IF($C42="","",7-(COUNTIF(M42,"NA")+COUNTIF(Q42,"NA")+COUNTIF(U42,"NA")+COUNTIF(Y42,"NA")+COUNTIF(AC42,"NA")+COUNTIF(AG42,"NA")+COUNTIF(AK42,"NA")))</f>
        <v/>
      </c>
      <c r="K42" s="34" t="str">
        <f aca="false">IFERROR(I42/J42,"")</f>
        <v/>
      </c>
      <c r="L42" s="29"/>
      <c r="M42" s="35"/>
      <c r="N42" s="36"/>
      <c r="O42" s="36"/>
      <c r="P42" s="29"/>
      <c r="Q42" s="35"/>
      <c r="R42" s="36"/>
      <c r="S42" s="36"/>
      <c r="T42" s="29"/>
      <c r="U42" s="35"/>
      <c r="V42" s="36"/>
      <c r="W42" s="36"/>
      <c r="X42" s="29"/>
      <c r="Y42" s="35"/>
      <c r="Z42" s="36"/>
      <c r="AA42" s="36"/>
      <c r="AB42" s="29"/>
      <c r="AC42" s="35"/>
      <c r="AD42" s="36"/>
      <c r="AE42" s="36"/>
      <c r="AF42" s="29"/>
      <c r="AG42" s="35"/>
      <c r="AH42" s="36"/>
      <c r="AI42" s="36"/>
      <c r="AJ42" s="29"/>
      <c r="AK42" s="35"/>
      <c r="AL42" s="36"/>
      <c r="AM42" s="36"/>
      <c r="AN42" s="29"/>
      <c r="AO42" s="29"/>
      <c r="AP42" s="29"/>
      <c r="AQ42" s="37"/>
      <c r="AR42" s="39" t="str">
        <f aca="false">IF(AN42&lt;&gt;"Yes","",IF(AO42="","SELECT RE-ENTRY STAGE","MOVE TO ACTIVE at "&amp;AO42))</f>
        <v/>
      </c>
      <c r="AS42" s="40" t="str">
        <f aca="false">IF(AN42="Yes",COUNTIF($AN$6:AN42,"Yes"),"")</f>
        <v/>
      </c>
      <c r="AT42" s="29"/>
      <c r="AU42" s="38" t="str">
        <f aca="false">IF($C42="","",IF(OR(F42="Completed",F42="Cancelled"),"",IF(AND(OR(F42="On Hold",ISNUMBER(VALUE(LEFT(H42,2)))),AT42=""),"Reason not given","")))</f>
        <v/>
      </c>
      <c r="AV42" s="30"/>
      <c r="AW42" s="30"/>
    </row>
    <row r="43" customFormat="false" ht="19.5" hidden="false" customHeight="true" outlineLevel="0" collapsed="false">
      <c r="A43" s="28" t="str">
        <f aca="false">IF($C43="","",COUNTA($C$6:$C43))</f>
        <v/>
      </c>
      <c r="B43" s="29"/>
      <c r="C43" s="30"/>
      <c r="D43" s="29"/>
      <c r="E43" s="31" t="str">
        <f aca="false">IF($C43="","",IF(NOT(OR(M43="Completed",M43="NA",M43="Cancelled")),"S1 Schematic",IF(NOT(OR(Q43="Completed",Q43="NA",Q43="Cancelled")),"S2 PCB Layout",IF(NOT(OR(U43="Completed",U43="NA",U43="Cancelled")),"S3 SI &amp; PI",IF(NOT(OR(Y43="Completed",Y43="NA",Y43="Cancelled")),"S4 Bare-PCB Fab",IF(NOT(OR(AC43="Completed",AC43="NA",AC43="Cancelled")),"S5 Assembly",IF(NOT(OR(AG43="Completed",AG43="NA",AG43="Cancelled")),"S6 Bring-up",IF(NOT(OR(AK43="Completed",AK43="NA",AK43="Cancelled")),"S7 BOM Procurement","All Stages Closed"))))))))</f>
        <v/>
      </c>
      <c r="F43" s="32" t="str">
        <f aca="false">IF($C43="","",IF(COUNTIF(M43,"Cancelled")+COUNTIF(Q43,"Cancelled")+COUNTIF(U43,"Cancelled")+COUNTIF(Y43,"Cancelled")+COUNTIF(AC43,"Cancelled")+COUNTIF(AG43,"Cancelled")+COUNTIF(AK43,"Cancelled")&gt;0,"Cancelled",IF(E43="All Stages Closed","Completed",IF(E43="S1 Schematic",M43,IF(E43="S2 PCB Layout",Q43,IF(E43="S3 SI &amp; PI",U43,IF(E43="S4 Bare-PCB Fab",Y43,IF(E43="S5 Assembly",AC43,IF(E43="S6 Bring-up",AG43,AK43)))))))))</f>
        <v/>
      </c>
      <c r="G43" s="33" t="str">
        <f aca="false">IF($C43="","",IF(E43="All Stages Closed","",IF(E43="S1 Schematic",IF(N43="","Not added",N43),IF(E43="S2 PCB Layout",IF(R43="","Not added",R43),IF(E43="S3 SI &amp; PI",IF(V43="","Not added",V43),IF(E43="S4 Bare-PCB Fab",IF(Z43="","Not added",Z43),IF(E43="S5 Assembly",IF(AD43="","Not added",AD43),IF(E43="S6 Bring-up",IF(AH43="","Not added",AH43),IF(AL43="","Not added",AL43)))))))))</f>
        <v/>
      </c>
      <c r="H43" s="32" t="str">
        <f aca="true">IF($C43="","",IF(OR(F43="Completed",F43="Cancelled"),"",IF(NOT(ISNUMBER(G43)),"No date set",IF(TODAY()&gt;G43,TODAY()-G43&amp;" days late",G43-TODAY()&amp;" days left"))))</f>
        <v/>
      </c>
      <c r="I43" s="31" t="str">
        <f aca="false">IF($C43="","",COUNTIF(M43,"Completed")+COUNTIF(Q43,"Completed")+COUNTIF(U43,"Completed")+COUNTIF(Y43,"Completed")+COUNTIF(AC43,"Completed")+COUNTIF(AG43,"Completed")+COUNTIF(AK43,"Completed"))</f>
        <v/>
      </c>
      <c r="J43" s="31" t="str">
        <f aca="false">IF($C43="","",7-(COUNTIF(M43,"NA")+COUNTIF(Q43,"NA")+COUNTIF(U43,"NA")+COUNTIF(Y43,"NA")+COUNTIF(AC43,"NA")+COUNTIF(AG43,"NA")+COUNTIF(AK43,"NA")))</f>
        <v/>
      </c>
      <c r="K43" s="34" t="str">
        <f aca="false">IFERROR(I43/J43,"")</f>
        <v/>
      </c>
      <c r="L43" s="29"/>
      <c r="M43" s="35"/>
      <c r="N43" s="36"/>
      <c r="O43" s="36"/>
      <c r="P43" s="29"/>
      <c r="Q43" s="35"/>
      <c r="R43" s="36"/>
      <c r="S43" s="36"/>
      <c r="T43" s="29"/>
      <c r="U43" s="35"/>
      <c r="V43" s="36"/>
      <c r="W43" s="36"/>
      <c r="X43" s="29"/>
      <c r="Y43" s="35"/>
      <c r="Z43" s="36"/>
      <c r="AA43" s="36"/>
      <c r="AB43" s="29"/>
      <c r="AC43" s="35"/>
      <c r="AD43" s="36"/>
      <c r="AE43" s="36"/>
      <c r="AF43" s="29"/>
      <c r="AG43" s="35"/>
      <c r="AH43" s="36"/>
      <c r="AI43" s="36"/>
      <c r="AJ43" s="29"/>
      <c r="AK43" s="35"/>
      <c r="AL43" s="36"/>
      <c r="AM43" s="36"/>
      <c r="AN43" s="29"/>
      <c r="AO43" s="29"/>
      <c r="AP43" s="29"/>
      <c r="AQ43" s="37"/>
      <c r="AR43" s="39" t="str">
        <f aca="false">IF(AN43&lt;&gt;"Yes","",IF(AO43="","SELECT RE-ENTRY STAGE","MOVE TO ACTIVE at "&amp;AO43))</f>
        <v/>
      </c>
      <c r="AS43" s="40" t="str">
        <f aca="false">IF(AN43="Yes",COUNTIF($AN$6:AN43,"Yes"),"")</f>
        <v/>
      </c>
      <c r="AT43" s="29"/>
      <c r="AU43" s="38" t="str">
        <f aca="false">IF($C43="","",IF(OR(F43="Completed",F43="Cancelled"),"",IF(AND(OR(F43="On Hold",ISNUMBER(VALUE(LEFT(H43,2)))),AT43=""),"Reason not given","")))</f>
        <v/>
      </c>
      <c r="AV43" s="30"/>
      <c r="AW43" s="30"/>
    </row>
    <row r="44" customFormat="false" ht="19.5" hidden="false" customHeight="true" outlineLevel="0" collapsed="false">
      <c r="A44" s="28" t="str">
        <f aca="false">IF($C44="","",COUNTA($C$6:$C44))</f>
        <v/>
      </c>
      <c r="B44" s="29"/>
      <c r="C44" s="30"/>
      <c r="D44" s="29"/>
      <c r="E44" s="31" t="str">
        <f aca="false">IF($C44="","",IF(NOT(OR(M44="Completed",M44="NA",M44="Cancelled")),"S1 Schematic",IF(NOT(OR(Q44="Completed",Q44="NA",Q44="Cancelled")),"S2 PCB Layout",IF(NOT(OR(U44="Completed",U44="NA",U44="Cancelled")),"S3 SI &amp; PI",IF(NOT(OR(Y44="Completed",Y44="NA",Y44="Cancelled")),"S4 Bare-PCB Fab",IF(NOT(OR(AC44="Completed",AC44="NA",AC44="Cancelled")),"S5 Assembly",IF(NOT(OR(AG44="Completed",AG44="NA",AG44="Cancelled")),"S6 Bring-up",IF(NOT(OR(AK44="Completed",AK44="NA",AK44="Cancelled")),"S7 BOM Procurement","All Stages Closed"))))))))</f>
        <v/>
      </c>
      <c r="F44" s="32" t="str">
        <f aca="false">IF($C44="","",IF(COUNTIF(M44,"Cancelled")+COUNTIF(Q44,"Cancelled")+COUNTIF(U44,"Cancelled")+COUNTIF(Y44,"Cancelled")+COUNTIF(AC44,"Cancelled")+COUNTIF(AG44,"Cancelled")+COUNTIF(AK44,"Cancelled")&gt;0,"Cancelled",IF(E44="All Stages Closed","Completed",IF(E44="S1 Schematic",M44,IF(E44="S2 PCB Layout",Q44,IF(E44="S3 SI &amp; PI",U44,IF(E44="S4 Bare-PCB Fab",Y44,IF(E44="S5 Assembly",AC44,IF(E44="S6 Bring-up",AG44,AK44)))))))))</f>
        <v/>
      </c>
      <c r="G44" s="33" t="str">
        <f aca="false">IF($C44="","",IF(E44="All Stages Closed","",IF(E44="S1 Schematic",IF(N44="","Not added",N44),IF(E44="S2 PCB Layout",IF(R44="","Not added",R44),IF(E44="S3 SI &amp; PI",IF(V44="","Not added",V44),IF(E44="S4 Bare-PCB Fab",IF(Z44="","Not added",Z44),IF(E44="S5 Assembly",IF(AD44="","Not added",AD44),IF(E44="S6 Bring-up",IF(AH44="","Not added",AH44),IF(AL44="","Not added",AL44)))))))))</f>
        <v/>
      </c>
      <c r="H44" s="32" t="str">
        <f aca="true">IF($C44="","",IF(OR(F44="Completed",F44="Cancelled"),"",IF(NOT(ISNUMBER(G44)),"No date set",IF(TODAY()&gt;G44,TODAY()-G44&amp;" days late",G44-TODAY()&amp;" days left"))))</f>
        <v/>
      </c>
      <c r="I44" s="31" t="str">
        <f aca="false">IF($C44="","",COUNTIF(M44,"Completed")+COUNTIF(Q44,"Completed")+COUNTIF(U44,"Completed")+COUNTIF(Y44,"Completed")+COUNTIF(AC44,"Completed")+COUNTIF(AG44,"Completed")+COUNTIF(AK44,"Completed"))</f>
        <v/>
      </c>
      <c r="J44" s="31" t="str">
        <f aca="false">IF($C44="","",7-(COUNTIF(M44,"NA")+COUNTIF(Q44,"NA")+COUNTIF(U44,"NA")+COUNTIF(Y44,"NA")+COUNTIF(AC44,"NA")+COUNTIF(AG44,"NA")+COUNTIF(AK44,"NA")))</f>
        <v/>
      </c>
      <c r="K44" s="34" t="str">
        <f aca="false">IFERROR(I44/J44,"")</f>
        <v/>
      </c>
      <c r="L44" s="29"/>
      <c r="M44" s="35"/>
      <c r="N44" s="36"/>
      <c r="O44" s="36"/>
      <c r="P44" s="29"/>
      <c r="Q44" s="35"/>
      <c r="R44" s="36"/>
      <c r="S44" s="36"/>
      <c r="T44" s="29"/>
      <c r="U44" s="35"/>
      <c r="V44" s="36"/>
      <c r="W44" s="36"/>
      <c r="X44" s="29"/>
      <c r="Y44" s="35"/>
      <c r="Z44" s="36"/>
      <c r="AA44" s="36"/>
      <c r="AB44" s="29"/>
      <c r="AC44" s="35"/>
      <c r="AD44" s="36"/>
      <c r="AE44" s="36"/>
      <c r="AF44" s="29"/>
      <c r="AG44" s="35"/>
      <c r="AH44" s="36"/>
      <c r="AI44" s="36"/>
      <c r="AJ44" s="29"/>
      <c r="AK44" s="35"/>
      <c r="AL44" s="36"/>
      <c r="AM44" s="36"/>
      <c r="AN44" s="29"/>
      <c r="AO44" s="29"/>
      <c r="AP44" s="29"/>
      <c r="AQ44" s="37"/>
      <c r="AR44" s="39" t="str">
        <f aca="false">IF(AN44&lt;&gt;"Yes","",IF(AO44="","SELECT RE-ENTRY STAGE","MOVE TO ACTIVE at "&amp;AO44))</f>
        <v/>
      </c>
      <c r="AS44" s="40" t="str">
        <f aca="false">IF(AN44="Yes",COUNTIF($AN$6:AN44,"Yes"),"")</f>
        <v/>
      </c>
      <c r="AT44" s="29"/>
      <c r="AU44" s="38" t="str">
        <f aca="false">IF($C44="","",IF(OR(F44="Completed",F44="Cancelled"),"",IF(AND(OR(F44="On Hold",ISNUMBER(VALUE(LEFT(H44,2)))),AT44=""),"Reason not given","")))</f>
        <v/>
      </c>
      <c r="AV44" s="30"/>
      <c r="AW44" s="30"/>
    </row>
    <row r="45" customFormat="false" ht="19.5" hidden="false" customHeight="true" outlineLevel="0" collapsed="false">
      <c r="A45" s="28" t="str">
        <f aca="false">IF($C45="","",COUNTA($C$6:$C45))</f>
        <v/>
      </c>
      <c r="B45" s="29"/>
      <c r="C45" s="30"/>
      <c r="D45" s="29"/>
      <c r="E45" s="31" t="str">
        <f aca="false">IF($C45="","",IF(NOT(OR(M45="Completed",M45="NA",M45="Cancelled")),"S1 Schematic",IF(NOT(OR(Q45="Completed",Q45="NA",Q45="Cancelled")),"S2 PCB Layout",IF(NOT(OR(U45="Completed",U45="NA",U45="Cancelled")),"S3 SI &amp; PI",IF(NOT(OR(Y45="Completed",Y45="NA",Y45="Cancelled")),"S4 Bare-PCB Fab",IF(NOT(OR(AC45="Completed",AC45="NA",AC45="Cancelled")),"S5 Assembly",IF(NOT(OR(AG45="Completed",AG45="NA",AG45="Cancelled")),"S6 Bring-up",IF(NOT(OR(AK45="Completed",AK45="NA",AK45="Cancelled")),"S7 BOM Procurement","All Stages Closed"))))))))</f>
        <v/>
      </c>
      <c r="F45" s="32" t="str">
        <f aca="false">IF($C45="","",IF(COUNTIF(M45,"Cancelled")+COUNTIF(Q45,"Cancelled")+COUNTIF(U45,"Cancelled")+COUNTIF(Y45,"Cancelled")+COUNTIF(AC45,"Cancelled")+COUNTIF(AG45,"Cancelled")+COUNTIF(AK45,"Cancelled")&gt;0,"Cancelled",IF(E45="All Stages Closed","Completed",IF(E45="S1 Schematic",M45,IF(E45="S2 PCB Layout",Q45,IF(E45="S3 SI &amp; PI",U45,IF(E45="S4 Bare-PCB Fab",Y45,IF(E45="S5 Assembly",AC45,IF(E45="S6 Bring-up",AG45,AK45)))))))))</f>
        <v/>
      </c>
      <c r="G45" s="33" t="str">
        <f aca="false">IF($C45="","",IF(E45="All Stages Closed","",IF(E45="S1 Schematic",IF(N45="","Not added",N45),IF(E45="S2 PCB Layout",IF(R45="","Not added",R45),IF(E45="S3 SI &amp; PI",IF(V45="","Not added",V45),IF(E45="S4 Bare-PCB Fab",IF(Z45="","Not added",Z45),IF(E45="S5 Assembly",IF(AD45="","Not added",AD45),IF(E45="S6 Bring-up",IF(AH45="","Not added",AH45),IF(AL45="","Not added",AL45)))))))))</f>
        <v/>
      </c>
      <c r="H45" s="32" t="str">
        <f aca="true">IF($C45="","",IF(OR(F45="Completed",F45="Cancelled"),"",IF(NOT(ISNUMBER(G45)),"No date set",IF(TODAY()&gt;G45,TODAY()-G45&amp;" days late",G45-TODAY()&amp;" days left"))))</f>
        <v/>
      </c>
      <c r="I45" s="31" t="str">
        <f aca="false">IF($C45="","",COUNTIF(M45,"Completed")+COUNTIF(Q45,"Completed")+COUNTIF(U45,"Completed")+COUNTIF(Y45,"Completed")+COUNTIF(AC45,"Completed")+COUNTIF(AG45,"Completed")+COUNTIF(AK45,"Completed"))</f>
        <v/>
      </c>
      <c r="J45" s="31" t="str">
        <f aca="false">IF($C45="","",7-(COUNTIF(M45,"NA")+COUNTIF(Q45,"NA")+COUNTIF(U45,"NA")+COUNTIF(Y45,"NA")+COUNTIF(AC45,"NA")+COUNTIF(AG45,"NA")+COUNTIF(AK45,"NA")))</f>
        <v/>
      </c>
      <c r="K45" s="34" t="str">
        <f aca="false">IFERROR(I45/J45,"")</f>
        <v/>
      </c>
      <c r="L45" s="29"/>
      <c r="M45" s="35"/>
      <c r="N45" s="36"/>
      <c r="O45" s="36"/>
      <c r="P45" s="29"/>
      <c r="Q45" s="35"/>
      <c r="R45" s="36"/>
      <c r="S45" s="36"/>
      <c r="T45" s="29"/>
      <c r="U45" s="35"/>
      <c r="V45" s="36"/>
      <c r="W45" s="36"/>
      <c r="X45" s="29"/>
      <c r="Y45" s="35"/>
      <c r="Z45" s="36"/>
      <c r="AA45" s="36"/>
      <c r="AB45" s="29"/>
      <c r="AC45" s="35"/>
      <c r="AD45" s="36"/>
      <c r="AE45" s="36"/>
      <c r="AF45" s="29"/>
      <c r="AG45" s="35"/>
      <c r="AH45" s="36"/>
      <c r="AI45" s="36"/>
      <c r="AJ45" s="29"/>
      <c r="AK45" s="35"/>
      <c r="AL45" s="36"/>
      <c r="AM45" s="36"/>
      <c r="AN45" s="29"/>
      <c r="AO45" s="29"/>
      <c r="AP45" s="29"/>
      <c r="AQ45" s="37"/>
      <c r="AR45" s="39" t="str">
        <f aca="false">IF(AN45&lt;&gt;"Yes","",IF(AO45="","SELECT RE-ENTRY STAGE","MOVE TO ACTIVE at "&amp;AO45))</f>
        <v/>
      </c>
      <c r="AS45" s="40" t="str">
        <f aca="false">IF(AN45="Yes",COUNTIF($AN$6:AN45,"Yes"),"")</f>
        <v/>
      </c>
      <c r="AT45" s="29"/>
      <c r="AU45" s="38" t="str">
        <f aca="false">IF($C45="","",IF(OR(F45="Completed",F45="Cancelled"),"",IF(AND(OR(F45="On Hold",ISNUMBER(VALUE(LEFT(H45,2)))),AT45=""),"Reason not given","")))</f>
        <v/>
      </c>
      <c r="AV45" s="30"/>
      <c r="AW45" s="30"/>
    </row>
    <row r="46" customFormat="false" ht="19.5" hidden="false" customHeight="true" outlineLevel="0" collapsed="false">
      <c r="A46" s="28" t="str">
        <f aca="false">IF($C46="","",COUNTA($C$6:$C46))</f>
        <v/>
      </c>
      <c r="B46" s="29"/>
      <c r="C46" s="30"/>
      <c r="D46" s="29"/>
      <c r="E46" s="31" t="str">
        <f aca="false">IF($C46="","",IF(NOT(OR(M46="Completed",M46="NA",M46="Cancelled")),"S1 Schematic",IF(NOT(OR(Q46="Completed",Q46="NA",Q46="Cancelled")),"S2 PCB Layout",IF(NOT(OR(U46="Completed",U46="NA",U46="Cancelled")),"S3 SI &amp; PI",IF(NOT(OR(Y46="Completed",Y46="NA",Y46="Cancelled")),"S4 Bare-PCB Fab",IF(NOT(OR(AC46="Completed",AC46="NA",AC46="Cancelled")),"S5 Assembly",IF(NOT(OR(AG46="Completed",AG46="NA",AG46="Cancelled")),"S6 Bring-up",IF(NOT(OR(AK46="Completed",AK46="NA",AK46="Cancelled")),"S7 BOM Procurement","All Stages Closed"))))))))</f>
        <v/>
      </c>
      <c r="F46" s="32" t="str">
        <f aca="false">IF($C46="","",IF(COUNTIF(M46,"Cancelled")+COUNTIF(Q46,"Cancelled")+COUNTIF(U46,"Cancelled")+COUNTIF(Y46,"Cancelled")+COUNTIF(AC46,"Cancelled")+COUNTIF(AG46,"Cancelled")+COUNTIF(AK46,"Cancelled")&gt;0,"Cancelled",IF(E46="All Stages Closed","Completed",IF(E46="S1 Schematic",M46,IF(E46="S2 PCB Layout",Q46,IF(E46="S3 SI &amp; PI",U46,IF(E46="S4 Bare-PCB Fab",Y46,IF(E46="S5 Assembly",AC46,IF(E46="S6 Bring-up",AG46,AK46)))))))))</f>
        <v/>
      </c>
      <c r="G46" s="33" t="str">
        <f aca="false">IF($C46="","",IF(E46="All Stages Closed","",IF(E46="S1 Schematic",IF(N46="","Not added",N46),IF(E46="S2 PCB Layout",IF(R46="","Not added",R46),IF(E46="S3 SI &amp; PI",IF(V46="","Not added",V46),IF(E46="S4 Bare-PCB Fab",IF(Z46="","Not added",Z46),IF(E46="S5 Assembly",IF(AD46="","Not added",AD46),IF(E46="S6 Bring-up",IF(AH46="","Not added",AH46),IF(AL46="","Not added",AL46)))))))))</f>
        <v/>
      </c>
      <c r="H46" s="32" t="str">
        <f aca="true">IF($C46="","",IF(OR(F46="Completed",F46="Cancelled"),"",IF(NOT(ISNUMBER(G46)),"No date set",IF(TODAY()&gt;G46,TODAY()-G46&amp;" days late",G46-TODAY()&amp;" days left"))))</f>
        <v/>
      </c>
      <c r="I46" s="31" t="str">
        <f aca="false">IF($C46="","",COUNTIF(M46,"Completed")+COUNTIF(Q46,"Completed")+COUNTIF(U46,"Completed")+COUNTIF(Y46,"Completed")+COUNTIF(AC46,"Completed")+COUNTIF(AG46,"Completed")+COUNTIF(AK46,"Completed"))</f>
        <v/>
      </c>
      <c r="J46" s="31" t="str">
        <f aca="false">IF($C46="","",7-(COUNTIF(M46,"NA")+COUNTIF(Q46,"NA")+COUNTIF(U46,"NA")+COUNTIF(Y46,"NA")+COUNTIF(AC46,"NA")+COUNTIF(AG46,"NA")+COUNTIF(AK46,"NA")))</f>
        <v/>
      </c>
      <c r="K46" s="34" t="str">
        <f aca="false">IFERROR(I46/J46,"")</f>
        <v/>
      </c>
      <c r="L46" s="29"/>
      <c r="M46" s="35"/>
      <c r="N46" s="36"/>
      <c r="O46" s="36"/>
      <c r="P46" s="29"/>
      <c r="Q46" s="35"/>
      <c r="R46" s="36"/>
      <c r="S46" s="36"/>
      <c r="T46" s="29"/>
      <c r="U46" s="35"/>
      <c r="V46" s="36"/>
      <c r="W46" s="36"/>
      <c r="X46" s="29"/>
      <c r="Y46" s="35"/>
      <c r="Z46" s="36"/>
      <c r="AA46" s="36"/>
      <c r="AB46" s="29"/>
      <c r="AC46" s="35"/>
      <c r="AD46" s="36"/>
      <c r="AE46" s="36"/>
      <c r="AF46" s="29"/>
      <c r="AG46" s="35"/>
      <c r="AH46" s="36"/>
      <c r="AI46" s="36"/>
      <c r="AJ46" s="29"/>
      <c r="AK46" s="35"/>
      <c r="AL46" s="36"/>
      <c r="AM46" s="36"/>
      <c r="AN46" s="29"/>
      <c r="AO46" s="29"/>
      <c r="AP46" s="29"/>
      <c r="AQ46" s="37"/>
      <c r="AR46" s="39" t="str">
        <f aca="false">IF(AN46&lt;&gt;"Yes","",IF(AO46="","SELECT RE-ENTRY STAGE","MOVE TO ACTIVE at "&amp;AO46))</f>
        <v/>
      </c>
      <c r="AS46" s="40" t="str">
        <f aca="false">IF(AN46="Yes",COUNTIF($AN$6:AN46,"Yes"),"")</f>
        <v/>
      </c>
      <c r="AT46" s="29"/>
      <c r="AU46" s="38" t="str">
        <f aca="false">IF($C46="","",IF(OR(F46="Completed",F46="Cancelled"),"",IF(AND(OR(F46="On Hold",ISNUMBER(VALUE(LEFT(H46,2)))),AT46=""),"Reason not given","")))</f>
        <v/>
      </c>
      <c r="AV46" s="30"/>
      <c r="AW46" s="30"/>
    </row>
    <row r="47" customFormat="false" ht="19.5" hidden="false" customHeight="true" outlineLevel="0" collapsed="false">
      <c r="A47" s="28" t="str">
        <f aca="false">IF($C47="","",COUNTA($C$6:$C47))</f>
        <v/>
      </c>
      <c r="B47" s="29"/>
      <c r="C47" s="30"/>
      <c r="D47" s="29"/>
      <c r="E47" s="31" t="str">
        <f aca="false">IF($C47="","",IF(NOT(OR(M47="Completed",M47="NA",M47="Cancelled")),"S1 Schematic",IF(NOT(OR(Q47="Completed",Q47="NA",Q47="Cancelled")),"S2 PCB Layout",IF(NOT(OR(U47="Completed",U47="NA",U47="Cancelled")),"S3 SI &amp; PI",IF(NOT(OR(Y47="Completed",Y47="NA",Y47="Cancelled")),"S4 Bare-PCB Fab",IF(NOT(OR(AC47="Completed",AC47="NA",AC47="Cancelled")),"S5 Assembly",IF(NOT(OR(AG47="Completed",AG47="NA",AG47="Cancelled")),"S6 Bring-up",IF(NOT(OR(AK47="Completed",AK47="NA",AK47="Cancelled")),"S7 BOM Procurement","All Stages Closed"))))))))</f>
        <v/>
      </c>
      <c r="F47" s="32" t="str">
        <f aca="false">IF($C47="","",IF(COUNTIF(M47,"Cancelled")+COUNTIF(Q47,"Cancelled")+COUNTIF(U47,"Cancelled")+COUNTIF(Y47,"Cancelled")+COUNTIF(AC47,"Cancelled")+COUNTIF(AG47,"Cancelled")+COUNTIF(AK47,"Cancelled")&gt;0,"Cancelled",IF(E47="All Stages Closed","Completed",IF(E47="S1 Schematic",M47,IF(E47="S2 PCB Layout",Q47,IF(E47="S3 SI &amp; PI",U47,IF(E47="S4 Bare-PCB Fab",Y47,IF(E47="S5 Assembly",AC47,IF(E47="S6 Bring-up",AG47,AK47)))))))))</f>
        <v/>
      </c>
      <c r="G47" s="33" t="str">
        <f aca="false">IF($C47="","",IF(E47="All Stages Closed","",IF(E47="S1 Schematic",IF(N47="","Not added",N47),IF(E47="S2 PCB Layout",IF(R47="","Not added",R47),IF(E47="S3 SI &amp; PI",IF(V47="","Not added",V47),IF(E47="S4 Bare-PCB Fab",IF(Z47="","Not added",Z47),IF(E47="S5 Assembly",IF(AD47="","Not added",AD47),IF(E47="S6 Bring-up",IF(AH47="","Not added",AH47),IF(AL47="","Not added",AL47)))))))))</f>
        <v/>
      </c>
      <c r="H47" s="32" t="str">
        <f aca="true">IF($C47="","",IF(OR(F47="Completed",F47="Cancelled"),"",IF(NOT(ISNUMBER(G47)),"No date set",IF(TODAY()&gt;G47,TODAY()-G47&amp;" days late",G47-TODAY()&amp;" days left"))))</f>
        <v/>
      </c>
      <c r="I47" s="31" t="str">
        <f aca="false">IF($C47="","",COUNTIF(M47,"Completed")+COUNTIF(Q47,"Completed")+COUNTIF(U47,"Completed")+COUNTIF(Y47,"Completed")+COUNTIF(AC47,"Completed")+COUNTIF(AG47,"Completed")+COUNTIF(AK47,"Completed"))</f>
        <v/>
      </c>
      <c r="J47" s="31" t="str">
        <f aca="false">IF($C47="","",7-(COUNTIF(M47,"NA")+COUNTIF(Q47,"NA")+COUNTIF(U47,"NA")+COUNTIF(Y47,"NA")+COUNTIF(AC47,"NA")+COUNTIF(AG47,"NA")+COUNTIF(AK47,"NA")))</f>
        <v/>
      </c>
      <c r="K47" s="34" t="str">
        <f aca="false">IFERROR(I47/J47,"")</f>
        <v/>
      </c>
      <c r="L47" s="29"/>
      <c r="M47" s="35"/>
      <c r="N47" s="36"/>
      <c r="O47" s="36"/>
      <c r="P47" s="29"/>
      <c r="Q47" s="35"/>
      <c r="R47" s="36"/>
      <c r="S47" s="36"/>
      <c r="T47" s="29"/>
      <c r="U47" s="35"/>
      <c r="V47" s="36"/>
      <c r="W47" s="36"/>
      <c r="X47" s="29"/>
      <c r="Y47" s="35"/>
      <c r="Z47" s="36"/>
      <c r="AA47" s="36"/>
      <c r="AB47" s="29"/>
      <c r="AC47" s="35"/>
      <c r="AD47" s="36"/>
      <c r="AE47" s="36"/>
      <c r="AF47" s="29"/>
      <c r="AG47" s="35"/>
      <c r="AH47" s="36"/>
      <c r="AI47" s="36"/>
      <c r="AJ47" s="29"/>
      <c r="AK47" s="35"/>
      <c r="AL47" s="36"/>
      <c r="AM47" s="36"/>
      <c r="AN47" s="29"/>
      <c r="AO47" s="29"/>
      <c r="AP47" s="29"/>
      <c r="AQ47" s="37"/>
      <c r="AR47" s="39" t="str">
        <f aca="false">IF(AN47&lt;&gt;"Yes","",IF(AO47="","SELECT RE-ENTRY STAGE","MOVE TO ACTIVE at "&amp;AO47))</f>
        <v/>
      </c>
      <c r="AS47" s="40" t="str">
        <f aca="false">IF(AN47="Yes",COUNTIF($AN$6:AN47,"Yes"),"")</f>
        <v/>
      </c>
      <c r="AT47" s="29"/>
      <c r="AU47" s="38" t="str">
        <f aca="false">IF($C47="","",IF(OR(F47="Completed",F47="Cancelled"),"",IF(AND(OR(F47="On Hold",ISNUMBER(VALUE(LEFT(H47,2)))),AT47=""),"Reason not given","")))</f>
        <v/>
      </c>
      <c r="AV47" s="30"/>
      <c r="AW47" s="30"/>
    </row>
    <row r="48" customFormat="false" ht="19.5" hidden="false" customHeight="true" outlineLevel="0" collapsed="false">
      <c r="A48" s="28" t="str">
        <f aca="false">IF($C48="","",COUNTA($C$6:$C48))</f>
        <v/>
      </c>
      <c r="B48" s="29"/>
      <c r="C48" s="30"/>
      <c r="D48" s="29"/>
      <c r="E48" s="31" t="str">
        <f aca="false">IF($C48="","",IF(NOT(OR(M48="Completed",M48="NA",M48="Cancelled")),"S1 Schematic",IF(NOT(OR(Q48="Completed",Q48="NA",Q48="Cancelled")),"S2 PCB Layout",IF(NOT(OR(U48="Completed",U48="NA",U48="Cancelled")),"S3 SI &amp; PI",IF(NOT(OR(Y48="Completed",Y48="NA",Y48="Cancelled")),"S4 Bare-PCB Fab",IF(NOT(OR(AC48="Completed",AC48="NA",AC48="Cancelled")),"S5 Assembly",IF(NOT(OR(AG48="Completed",AG48="NA",AG48="Cancelled")),"S6 Bring-up",IF(NOT(OR(AK48="Completed",AK48="NA",AK48="Cancelled")),"S7 BOM Procurement","All Stages Closed"))))))))</f>
        <v/>
      </c>
      <c r="F48" s="32" t="str">
        <f aca="false">IF($C48="","",IF(COUNTIF(M48,"Cancelled")+COUNTIF(Q48,"Cancelled")+COUNTIF(U48,"Cancelled")+COUNTIF(Y48,"Cancelled")+COUNTIF(AC48,"Cancelled")+COUNTIF(AG48,"Cancelled")+COUNTIF(AK48,"Cancelled")&gt;0,"Cancelled",IF(E48="All Stages Closed","Completed",IF(E48="S1 Schematic",M48,IF(E48="S2 PCB Layout",Q48,IF(E48="S3 SI &amp; PI",U48,IF(E48="S4 Bare-PCB Fab",Y48,IF(E48="S5 Assembly",AC48,IF(E48="S6 Bring-up",AG48,AK48)))))))))</f>
        <v/>
      </c>
      <c r="G48" s="33" t="str">
        <f aca="false">IF($C48="","",IF(E48="All Stages Closed","",IF(E48="S1 Schematic",IF(N48="","Not added",N48),IF(E48="S2 PCB Layout",IF(R48="","Not added",R48),IF(E48="S3 SI &amp; PI",IF(V48="","Not added",V48),IF(E48="S4 Bare-PCB Fab",IF(Z48="","Not added",Z48),IF(E48="S5 Assembly",IF(AD48="","Not added",AD48),IF(E48="S6 Bring-up",IF(AH48="","Not added",AH48),IF(AL48="","Not added",AL48)))))))))</f>
        <v/>
      </c>
      <c r="H48" s="32" t="str">
        <f aca="true">IF($C48="","",IF(OR(F48="Completed",F48="Cancelled"),"",IF(NOT(ISNUMBER(G48)),"No date set",IF(TODAY()&gt;G48,TODAY()-G48&amp;" days late",G48-TODAY()&amp;" days left"))))</f>
        <v/>
      </c>
      <c r="I48" s="31" t="str">
        <f aca="false">IF($C48="","",COUNTIF(M48,"Completed")+COUNTIF(Q48,"Completed")+COUNTIF(U48,"Completed")+COUNTIF(Y48,"Completed")+COUNTIF(AC48,"Completed")+COUNTIF(AG48,"Completed")+COUNTIF(AK48,"Completed"))</f>
        <v/>
      </c>
      <c r="J48" s="31" t="str">
        <f aca="false">IF($C48="","",7-(COUNTIF(M48,"NA")+COUNTIF(Q48,"NA")+COUNTIF(U48,"NA")+COUNTIF(Y48,"NA")+COUNTIF(AC48,"NA")+COUNTIF(AG48,"NA")+COUNTIF(AK48,"NA")))</f>
        <v/>
      </c>
      <c r="K48" s="34" t="str">
        <f aca="false">IFERROR(I48/J48,"")</f>
        <v/>
      </c>
      <c r="L48" s="29"/>
      <c r="M48" s="35"/>
      <c r="N48" s="36"/>
      <c r="O48" s="36"/>
      <c r="P48" s="29"/>
      <c r="Q48" s="35"/>
      <c r="R48" s="36"/>
      <c r="S48" s="36"/>
      <c r="T48" s="29"/>
      <c r="U48" s="35"/>
      <c r="V48" s="36"/>
      <c r="W48" s="36"/>
      <c r="X48" s="29"/>
      <c r="Y48" s="35"/>
      <c r="Z48" s="36"/>
      <c r="AA48" s="36"/>
      <c r="AB48" s="29"/>
      <c r="AC48" s="35"/>
      <c r="AD48" s="36"/>
      <c r="AE48" s="36"/>
      <c r="AF48" s="29"/>
      <c r="AG48" s="35"/>
      <c r="AH48" s="36"/>
      <c r="AI48" s="36"/>
      <c r="AJ48" s="29"/>
      <c r="AK48" s="35"/>
      <c r="AL48" s="36"/>
      <c r="AM48" s="36"/>
      <c r="AN48" s="29"/>
      <c r="AO48" s="29"/>
      <c r="AP48" s="29"/>
      <c r="AQ48" s="37"/>
      <c r="AR48" s="39" t="str">
        <f aca="false">IF(AN48&lt;&gt;"Yes","",IF(AO48="","SELECT RE-ENTRY STAGE","MOVE TO ACTIVE at "&amp;AO48))</f>
        <v/>
      </c>
      <c r="AS48" s="40" t="str">
        <f aca="false">IF(AN48="Yes",COUNTIF($AN$6:AN48,"Yes"),"")</f>
        <v/>
      </c>
      <c r="AT48" s="29"/>
      <c r="AU48" s="38" t="str">
        <f aca="false">IF($C48="","",IF(OR(F48="Completed",F48="Cancelled"),"",IF(AND(OR(F48="On Hold",ISNUMBER(VALUE(LEFT(H48,2)))),AT48=""),"Reason not given","")))</f>
        <v/>
      </c>
      <c r="AV48" s="30"/>
      <c r="AW48" s="30"/>
    </row>
    <row r="49" customFormat="false" ht="19.5" hidden="false" customHeight="true" outlineLevel="0" collapsed="false">
      <c r="A49" s="28" t="str">
        <f aca="false">IF($C49="","",COUNTA($C$6:$C49))</f>
        <v/>
      </c>
      <c r="B49" s="29"/>
      <c r="C49" s="30"/>
      <c r="D49" s="29"/>
      <c r="E49" s="31" t="str">
        <f aca="false">IF($C49="","",IF(NOT(OR(M49="Completed",M49="NA",M49="Cancelled")),"S1 Schematic",IF(NOT(OR(Q49="Completed",Q49="NA",Q49="Cancelled")),"S2 PCB Layout",IF(NOT(OR(U49="Completed",U49="NA",U49="Cancelled")),"S3 SI &amp; PI",IF(NOT(OR(Y49="Completed",Y49="NA",Y49="Cancelled")),"S4 Bare-PCB Fab",IF(NOT(OR(AC49="Completed",AC49="NA",AC49="Cancelled")),"S5 Assembly",IF(NOT(OR(AG49="Completed",AG49="NA",AG49="Cancelled")),"S6 Bring-up",IF(NOT(OR(AK49="Completed",AK49="NA",AK49="Cancelled")),"S7 BOM Procurement","All Stages Closed"))))))))</f>
        <v/>
      </c>
      <c r="F49" s="32" t="str">
        <f aca="false">IF($C49="","",IF(COUNTIF(M49,"Cancelled")+COUNTIF(Q49,"Cancelled")+COUNTIF(U49,"Cancelled")+COUNTIF(Y49,"Cancelled")+COUNTIF(AC49,"Cancelled")+COUNTIF(AG49,"Cancelled")+COUNTIF(AK49,"Cancelled")&gt;0,"Cancelled",IF(E49="All Stages Closed","Completed",IF(E49="S1 Schematic",M49,IF(E49="S2 PCB Layout",Q49,IF(E49="S3 SI &amp; PI",U49,IF(E49="S4 Bare-PCB Fab",Y49,IF(E49="S5 Assembly",AC49,IF(E49="S6 Bring-up",AG49,AK49)))))))))</f>
        <v/>
      </c>
      <c r="G49" s="33" t="str">
        <f aca="false">IF($C49="","",IF(E49="All Stages Closed","",IF(E49="S1 Schematic",IF(N49="","Not added",N49),IF(E49="S2 PCB Layout",IF(R49="","Not added",R49),IF(E49="S3 SI &amp; PI",IF(V49="","Not added",V49),IF(E49="S4 Bare-PCB Fab",IF(Z49="","Not added",Z49),IF(E49="S5 Assembly",IF(AD49="","Not added",AD49),IF(E49="S6 Bring-up",IF(AH49="","Not added",AH49),IF(AL49="","Not added",AL49)))))))))</f>
        <v/>
      </c>
      <c r="H49" s="32" t="str">
        <f aca="true">IF($C49="","",IF(OR(F49="Completed",F49="Cancelled"),"",IF(NOT(ISNUMBER(G49)),"No date set",IF(TODAY()&gt;G49,TODAY()-G49&amp;" days late",G49-TODAY()&amp;" days left"))))</f>
        <v/>
      </c>
      <c r="I49" s="31" t="str">
        <f aca="false">IF($C49="","",COUNTIF(M49,"Completed")+COUNTIF(Q49,"Completed")+COUNTIF(U49,"Completed")+COUNTIF(Y49,"Completed")+COUNTIF(AC49,"Completed")+COUNTIF(AG49,"Completed")+COUNTIF(AK49,"Completed"))</f>
        <v/>
      </c>
      <c r="J49" s="31" t="str">
        <f aca="false">IF($C49="","",7-(COUNTIF(M49,"NA")+COUNTIF(Q49,"NA")+COUNTIF(U49,"NA")+COUNTIF(Y49,"NA")+COUNTIF(AC49,"NA")+COUNTIF(AG49,"NA")+COUNTIF(AK49,"NA")))</f>
        <v/>
      </c>
      <c r="K49" s="34" t="str">
        <f aca="false">IFERROR(I49/J49,"")</f>
        <v/>
      </c>
      <c r="L49" s="29"/>
      <c r="M49" s="35"/>
      <c r="N49" s="36"/>
      <c r="O49" s="36"/>
      <c r="P49" s="29"/>
      <c r="Q49" s="35"/>
      <c r="R49" s="36"/>
      <c r="S49" s="36"/>
      <c r="T49" s="29"/>
      <c r="U49" s="35"/>
      <c r="V49" s="36"/>
      <c r="W49" s="36"/>
      <c r="X49" s="29"/>
      <c r="Y49" s="35"/>
      <c r="Z49" s="36"/>
      <c r="AA49" s="36"/>
      <c r="AB49" s="29"/>
      <c r="AC49" s="35"/>
      <c r="AD49" s="36"/>
      <c r="AE49" s="36"/>
      <c r="AF49" s="29"/>
      <c r="AG49" s="35"/>
      <c r="AH49" s="36"/>
      <c r="AI49" s="36"/>
      <c r="AJ49" s="29"/>
      <c r="AK49" s="35"/>
      <c r="AL49" s="36"/>
      <c r="AM49" s="36"/>
      <c r="AN49" s="29"/>
      <c r="AO49" s="29"/>
      <c r="AP49" s="29"/>
      <c r="AQ49" s="37"/>
      <c r="AR49" s="39" t="str">
        <f aca="false">IF(AN49&lt;&gt;"Yes","",IF(AO49="","SELECT RE-ENTRY STAGE","MOVE TO ACTIVE at "&amp;AO49))</f>
        <v/>
      </c>
      <c r="AS49" s="40" t="str">
        <f aca="false">IF(AN49="Yes",COUNTIF($AN$6:AN49,"Yes"),"")</f>
        <v/>
      </c>
      <c r="AT49" s="29"/>
      <c r="AU49" s="38" t="str">
        <f aca="false">IF($C49="","",IF(OR(F49="Completed",F49="Cancelled"),"",IF(AND(OR(F49="On Hold",ISNUMBER(VALUE(LEFT(H49,2)))),AT49=""),"Reason not given","")))</f>
        <v/>
      </c>
      <c r="AV49" s="30"/>
      <c r="AW49" s="30"/>
    </row>
    <row r="50" customFormat="false" ht="19.5" hidden="false" customHeight="true" outlineLevel="0" collapsed="false">
      <c r="A50" s="28" t="str">
        <f aca="false">IF($C50="","",COUNTA($C$6:$C50))</f>
        <v/>
      </c>
      <c r="B50" s="29"/>
      <c r="C50" s="30"/>
      <c r="D50" s="29"/>
      <c r="E50" s="31" t="str">
        <f aca="false">IF($C50="","",IF(NOT(OR(M50="Completed",M50="NA",M50="Cancelled")),"S1 Schematic",IF(NOT(OR(Q50="Completed",Q50="NA",Q50="Cancelled")),"S2 PCB Layout",IF(NOT(OR(U50="Completed",U50="NA",U50="Cancelled")),"S3 SI &amp; PI",IF(NOT(OR(Y50="Completed",Y50="NA",Y50="Cancelled")),"S4 Bare-PCB Fab",IF(NOT(OR(AC50="Completed",AC50="NA",AC50="Cancelled")),"S5 Assembly",IF(NOT(OR(AG50="Completed",AG50="NA",AG50="Cancelled")),"S6 Bring-up",IF(NOT(OR(AK50="Completed",AK50="NA",AK50="Cancelled")),"S7 BOM Procurement","All Stages Closed"))))))))</f>
        <v/>
      </c>
      <c r="F50" s="32" t="str">
        <f aca="false">IF($C50="","",IF(COUNTIF(M50,"Cancelled")+COUNTIF(Q50,"Cancelled")+COUNTIF(U50,"Cancelled")+COUNTIF(Y50,"Cancelled")+COUNTIF(AC50,"Cancelled")+COUNTIF(AG50,"Cancelled")+COUNTIF(AK50,"Cancelled")&gt;0,"Cancelled",IF(E50="All Stages Closed","Completed",IF(E50="S1 Schematic",M50,IF(E50="S2 PCB Layout",Q50,IF(E50="S3 SI &amp; PI",U50,IF(E50="S4 Bare-PCB Fab",Y50,IF(E50="S5 Assembly",AC50,IF(E50="S6 Bring-up",AG50,AK50)))))))))</f>
        <v/>
      </c>
      <c r="G50" s="33" t="str">
        <f aca="false">IF($C50="","",IF(E50="All Stages Closed","",IF(E50="S1 Schematic",IF(N50="","Not added",N50),IF(E50="S2 PCB Layout",IF(R50="","Not added",R50),IF(E50="S3 SI &amp; PI",IF(V50="","Not added",V50),IF(E50="S4 Bare-PCB Fab",IF(Z50="","Not added",Z50),IF(E50="S5 Assembly",IF(AD50="","Not added",AD50),IF(E50="S6 Bring-up",IF(AH50="","Not added",AH50),IF(AL50="","Not added",AL50)))))))))</f>
        <v/>
      </c>
      <c r="H50" s="32" t="str">
        <f aca="true">IF($C50="","",IF(OR(F50="Completed",F50="Cancelled"),"",IF(NOT(ISNUMBER(G50)),"No date set",IF(TODAY()&gt;G50,TODAY()-G50&amp;" days late",G50-TODAY()&amp;" days left"))))</f>
        <v/>
      </c>
      <c r="I50" s="31" t="str">
        <f aca="false">IF($C50="","",COUNTIF(M50,"Completed")+COUNTIF(Q50,"Completed")+COUNTIF(U50,"Completed")+COUNTIF(Y50,"Completed")+COUNTIF(AC50,"Completed")+COUNTIF(AG50,"Completed")+COUNTIF(AK50,"Completed"))</f>
        <v/>
      </c>
      <c r="J50" s="31" t="str">
        <f aca="false">IF($C50="","",7-(COUNTIF(M50,"NA")+COUNTIF(Q50,"NA")+COUNTIF(U50,"NA")+COUNTIF(Y50,"NA")+COUNTIF(AC50,"NA")+COUNTIF(AG50,"NA")+COUNTIF(AK50,"NA")))</f>
        <v/>
      </c>
      <c r="K50" s="34" t="str">
        <f aca="false">IFERROR(I50/J50,"")</f>
        <v/>
      </c>
      <c r="L50" s="29"/>
      <c r="M50" s="35"/>
      <c r="N50" s="36"/>
      <c r="O50" s="36"/>
      <c r="P50" s="29"/>
      <c r="Q50" s="35"/>
      <c r="R50" s="36"/>
      <c r="S50" s="36"/>
      <c r="T50" s="29"/>
      <c r="U50" s="35"/>
      <c r="V50" s="36"/>
      <c r="W50" s="36"/>
      <c r="X50" s="29"/>
      <c r="Y50" s="35"/>
      <c r="Z50" s="36"/>
      <c r="AA50" s="36"/>
      <c r="AB50" s="29"/>
      <c r="AC50" s="35"/>
      <c r="AD50" s="36"/>
      <c r="AE50" s="36"/>
      <c r="AF50" s="29"/>
      <c r="AG50" s="35"/>
      <c r="AH50" s="36"/>
      <c r="AI50" s="36"/>
      <c r="AJ50" s="29"/>
      <c r="AK50" s="35"/>
      <c r="AL50" s="36"/>
      <c r="AM50" s="36"/>
      <c r="AN50" s="29"/>
      <c r="AO50" s="29"/>
      <c r="AP50" s="29"/>
      <c r="AQ50" s="37"/>
      <c r="AR50" s="39" t="str">
        <f aca="false">IF(AN50&lt;&gt;"Yes","",IF(AO50="","SELECT RE-ENTRY STAGE","MOVE TO ACTIVE at "&amp;AO50))</f>
        <v/>
      </c>
      <c r="AS50" s="40" t="str">
        <f aca="false">IF(AN50="Yes",COUNTIF($AN$6:AN50,"Yes"),"")</f>
        <v/>
      </c>
      <c r="AT50" s="29"/>
      <c r="AU50" s="38" t="str">
        <f aca="false">IF($C50="","",IF(OR(F50="Completed",F50="Cancelled"),"",IF(AND(OR(F50="On Hold",ISNUMBER(VALUE(LEFT(H50,2)))),AT50=""),"Reason not given","")))</f>
        <v/>
      </c>
      <c r="AV50" s="30"/>
      <c r="AW50" s="30"/>
    </row>
    <row r="51" customFormat="false" ht="19.5" hidden="false" customHeight="true" outlineLevel="0" collapsed="false">
      <c r="A51" s="28" t="str">
        <f aca="false">IF($C51="","",COUNTA($C$6:$C51))</f>
        <v/>
      </c>
      <c r="B51" s="29"/>
      <c r="C51" s="30"/>
      <c r="D51" s="29"/>
      <c r="E51" s="31" t="str">
        <f aca="false">IF($C51="","",IF(NOT(OR(M51="Completed",M51="NA",M51="Cancelled")),"S1 Schematic",IF(NOT(OR(Q51="Completed",Q51="NA",Q51="Cancelled")),"S2 PCB Layout",IF(NOT(OR(U51="Completed",U51="NA",U51="Cancelled")),"S3 SI &amp; PI",IF(NOT(OR(Y51="Completed",Y51="NA",Y51="Cancelled")),"S4 Bare-PCB Fab",IF(NOT(OR(AC51="Completed",AC51="NA",AC51="Cancelled")),"S5 Assembly",IF(NOT(OR(AG51="Completed",AG51="NA",AG51="Cancelled")),"S6 Bring-up",IF(NOT(OR(AK51="Completed",AK51="NA",AK51="Cancelled")),"S7 BOM Procurement","All Stages Closed"))))))))</f>
        <v/>
      </c>
      <c r="F51" s="32" t="str">
        <f aca="false">IF($C51="","",IF(COUNTIF(M51,"Cancelled")+COUNTIF(Q51,"Cancelled")+COUNTIF(U51,"Cancelled")+COUNTIF(Y51,"Cancelled")+COUNTIF(AC51,"Cancelled")+COUNTIF(AG51,"Cancelled")+COUNTIF(AK51,"Cancelled")&gt;0,"Cancelled",IF(E51="All Stages Closed","Completed",IF(E51="S1 Schematic",M51,IF(E51="S2 PCB Layout",Q51,IF(E51="S3 SI &amp; PI",U51,IF(E51="S4 Bare-PCB Fab",Y51,IF(E51="S5 Assembly",AC51,IF(E51="S6 Bring-up",AG51,AK51)))))))))</f>
        <v/>
      </c>
      <c r="G51" s="33" t="str">
        <f aca="false">IF($C51="","",IF(E51="All Stages Closed","",IF(E51="S1 Schematic",IF(N51="","Not added",N51),IF(E51="S2 PCB Layout",IF(R51="","Not added",R51),IF(E51="S3 SI &amp; PI",IF(V51="","Not added",V51),IF(E51="S4 Bare-PCB Fab",IF(Z51="","Not added",Z51),IF(E51="S5 Assembly",IF(AD51="","Not added",AD51),IF(E51="S6 Bring-up",IF(AH51="","Not added",AH51),IF(AL51="","Not added",AL51)))))))))</f>
        <v/>
      </c>
      <c r="H51" s="32" t="str">
        <f aca="true">IF($C51="","",IF(OR(F51="Completed",F51="Cancelled"),"",IF(NOT(ISNUMBER(G51)),"No date set",IF(TODAY()&gt;G51,TODAY()-G51&amp;" days late",G51-TODAY()&amp;" days left"))))</f>
        <v/>
      </c>
      <c r="I51" s="31" t="str">
        <f aca="false">IF($C51="","",COUNTIF(M51,"Completed")+COUNTIF(Q51,"Completed")+COUNTIF(U51,"Completed")+COUNTIF(Y51,"Completed")+COUNTIF(AC51,"Completed")+COUNTIF(AG51,"Completed")+COUNTIF(AK51,"Completed"))</f>
        <v/>
      </c>
      <c r="J51" s="31" t="str">
        <f aca="false">IF($C51="","",7-(COUNTIF(M51,"NA")+COUNTIF(Q51,"NA")+COUNTIF(U51,"NA")+COUNTIF(Y51,"NA")+COUNTIF(AC51,"NA")+COUNTIF(AG51,"NA")+COUNTIF(AK51,"NA")))</f>
        <v/>
      </c>
      <c r="K51" s="34" t="str">
        <f aca="false">IFERROR(I51/J51,"")</f>
        <v/>
      </c>
      <c r="L51" s="29"/>
      <c r="M51" s="35"/>
      <c r="N51" s="36"/>
      <c r="O51" s="36"/>
      <c r="P51" s="29"/>
      <c r="Q51" s="35"/>
      <c r="R51" s="36"/>
      <c r="S51" s="36"/>
      <c r="T51" s="29"/>
      <c r="U51" s="35"/>
      <c r="V51" s="36"/>
      <c r="W51" s="36"/>
      <c r="X51" s="29"/>
      <c r="Y51" s="35"/>
      <c r="Z51" s="36"/>
      <c r="AA51" s="36"/>
      <c r="AB51" s="29"/>
      <c r="AC51" s="35"/>
      <c r="AD51" s="36"/>
      <c r="AE51" s="36"/>
      <c r="AF51" s="29"/>
      <c r="AG51" s="35"/>
      <c r="AH51" s="36"/>
      <c r="AI51" s="36"/>
      <c r="AJ51" s="29"/>
      <c r="AK51" s="35"/>
      <c r="AL51" s="36"/>
      <c r="AM51" s="36"/>
      <c r="AN51" s="29"/>
      <c r="AO51" s="29"/>
      <c r="AP51" s="29"/>
      <c r="AQ51" s="37"/>
      <c r="AR51" s="39" t="str">
        <f aca="false">IF(AN51&lt;&gt;"Yes","",IF(AO51="","SELECT RE-ENTRY STAGE","MOVE TO ACTIVE at "&amp;AO51))</f>
        <v/>
      </c>
      <c r="AS51" s="40" t="str">
        <f aca="false">IF(AN51="Yes",COUNTIF($AN$6:AN51,"Yes"),"")</f>
        <v/>
      </c>
      <c r="AT51" s="29"/>
      <c r="AU51" s="38" t="str">
        <f aca="false">IF($C51="","",IF(OR(F51="Completed",F51="Cancelled"),"",IF(AND(OR(F51="On Hold",ISNUMBER(VALUE(LEFT(H51,2)))),AT51=""),"Reason not given","")))</f>
        <v/>
      </c>
      <c r="AV51" s="30"/>
      <c r="AW51" s="30"/>
    </row>
    <row r="52" customFormat="false" ht="19.5" hidden="false" customHeight="true" outlineLevel="0" collapsed="false">
      <c r="A52" s="28" t="str">
        <f aca="false">IF($C52="","",COUNTA($C$6:$C52))</f>
        <v/>
      </c>
      <c r="B52" s="29"/>
      <c r="C52" s="30"/>
      <c r="D52" s="29"/>
      <c r="E52" s="31" t="str">
        <f aca="false">IF($C52="","",IF(NOT(OR(M52="Completed",M52="NA",M52="Cancelled")),"S1 Schematic",IF(NOT(OR(Q52="Completed",Q52="NA",Q52="Cancelled")),"S2 PCB Layout",IF(NOT(OR(U52="Completed",U52="NA",U52="Cancelled")),"S3 SI &amp; PI",IF(NOT(OR(Y52="Completed",Y52="NA",Y52="Cancelled")),"S4 Bare-PCB Fab",IF(NOT(OR(AC52="Completed",AC52="NA",AC52="Cancelled")),"S5 Assembly",IF(NOT(OR(AG52="Completed",AG52="NA",AG52="Cancelled")),"S6 Bring-up",IF(NOT(OR(AK52="Completed",AK52="NA",AK52="Cancelled")),"S7 BOM Procurement","All Stages Closed"))))))))</f>
        <v/>
      </c>
      <c r="F52" s="32" t="str">
        <f aca="false">IF($C52="","",IF(COUNTIF(M52,"Cancelled")+COUNTIF(Q52,"Cancelled")+COUNTIF(U52,"Cancelled")+COUNTIF(Y52,"Cancelled")+COUNTIF(AC52,"Cancelled")+COUNTIF(AG52,"Cancelled")+COUNTIF(AK52,"Cancelled")&gt;0,"Cancelled",IF(E52="All Stages Closed","Completed",IF(E52="S1 Schematic",M52,IF(E52="S2 PCB Layout",Q52,IF(E52="S3 SI &amp; PI",U52,IF(E52="S4 Bare-PCB Fab",Y52,IF(E52="S5 Assembly",AC52,IF(E52="S6 Bring-up",AG52,AK52)))))))))</f>
        <v/>
      </c>
      <c r="G52" s="33" t="str">
        <f aca="false">IF($C52="","",IF(E52="All Stages Closed","",IF(E52="S1 Schematic",IF(N52="","Not added",N52),IF(E52="S2 PCB Layout",IF(R52="","Not added",R52),IF(E52="S3 SI &amp; PI",IF(V52="","Not added",V52),IF(E52="S4 Bare-PCB Fab",IF(Z52="","Not added",Z52),IF(E52="S5 Assembly",IF(AD52="","Not added",AD52),IF(E52="S6 Bring-up",IF(AH52="","Not added",AH52),IF(AL52="","Not added",AL52)))))))))</f>
        <v/>
      </c>
      <c r="H52" s="32" t="str">
        <f aca="true">IF($C52="","",IF(OR(F52="Completed",F52="Cancelled"),"",IF(NOT(ISNUMBER(G52)),"No date set",IF(TODAY()&gt;G52,TODAY()-G52&amp;" days late",G52-TODAY()&amp;" days left"))))</f>
        <v/>
      </c>
      <c r="I52" s="31" t="str">
        <f aca="false">IF($C52="","",COUNTIF(M52,"Completed")+COUNTIF(Q52,"Completed")+COUNTIF(U52,"Completed")+COUNTIF(Y52,"Completed")+COUNTIF(AC52,"Completed")+COUNTIF(AG52,"Completed")+COUNTIF(AK52,"Completed"))</f>
        <v/>
      </c>
      <c r="J52" s="31" t="str">
        <f aca="false">IF($C52="","",7-(COUNTIF(M52,"NA")+COUNTIF(Q52,"NA")+COUNTIF(U52,"NA")+COUNTIF(Y52,"NA")+COUNTIF(AC52,"NA")+COUNTIF(AG52,"NA")+COUNTIF(AK52,"NA")))</f>
        <v/>
      </c>
      <c r="K52" s="34" t="str">
        <f aca="false">IFERROR(I52/J52,"")</f>
        <v/>
      </c>
      <c r="L52" s="29"/>
      <c r="M52" s="35"/>
      <c r="N52" s="36"/>
      <c r="O52" s="36"/>
      <c r="P52" s="29"/>
      <c r="Q52" s="35"/>
      <c r="R52" s="36"/>
      <c r="S52" s="36"/>
      <c r="T52" s="29"/>
      <c r="U52" s="35"/>
      <c r="V52" s="36"/>
      <c r="W52" s="36"/>
      <c r="X52" s="29"/>
      <c r="Y52" s="35"/>
      <c r="Z52" s="36"/>
      <c r="AA52" s="36"/>
      <c r="AB52" s="29"/>
      <c r="AC52" s="35"/>
      <c r="AD52" s="36"/>
      <c r="AE52" s="36"/>
      <c r="AF52" s="29"/>
      <c r="AG52" s="35"/>
      <c r="AH52" s="36"/>
      <c r="AI52" s="36"/>
      <c r="AJ52" s="29"/>
      <c r="AK52" s="35"/>
      <c r="AL52" s="36"/>
      <c r="AM52" s="36"/>
      <c r="AN52" s="29"/>
      <c r="AO52" s="29"/>
      <c r="AP52" s="29"/>
      <c r="AQ52" s="37"/>
      <c r="AR52" s="39" t="str">
        <f aca="false">IF(AN52&lt;&gt;"Yes","",IF(AO52="","SELECT RE-ENTRY STAGE","MOVE TO ACTIVE at "&amp;AO52))</f>
        <v/>
      </c>
      <c r="AS52" s="40" t="str">
        <f aca="false">IF(AN52="Yes",COUNTIF($AN$6:AN52,"Yes"),"")</f>
        <v/>
      </c>
      <c r="AT52" s="29"/>
      <c r="AU52" s="38" t="str">
        <f aca="false">IF($C52="","",IF(OR(F52="Completed",F52="Cancelled"),"",IF(AND(OR(F52="On Hold",ISNUMBER(VALUE(LEFT(H52,2)))),AT52=""),"Reason not given","")))</f>
        <v/>
      </c>
      <c r="AV52" s="30"/>
      <c r="AW52" s="30"/>
    </row>
    <row r="53" customFormat="false" ht="19.5" hidden="false" customHeight="true" outlineLevel="0" collapsed="false">
      <c r="A53" s="28" t="str">
        <f aca="false">IF($C53="","",COUNTA($C$6:$C53))</f>
        <v/>
      </c>
      <c r="B53" s="29"/>
      <c r="C53" s="30"/>
      <c r="D53" s="29"/>
      <c r="E53" s="31" t="str">
        <f aca="false">IF($C53="","",IF(NOT(OR(M53="Completed",M53="NA",M53="Cancelled")),"S1 Schematic",IF(NOT(OR(Q53="Completed",Q53="NA",Q53="Cancelled")),"S2 PCB Layout",IF(NOT(OR(U53="Completed",U53="NA",U53="Cancelled")),"S3 SI &amp; PI",IF(NOT(OR(Y53="Completed",Y53="NA",Y53="Cancelled")),"S4 Bare-PCB Fab",IF(NOT(OR(AC53="Completed",AC53="NA",AC53="Cancelled")),"S5 Assembly",IF(NOT(OR(AG53="Completed",AG53="NA",AG53="Cancelled")),"S6 Bring-up",IF(NOT(OR(AK53="Completed",AK53="NA",AK53="Cancelled")),"S7 BOM Procurement","All Stages Closed"))))))))</f>
        <v/>
      </c>
      <c r="F53" s="32" t="str">
        <f aca="false">IF($C53="","",IF(COUNTIF(M53,"Cancelled")+COUNTIF(Q53,"Cancelled")+COUNTIF(U53,"Cancelled")+COUNTIF(Y53,"Cancelled")+COUNTIF(AC53,"Cancelled")+COUNTIF(AG53,"Cancelled")+COUNTIF(AK53,"Cancelled")&gt;0,"Cancelled",IF(E53="All Stages Closed","Completed",IF(E53="S1 Schematic",M53,IF(E53="S2 PCB Layout",Q53,IF(E53="S3 SI &amp; PI",U53,IF(E53="S4 Bare-PCB Fab",Y53,IF(E53="S5 Assembly",AC53,IF(E53="S6 Bring-up",AG53,AK53)))))))))</f>
        <v/>
      </c>
      <c r="G53" s="33" t="str">
        <f aca="false">IF($C53="","",IF(E53="All Stages Closed","",IF(E53="S1 Schematic",IF(N53="","Not added",N53),IF(E53="S2 PCB Layout",IF(R53="","Not added",R53),IF(E53="S3 SI &amp; PI",IF(V53="","Not added",V53),IF(E53="S4 Bare-PCB Fab",IF(Z53="","Not added",Z53),IF(E53="S5 Assembly",IF(AD53="","Not added",AD53),IF(E53="S6 Bring-up",IF(AH53="","Not added",AH53),IF(AL53="","Not added",AL53)))))))))</f>
        <v/>
      </c>
      <c r="H53" s="32" t="str">
        <f aca="true">IF($C53="","",IF(OR(F53="Completed",F53="Cancelled"),"",IF(NOT(ISNUMBER(G53)),"No date set",IF(TODAY()&gt;G53,TODAY()-G53&amp;" days late",G53-TODAY()&amp;" days left"))))</f>
        <v/>
      </c>
      <c r="I53" s="31" t="str">
        <f aca="false">IF($C53="","",COUNTIF(M53,"Completed")+COUNTIF(Q53,"Completed")+COUNTIF(U53,"Completed")+COUNTIF(Y53,"Completed")+COUNTIF(AC53,"Completed")+COUNTIF(AG53,"Completed")+COUNTIF(AK53,"Completed"))</f>
        <v/>
      </c>
      <c r="J53" s="31" t="str">
        <f aca="false">IF($C53="","",7-(COUNTIF(M53,"NA")+COUNTIF(Q53,"NA")+COUNTIF(U53,"NA")+COUNTIF(Y53,"NA")+COUNTIF(AC53,"NA")+COUNTIF(AG53,"NA")+COUNTIF(AK53,"NA")))</f>
        <v/>
      </c>
      <c r="K53" s="34" t="str">
        <f aca="false">IFERROR(I53/J53,"")</f>
        <v/>
      </c>
      <c r="L53" s="29"/>
      <c r="M53" s="35"/>
      <c r="N53" s="36"/>
      <c r="O53" s="36"/>
      <c r="P53" s="29"/>
      <c r="Q53" s="35"/>
      <c r="R53" s="36"/>
      <c r="S53" s="36"/>
      <c r="T53" s="29"/>
      <c r="U53" s="35"/>
      <c r="V53" s="36"/>
      <c r="W53" s="36"/>
      <c r="X53" s="29"/>
      <c r="Y53" s="35"/>
      <c r="Z53" s="36"/>
      <c r="AA53" s="36"/>
      <c r="AB53" s="29"/>
      <c r="AC53" s="35"/>
      <c r="AD53" s="36"/>
      <c r="AE53" s="36"/>
      <c r="AF53" s="29"/>
      <c r="AG53" s="35"/>
      <c r="AH53" s="36"/>
      <c r="AI53" s="36"/>
      <c r="AJ53" s="29"/>
      <c r="AK53" s="35"/>
      <c r="AL53" s="36"/>
      <c r="AM53" s="36"/>
      <c r="AN53" s="29"/>
      <c r="AO53" s="29"/>
      <c r="AP53" s="29"/>
      <c r="AQ53" s="37"/>
      <c r="AR53" s="39" t="str">
        <f aca="false">IF(AN53&lt;&gt;"Yes","",IF(AO53="","SELECT RE-ENTRY STAGE","MOVE TO ACTIVE at "&amp;AO53))</f>
        <v/>
      </c>
      <c r="AS53" s="40" t="str">
        <f aca="false">IF(AN53="Yes",COUNTIF($AN$6:AN53,"Yes"),"")</f>
        <v/>
      </c>
      <c r="AT53" s="29"/>
      <c r="AU53" s="38" t="str">
        <f aca="false">IF($C53="","",IF(OR(F53="Completed",F53="Cancelled"),"",IF(AND(OR(F53="On Hold",ISNUMBER(VALUE(LEFT(H53,2)))),AT53=""),"Reason not given","")))</f>
        <v/>
      </c>
      <c r="AV53" s="30"/>
      <c r="AW53" s="30"/>
    </row>
    <row r="54" customFormat="false" ht="19.5" hidden="false" customHeight="true" outlineLevel="0" collapsed="false">
      <c r="A54" s="28" t="str">
        <f aca="false">IF($C54="","",COUNTA($C$6:$C54))</f>
        <v/>
      </c>
      <c r="B54" s="29"/>
      <c r="C54" s="30"/>
      <c r="D54" s="29"/>
      <c r="E54" s="31" t="str">
        <f aca="false">IF($C54="","",IF(NOT(OR(M54="Completed",M54="NA",M54="Cancelled")),"S1 Schematic",IF(NOT(OR(Q54="Completed",Q54="NA",Q54="Cancelled")),"S2 PCB Layout",IF(NOT(OR(U54="Completed",U54="NA",U54="Cancelled")),"S3 SI &amp; PI",IF(NOT(OR(Y54="Completed",Y54="NA",Y54="Cancelled")),"S4 Bare-PCB Fab",IF(NOT(OR(AC54="Completed",AC54="NA",AC54="Cancelled")),"S5 Assembly",IF(NOT(OR(AG54="Completed",AG54="NA",AG54="Cancelled")),"S6 Bring-up",IF(NOT(OR(AK54="Completed",AK54="NA",AK54="Cancelled")),"S7 BOM Procurement","All Stages Closed"))))))))</f>
        <v/>
      </c>
      <c r="F54" s="32" t="str">
        <f aca="false">IF($C54="","",IF(COUNTIF(M54,"Cancelled")+COUNTIF(Q54,"Cancelled")+COUNTIF(U54,"Cancelled")+COUNTIF(Y54,"Cancelled")+COUNTIF(AC54,"Cancelled")+COUNTIF(AG54,"Cancelled")+COUNTIF(AK54,"Cancelled")&gt;0,"Cancelled",IF(E54="All Stages Closed","Completed",IF(E54="S1 Schematic",M54,IF(E54="S2 PCB Layout",Q54,IF(E54="S3 SI &amp; PI",U54,IF(E54="S4 Bare-PCB Fab",Y54,IF(E54="S5 Assembly",AC54,IF(E54="S6 Bring-up",AG54,AK54)))))))))</f>
        <v/>
      </c>
      <c r="G54" s="33" t="str">
        <f aca="false">IF($C54="","",IF(E54="All Stages Closed","",IF(E54="S1 Schematic",IF(N54="","Not added",N54),IF(E54="S2 PCB Layout",IF(R54="","Not added",R54),IF(E54="S3 SI &amp; PI",IF(V54="","Not added",V54),IF(E54="S4 Bare-PCB Fab",IF(Z54="","Not added",Z54),IF(E54="S5 Assembly",IF(AD54="","Not added",AD54),IF(E54="S6 Bring-up",IF(AH54="","Not added",AH54),IF(AL54="","Not added",AL54)))))))))</f>
        <v/>
      </c>
      <c r="H54" s="32" t="str">
        <f aca="true">IF($C54="","",IF(OR(F54="Completed",F54="Cancelled"),"",IF(NOT(ISNUMBER(G54)),"No date set",IF(TODAY()&gt;G54,TODAY()-G54&amp;" days late",G54-TODAY()&amp;" days left"))))</f>
        <v/>
      </c>
      <c r="I54" s="31" t="str">
        <f aca="false">IF($C54="","",COUNTIF(M54,"Completed")+COUNTIF(Q54,"Completed")+COUNTIF(U54,"Completed")+COUNTIF(Y54,"Completed")+COUNTIF(AC54,"Completed")+COUNTIF(AG54,"Completed")+COUNTIF(AK54,"Completed"))</f>
        <v/>
      </c>
      <c r="J54" s="31" t="str">
        <f aca="false">IF($C54="","",7-(COUNTIF(M54,"NA")+COUNTIF(Q54,"NA")+COUNTIF(U54,"NA")+COUNTIF(Y54,"NA")+COUNTIF(AC54,"NA")+COUNTIF(AG54,"NA")+COUNTIF(AK54,"NA")))</f>
        <v/>
      </c>
      <c r="K54" s="34" t="str">
        <f aca="false">IFERROR(I54/J54,"")</f>
        <v/>
      </c>
      <c r="L54" s="29"/>
      <c r="M54" s="35"/>
      <c r="N54" s="36"/>
      <c r="O54" s="36"/>
      <c r="P54" s="29"/>
      <c r="Q54" s="35"/>
      <c r="R54" s="36"/>
      <c r="S54" s="36"/>
      <c r="T54" s="29"/>
      <c r="U54" s="35"/>
      <c r="V54" s="36"/>
      <c r="W54" s="36"/>
      <c r="X54" s="29"/>
      <c r="Y54" s="35"/>
      <c r="Z54" s="36"/>
      <c r="AA54" s="36"/>
      <c r="AB54" s="29"/>
      <c r="AC54" s="35"/>
      <c r="AD54" s="36"/>
      <c r="AE54" s="36"/>
      <c r="AF54" s="29"/>
      <c r="AG54" s="35"/>
      <c r="AH54" s="36"/>
      <c r="AI54" s="36"/>
      <c r="AJ54" s="29"/>
      <c r="AK54" s="35"/>
      <c r="AL54" s="36"/>
      <c r="AM54" s="36"/>
      <c r="AN54" s="29"/>
      <c r="AO54" s="29"/>
      <c r="AP54" s="29"/>
      <c r="AQ54" s="37"/>
      <c r="AR54" s="39" t="str">
        <f aca="false">IF(AN54&lt;&gt;"Yes","",IF(AO54="","SELECT RE-ENTRY STAGE","MOVE TO ACTIVE at "&amp;AO54))</f>
        <v/>
      </c>
      <c r="AS54" s="40" t="str">
        <f aca="false">IF(AN54="Yes",COUNTIF($AN$6:AN54,"Yes"),"")</f>
        <v/>
      </c>
      <c r="AT54" s="29"/>
      <c r="AU54" s="38" t="str">
        <f aca="false">IF($C54="","",IF(OR(F54="Completed",F54="Cancelled"),"",IF(AND(OR(F54="On Hold",ISNUMBER(VALUE(LEFT(H54,2)))),AT54=""),"Reason not given","")))</f>
        <v/>
      </c>
      <c r="AV54" s="30"/>
      <c r="AW54" s="30"/>
    </row>
    <row r="55" customFormat="false" ht="19.5" hidden="false" customHeight="true" outlineLevel="0" collapsed="false">
      <c r="A55" s="28" t="str">
        <f aca="false">IF($C55="","",COUNTA($C$6:$C55))</f>
        <v/>
      </c>
      <c r="B55" s="29"/>
      <c r="C55" s="30"/>
      <c r="D55" s="29"/>
      <c r="E55" s="31" t="str">
        <f aca="false">IF($C55="","",IF(NOT(OR(M55="Completed",M55="NA",M55="Cancelled")),"S1 Schematic",IF(NOT(OR(Q55="Completed",Q55="NA",Q55="Cancelled")),"S2 PCB Layout",IF(NOT(OR(U55="Completed",U55="NA",U55="Cancelled")),"S3 SI &amp; PI",IF(NOT(OR(Y55="Completed",Y55="NA",Y55="Cancelled")),"S4 Bare-PCB Fab",IF(NOT(OR(AC55="Completed",AC55="NA",AC55="Cancelled")),"S5 Assembly",IF(NOT(OR(AG55="Completed",AG55="NA",AG55="Cancelled")),"S6 Bring-up",IF(NOT(OR(AK55="Completed",AK55="NA",AK55="Cancelled")),"S7 BOM Procurement","All Stages Closed"))))))))</f>
        <v/>
      </c>
      <c r="F55" s="32" t="str">
        <f aca="false">IF($C55="","",IF(COUNTIF(M55,"Cancelled")+COUNTIF(Q55,"Cancelled")+COUNTIF(U55,"Cancelled")+COUNTIF(Y55,"Cancelled")+COUNTIF(AC55,"Cancelled")+COUNTIF(AG55,"Cancelled")+COUNTIF(AK55,"Cancelled")&gt;0,"Cancelled",IF(E55="All Stages Closed","Completed",IF(E55="S1 Schematic",M55,IF(E55="S2 PCB Layout",Q55,IF(E55="S3 SI &amp; PI",U55,IF(E55="S4 Bare-PCB Fab",Y55,IF(E55="S5 Assembly",AC55,IF(E55="S6 Bring-up",AG55,AK55)))))))))</f>
        <v/>
      </c>
      <c r="G55" s="33" t="str">
        <f aca="false">IF($C55="","",IF(E55="All Stages Closed","",IF(E55="S1 Schematic",IF(N55="","Not added",N55),IF(E55="S2 PCB Layout",IF(R55="","Not added",R55),IF(E55="S3 SI &amp; PI",IF(V55="","Not added",V55),IF(E55="S4 Bare-PCB Fab",IF(Z55="","Not added",Z55),IF(E55="S5 Assembly",IF(AD55="","Not added",AD55),IF(E55="S6 Bring-up",IF(AH55="","Not added",AH55),IF(AL55="","Not added",AL55)))))))))</f>
        <v/>
      </c>
      <c r="H55" s="32" t="str">
        <f aca="true">IF($C55="","",IF(OR(F55="Completed",F55="Cancelled"),"",IF(NOT(ISNUMBER(G55)),"No date set",IF(TODAY()&gt;G55,TODAY()-G55&amp;" days late",G55-TODAY()&amp;" days left"))))</f>
        <v/>
      </c>
      <c r="I55" s="31" t="str">
        <f aca="false">IF($C55="","",COUNTIF(M55,"Completed")+COUNTIF(Q55,"Completed")+COUNTIF(U55,"Completed")+COUNTIF(Y55,"Completed")+COUNTIF(AC55,"Completed")+COUNTIF(AG55,"Completed")+COUNTIF(AK55,"Completed"))</f>
        <v/>
      </c>
      <c r="J55" s="31" t="str">
        <f aca="false">IF($C55="","",7-(COUNTIF(M55,"NA")+COUNTIF(Q55,"NA")+COUNTIF(U55,"NA")+COUNTIF(Y55,"NA")+COUNTIF(AC55,"NA")+COUNTIF(AG55,"NA")+COUNTIF(AK55,"NA")))</f>
        <v/>
      </c>
      <c r="K55" s="34" t="str">
        <f aca="false">IFERROR(I55/J55,"")</f>
        <v/>
      </c>
      <c r="L55" s="29"/>
      <c r="M55" s="35"/>
      <c r="N55" s="36"/>
      <c r="O55" s="36"/>
      <c r="P55" s="29"/>
      <c r="Q55" s="35"/>
      <c r="R55" s="36"/>
      <c r="S55" s="36"/>
      <c r="T55" s="29"/>
      <c r="U55" s="35"/>
      <c r="V55" s="36"/>
      <c r="W55" s="36"/>
      <c r="X55" s="29"/>
      <c r="Y55" s="35"/>
      <c r="Z55" s="36"/>
      <c r="AA55" s="36"/>
      <c r="AB55" s="29"/>
      <c r="AC55" s="35"/>
      <c r="AD55" s="36"/>
      <c r="AE55" s="36"/>
      <c r="AF55" s="29"/>
      <c r="AG55" s="35"/>
      <c r="AH55" s="36"/>
      <c r="AI55" s="36"/>
      <c r="AJ55" s="29"/>
      <c r="AK55" s="35"/>
      <c r="AL55" s="36"/>
      <c r="AM55" s="36"/>
      <c r="AN55" s="29"/>
      <c r="AO55" s="29"/>
      <c r="AP55" s="29"/>
      <c r="AQ55" s="37"/>
      <c r="AR55" s="39" t="str">
        <f aca="false">IF(AN55&lt;&gt;"Yes","",IF(AO55="","SELECT RE-ENTRY STAGE","MOVE TO ACTIVE at "&amp;AO55))</f>
        <v/>
      </c>
      <c r="AS55" s="40" t="str">
        <f aca="false">IF(AN55="Yes",COUNTIF($AN$6:AN55,"Yes"),"")</f>
        <v/>
      </c>
      <c r="AT55" s="29"/>
      <c r="AU55" s="38" t="str">
        <f aca="false">IF($C55="","",IF(OR(F55="Completed",F55="Cancelled"),"",IF(AND(OR(F55="On Hold",ISNUMBER(VALUE(LEFT(H55,2)))),AT55=""),"Reason not given","")))</f>
        <v/>
      </c>
      <c r="AV55" s="30"/>
      <c r="AW55" s="30"/>
    </row>
    <row r="56" customFormat="false" ht="19.5" hidden="false" customHeight="true" outlineLevel="0" collapsed="false">
      <c r="A56" s="28" t="str">
        <f aca="false">IF($C56="","",COUNTA($C$6:$C56))</f>
        <v/>
      </c>
      <c r="B56" s="29"/>
      <c r="C56" s="30"/>
      <c r="D56" s="29"/>
      <c r="E56" s="31" t="str">
        <f aca="false">IF($C56="","",IF(NOT(OR(M56="Completed",M56="NA",M56="Cancelled")),"S1 Schematic",IF(NOT(OR(Q56="Completed",Q56="NA",Q56="Cancelled")),"S2 PCB Layout",IF(NOT(OR(U56="Completed",U56="NA",U56="Cancelled")),"S3 SI &amp; PI",IF(NOT(OR(Y56="Completed",Y56="NA",Y56="Cancelled")),"S4 Bare-PCB Fab",IF(NOT(OR(AC56="Completed",AC56="NA",AC56="Cancelled")),"S5 Assembly",IF(NOT(OR(AG56="Completed",AG56="NA",AG56="Cancelled")),"S6 Bring-up",IF(NOT(OR(AK56="Completed",AK56="NA",AK56="Cancelled")),"S7 BOM Procurement","All Stages Closed"))))))))</f>
        <v/>
      </c>
      <c r="F56" s="32" t="str">
        <f aca="false">IF($C56="","",IF(COUNTIF(M56,"Cancelled")+COUNTIF(Q56,"Cancelled")+COUNTIF(U56,"Cancelled")+COUNTIF(Y56,"Cancelled")+COUNTIF(AC56,"Cancelled")+COUNTIF(AG56,"Cancelled")+COUNTIF(AK56,"Cancelled")&gt;0,"Cancelled",IF(E56="All Stages Closed","Completed",IF(E56="S1 Schematic",M56,IF(E56="S2 PCB Layout",Q56,IF(E56="S3 SI &amp; PI",U56,IF(E56="S4 Bare-PCB Fab",Y56,IF(E56="S5 Assembly",AC56,IF(E56="S6 Bring-up",AG56,AK56)))))))))</f>
        <v/>
      </c>
      <c r="G56" s="33" t="str">
        <f aca="false">IF($C56="","",IF(E56="All Stages Closed","",IF(E56="S1 Schematic",IF(N56="","Not added",N56),IF(E56="S2 PCB Layout",IF(R56="","Not added",R56),IF(E56="S3 SI &amp; PI",IF(V56="","Not added",V56),IF(E56="S4 Bare-PCB Fab",IF(Z56="","Not added",Z56),IF(E56="S5 Assembly",IF(AD56="","Not added",AD56),IF(E56="S6 Bring-up",IF(AH56="","Not added",AH56),IF(AL56="","Not added",AL56)))))))))</f>
        <v/>
      </c>
      <c r="H56" s="32" t="str">
        <f aca="true">IF($C56="","",IF(OR(F56="Completed",F56="Cancelled"),"",IF(NOT(ISNUMBER(G56)),"No date set",IF(TODAY()&gt;G56,TODAY()-G56&amp;" days late",G56-TODAY()&amp;" days left"))))</f>
        <v/>
      </c>
      <c r="I56" s="31" t="str">
        <f aca="false">IF($C56="","",COUNTIF(M56,"Completed")+COUNTIF(Q56,"Completed")+COUNTIF(U56,"Completed")+COUNTIF(Y56,"Completed")+COUNTIF(AC56,"Completed")+COUNTIF(AG56,"Completed")+COUNTIF(AK56,"Completed"))</f>
        <v/>
      </c>
      <c r="J56" s="31" t="str">
        <f aca="false">IF($C56="","",7-(COUNTIF(M56,"NA")+COUNTIF(Q56,"NA")+COUNTIF(U56,"NA")+COUNTIF(Y56,"NA")+COUNTIF(AC56,"NA")+COUNTIF(AG56,"NA")+COUNTIF(AK56,"NA")))</f>
        <v/>
      </c>
      <c r="K56" s="34" t="str">
        <f aca="false">IFERROR(I56/J56,"")</f>
        <v/>
      </c>
      <c r="L56" s="29"/>
      <c r="M56" s="35"/>
      <c r="N56" s="36"/>
      <c r="O56" s="36"/>
      <c r="P56" s="29"/>
      <c r="Q56" s="35"/>
      <c r="R56" s="36"/>
      <c r="S56" s="36"/>
      <c r="T56" s="29"/>
      <c r="U56" s="35"/>
      <c r="V56" s="36"/>
      <c r="W56" s="36"/>
      <c r="X56" s="29"/>
      <c r="Y56" s="35"/>
      <c r="Z56" s="36"/>
      <c r="AA56" s="36"/>
      <c r="AB56" s="29"/>
      <c r="AC56" s="35"/>
      <c r="AD56" s="36"/>
      <c r="AE56" s="36"/>
      <c r="AF56" s="29"/>
      <c r="AG56" s="35"/>
      <c r="AH56" s="36"/>
      <c r="AI56" s="36"/>
      <c r="AJ56" s="29"/>
      <c r="AK56" s="35"/>
      <c r="AL56" s="36"/>
      <c r="AM56" s="36"/>
      <c r="AN56" s="29"/>
      <c r="AO56" s="29"/>
      <c r="AP56" s="29"/>
      <c r="AQ56" s="37"/>
      <c r="AR56" s="39" t="str">
        <f aca="false">IF(AN56&lt;&gt;"Yes","",IF(AO56="","SELECT RE-ENTRY STAGE","MOVE TO ACTIVE at "&amp;AO56))</f>
        <v/>
      </c>
      <c r="AS56" s="40" t="str">
        <f aca="false">IF(AN56="Yes",COUNTIF($AN$6:AN56,"Yes"),"")</f>
        <v/>
      </c>
      <c r="AT56" s="29"/>
      <c r="AU56" s="38" t="str">
        <f aca="false">IF($C56="","",IF(OR(F56="Completed",F56="Cancelled"),"",IF(AND(OR(F56="On Hold",ISNUMBER(VALUE(LEFT(H56,2)))),AT56=""),"Reason not given","")))</f>
        <v/>
      </c>
      <c r="AV56" s="30"/>
      <c r="AW56" s="30"/>
    </row>
    <row r="57" customFormat="false" ht="19.5" hidden="false" customHeight="true" outlineLevel="0" collapsed="false">
      <c r="A57" s="28" t="str">
        <f aca="false">IF($C57="","",COUNTA($C$6:$C57))</f>
        <v/>
      </c>
      <c r="B57" s="29"/>
      <c r="C57" s="30"/>
      <c r="D57" s="29"/>
      <c r="E57" s="31" t="str">
        <f aca="false">IF($C57="","",IF(NOT(OR(M57="Completed",M57="NA",M57="Cancelled")),"S1 Schematic",IF(NOT(OR(Q57="Completed",Q57="NA",Q57="Cancelled")),"S2 PCB Layout",IF(NOT(OR(U57="Completed",U57="NA",U57="Cancelled")),"S3 SI &amp; PI",IF(NOT(OR(Y57="Completed",Y57="NA",Y57="Cancelled")),"S4 Bare-PCB Fab",IF(NOT(OR(AC57="Completed",AC57="NA",AC57="Cancelled")),"S5 Assembly",IF(NOT(OR(AG57="Completed",AG57="NA",AG57="Cancelled")),"S6 Bring-up",IF(NOT(OR(AK57="Completed",AK57="NA",AK57="Cancelled")),"S7 BOM Procurement","All Stages Closed"))))))))</f>
        <v/>
      </c>
      <c r="F57" s="32" t="str">
        <f aca="false">IF($C57="","",IF(COUNTIF(M57,"Cancelled")+COUNTIF(Q57,"Cancelled")+COUNTIF(U57,"Cancelled")+COUNTIF(Y57,"Cancelled")+COUNTIF(AC57,"Cancelled")+COUNTIF(AG57,"Cancelled")+COUNTIF(AK57,"Cancelled")&gt;0,"Cancelled",IF(E57="All Stages Closed","Completed",IF(E57="S1 Schematic",M57,IF(E57="S2 PCB Layout",Q57,IF(E57="S3 SI &amp; PI",U57,IF(E57="S4 Bare-PCB Fab",Y57,IF(E57="S5 Assembly",AC57,IF(E57="S6 Bring-up",AG57,AK57)))))))))</f>
        <v/>
      </c>
      <c r="G57" s="33" t="str">
        <f aca="false">IF($C57="","",IF(E57="All Stages Closed","",IF(E57="S1 Schematic",IF(N57="","Not added",N57),IF(E57="S2 PCB Layout",IF(R57="","Not added",R57),IF(E57="S3 SI &amp; PI",IF(V57="","Not added",V57),IF(E57="S4 Bare-PCB Fab",IF(Z57="","Not added",Z57),IF(E57="S5 Assembly",IF(AD57="","Not added",AD57),IF(E57="S6 Bring-up",IF(AH57="","Not added",AH57),IF(AL57="","Not added",AL57)))))))))</f>
        <v/>
      </c>
      <c r="H57" s="32" t="str">
        <f aca="true">IF($C57="","",IF(OR(F57="Completed",F57="Cancelled"),"",IF(NOT(ISNUMBER(G57)),"No date set",IF(TODAY()&gt;G57,TODAY()-G57&amp;" days late",G57-TODAY()&amp;" days left"))))</f>
        <v/>
      </c>
      <c r="I57" s="31" t="str">
        <f aca="false">IF($C57="","",COUNTIF(M57,"Completed")+COUNTIF(Q57,"Completed")+COUNTIF(U57,"Completed")+COUNTIF(Y57,"Completed")+COUNTIF(AC57,"Completed")+COUNTIF(AG57,"Completed")+COUNTIF(AK57,"Completed"))</f>
        <v/>
      </c>
      <c r="J57" s="31" t="str">
        <f aca="false">IF($C57="","",7-(COUNTIF(M57,"NA")+COUNTIF(Q57,"NA")+COUNTIF(U57,"NA")+COUNTIF(Y57,"NA")+COUNTIF(AC57,"NA")+COUNTIF(AG57,"NA")+COUNTIF(AK57,"NA")))</f>
        <v/>
      </c>
      <c r="K57" s="34" t="str">
        <f aca="false">IFERROR(I57/J57,"")</f>
        <v/>
      </c>
      <c r="L57" s="29"/>
      <c r="M57" s="35"/>
      <c r="N57" s="36"/>
      <c r="O57" s="36"/>
      <c r="P57" s="29"/>
      <c r="Q57" s="35"/>
      <c r="R57" s="36"/>
      <c r="S57" s="36"/>
      <c r="T57" s="29"/>
      <c r="U57" s="35"/>
      <c r="V57" s="36"/>
      <c r="W57" s="36"/>
      <c r="X57" s="29"/>
      <c r="Y57" s="35"/>
      <c r="Z57" s="36"/>
      <c r="AA57" s="36"/>
      <c r="AB57" s="29"/>
      <c r="AC57" s="35"/>
      <c r="AD57" s="36"/>
      <c r="AE57" s="36"/>
      <c r="AF57" s="29"/>
      <c r="AG57" s="35"/>
      <c r="AH57" s="36"/>
      <c r="AI57" s="36"/>
      <c r="AJ57" s="29"/>
      <c r="AK57" s="35"/>
      <c r="AL57" s="36"/>
      <c r="AM57" s="36"/>
      <c r="AN57" s="29"/>
      <c r="AO57" s="29"/>
      <c r="AP57" s="29"/>
      <c r="AQ57" s="37"/>
      <c r="AR57" s="39" t="str">
        <f aca="false">IF(AN57&lt;&gt;"Yes","",IF(AO57="","SELECT RE-ENTRY STAGE","MOVE TO ACTIVE at "&amp;AO57))</f>
        <v/>
      </c>
      <c r="AS57" s="40" t="str">
        <f aca="false">IF(AN57="Yes",COUNTIF($AN$6:AN57,"Yes"),"")</f>
        <v/>
      </c>
      <c r="AT57" s="29"/>
      <c r="AU57" s="38" t="str">
        <f aca="false">IF($C57="","",IF(OR(F57="Completed",F57="Cancelled"),"",IF(AND(OR(F57="On Hold",ISNUMBER(VALUE(LEFT(H57,2)))),AT57=""),"Reason not given","")))</f>
        <v/>
      </c>
      <c r="AV57" s="30"/>
      <c r="AW57" s="30"/>
    </row>
    <row r="58" customFormat="false" ht="19.5" hidden="false" customHeight="true" outlineLevel="0" collapsed="false">
      <c r="A58" s="28" t="str">
        <f aca="false">IF($C58="","",COUNTA($C$6:$C58))</f>
        <v/>
      </c>
      <c r="B58" s="29"/>
      <c r="C58" s="30"/>
      <c r="D58" s="29"/>
      <c r="E58" s="31" t="str">
        <f aca="false">IF($C58="","",IF(NOT(OR(M58="Completed",M58="NA",M58="Cancelled")),"S1 Schematic",IF(NOT(OR(Q58="Completed",Q58="NA",Q58="Cancelled")),"S2 PCB Layout",IF(NOT(OR(U58="Completed",U58="NA",U58="Cancelled")),"S3 SI &amp; PI",IF(NOT(OR(Y58="Completed",Y58="NA",Y58="Cancelled")),"S4 Bare-PCB Fab",IF(NOT(OR(AC58="Completed",AC58="NA",AC58="Cancelled")),"S5 Assembly",IF(NOT(OR(AG58="Completed",AG58="NA",AG58="Cancelled")),"S6 Bring-up",IF(NOT(OR(AK58="Completed",AK58="NA",AK58="Cancelled")),"S7 BOM Procurement","All Stages Closed"))))))))</f>
        <v/>
      </c>
      <c r="F58" s="32" t="str">
        <f aca="false">IF($C58="","",IF(COUNTIF(M58,"Cancelled")+COUNTIF(Q58,"Cancelled")+COUNTIF(U58,"Cancelled")+COUNTIF(Y58,"Cancelled")+COUNTIF(AC58,"Cancelled")+COUNTIF(AG58,"Cancelled")+COUNTIF(AK58,"Cancelled")&gt;0,"Cancelled",IF(E58="All Stages Closed","Completed",IF(E58="S1 Schematic",M58,IF(E58="S2 PCB Layout",Q58,IF(E58="S3 SI &amp; PI",U58,IF(E58="S4 Bare-PCB Fab",Y58,IF(E58="S5 Assembly",AC58,IF(E58="S6 Bring-up",AG58,AK58)))))))))</f>
        <v/>
      </c>
      <c r="G58" s="33" t="str">
        <f aca="false">IF($C58="","",IF(E58="All Stages Closed","",IF(E58="S1 Schematic",IF(N58="","Not added",N58),IF(E58="S2 PCB Layout",IF(R58="","Not added",R58),IF(E58="S3 SI &amp; PI",IF(V58="","Not added",V58),IF(E58="S4 Bare-PCB Fab",IF(Z58="","Not added",Z58),IF(E58="S5 Assembly",IF(AD58="","Not added",AD58),IF(E58="S6 Bring-up",IF(AH58="","Not added",AH58),IF(AL58="","Not added",AL58)))))))))</f>
        <v/>
      </c>
      <c r="H58" s="32" t="str">
        <f aca="true">IF($C58="","",IF(OR(F58="Completed",F58="Cancelled"),"",IF(NOT(ISNUMBER(G58)),"No date set",IF(TODAY()&gt;G58,TODAY()-G58&amp;" days late",G58-TODAY()&amp;" days left"))))</f>
        <v/>
      </c>
      <c r="I58" s="31" t="str">
        <f aca="false">IF($C58="","",COUNTIF(M58,"Completed")+COUNTIF(Q58,"Completed")+COUNTIF(U58,"Completed")+COUNTIF(Y58,"Completed")+COUNTIF(AC58,"Completed")+COUNTIF(AG58,"Completed")+COUNTIF(AK58,"Completed"))</f>
        <v/>
      </c>
      <c r="J58" s="31" t="str">
        <f aca="false">IF($C58="","",7-(COUNTIF(M58,"NA")+COUNTIF(Q58,"NA")+COUNTIF(U58,"NA")+COUNTIF(Y58,"NA")+COUNTIF(AC58,"NA")+COUNTIF(AG58,"NA")+COUNTIF(AK58,"NA")))</f>
        <v/>
      </c>
      <c r="K58" s="34" t="str">
        <f aca="false">IFERROR(I58/J58,"")</f>
        <v/>
      </c>
      <c r="L58" s="29"/>
      <c r="M58" s="35"/>
      <c r="N58" s="36"/>
      <c r="O58" s="36"/>
      <c r="P58" s="29"/>
      <c r="Q58" s="35"/>
      <c r="R58" s="36"/>
      <c r="S58" s="36"/>
      <c r="T58" s="29"/>
      <c r="U58" s="35"/>
      <c r="V58" s="36"/>
      <c r="W58" s="36"/>
      <c r="X58" s="29"/>
      <c r="Y58" s="35"/>
      <c r="Z58" s="36"/>
      <c r="AA58" s="36"/>
      <c r="AB58" s="29"/>
      <c r="AC58" s="35"/>
      <c r="AD58" s="36"/>
      <c r="AE58" s="36"/>
      <c r="AF58" s="29"/>
      <c r="AG58" s="35"/>
      <c r="AH58" s="36"/>
      <c r="AI58" s="36"/>
      <c r="AJ58" s="29"/>
      <c r="AK58" s="35"/>
      <c r="AL58" s="36"/>
      <c r="AM58" s="36"/>
      <c r="AN58" s="29"/>
      <c r="AO58" s="29"/>
      <c r="AP58" s="29"/>
      <c r="AQ58" s="37"/>
      <c r="AR58" s="39" t="str">
        <f aca="false">IF(AN58&lt;&gt;"Yes","",IF(AO58="","SELECT RE-ENTRY STAGE","MOVE TO ACTIVE at "&amp;AO58))</f>
        <v/>
      </c>
      <c r="AS58" s="40" t="str">
        <f aca="false">IF(AN58="Yes",COUNTIF($AN$6:AN58,"Yes"),"")</f>
        <v/>
      </c>
      <c r="AT58" s="29"/>
      <c r="AU58" s="38" t="str">
        <f aca="false">IF($C58="","",IF(OR(F58="Completed",F58="Cancelled"),"",IF(AND(OR(F58="On Hold",ISNUMBER(VALUE(LEFT(H58,2)))),AT58=""),"Reason not given","")))</f>
        <v/>
      </c>
      <c r="AV58" s="30"/>
      <c r="AW58" s="30"/>
    </row>
    <row r="59" customFormat="false" ht="19.5" hidden="false" customHeight="true" outlineLevel="0" collapsed="false">
      <c r="A59" s="28" t="str">
        <f aca="false">IF($C59="","",COUNTA($C$6:$C59))</f>
        <v/>
      </c>
      <c r="B59" s="29"/>
      <c r="C59" s="30"/>
      <c r="D59" s="29"/>
      <c r="E59" s="31" t="str">
        <f aca="false">IF($C59="","",IF(NOT(OR(M59="Completed",M59="NA",M59="Cancelled")),"S1 Schematic",IF(NOT(OR(Q59="Completed",Q59="NA",Q59="Cancelled")),"S2 PCB Layout",IF(NOT(OR(U59="Completed",U59="NA",U59="Cancelled")),"S3 SI &amp; PI",IF(NOT(OR(Y59="Completed",Y59="NA",Y59="Cancelled")),"S4 Bare-PCB Fab",IF(NOT(OR(AC59="Completed",AC59="NA",AC59="Cancelled")),"S5 Assembly",IF(NOT(OR(AG59="Completed",AG59="NA",AG59="Cancelled")),"S6 Bring-up",IF(NOT(OR(AK59="Completed",AK59="NA",AK59="Cancelled")),"S7 BOM Procurement","All Stages Closed"))))))))</f>
        <v/>
      </c>
      <c r="F59" s="32" t="str">
        <f aca="false">IF($C59="","",IF(COUNTIF(M59,"Cancelled")+COUNTIF(Q59,"Cancelled")+COUNTIF(U59,"Cancelled")+COUNTIF(Y59,"Cancelled")+COUNTIF(AC59,"Cancelled")+COUNTIF(AG59,"Cancelled")+COUNTIF(AK59,"Cancelled")&gt;0,"Cancelled",IF(E59="All Stages Closed","Completed",IF(E59="S1 Schematic",M59,IF(E59="S2 PCB Layout",Q59,IF(E59="S3 SI &amp; PI",U59,IF(E59="S4 Bare-PCB Fab",Y59,IF(E59="S5 Assembly",AC59,IF(E59="S6 Bring-up",AG59,AK59)))))))))</f>
        <v/>
      </c>
      <c r="G59" s="33" t="str">
        <f aca="false">IF($C59="","",IF(E59="All Stages Closed","",IF(E59="S1 Schematic",IF(N59="","Not added",N59),IF(E59="S2 PCB Layout",IF(R59="","Not added",R59),IF(E59="S3 SI &amp; PI",IF(V59="","Not added",V59),IF(E59="S4 Bare-PCB Fab",IF(Z59="","Not added",Z59),IF(E59="S5 Assembly",IF(AD59="","Not added",AD59),IF(E59="S6 Bring-up",IF(AH59="","Not added",AH59),IF(AL59="","Not added",AL59)))))))))</f>
        <v/>
      </c>
      <c r="H59" s="32" t="str">
        <f aca="true">IF($C59="","",IF(OR(F59="Completed",F59="Cancelled"),"",IF(NOT(ISNUMBER(G59)),"No date set",IF(TODAY()&gt;G59,TODAY()-G59&amp;" days late",G59-TODAY()&amp;" days left"))))</f>
        <v/>
      </c>
      <c r="I59" s="31" t="str">
        <f aca="false">IF($C59="","",COUNTIF(M59,"Completed")+COUNTIF(Q59,"Completed")+COUNTIF(U59,"Completed")+COUNTIF(Y59,"Completed")+COUNTIF(AC59,"Completed")+COUNTIF(AG59,"Completed")+COUNTIF(AK59,"Completed"))</f>
        <v/>
      </c>
      <c r="J59" s="31" t="str">
        <f aca="false">IF($C59="","",7-(COUNTIF(M59,"NA")+COUNTIF(Q59,"NA")+COUNTIF(U59,"NA")+COUNTIF(Y59,"NA")+COUNTIF(AC59,"NA")+COUNTIF(AG59,"NA")+COUNTIF(AK59,"NA")))</f>
        <v/>
      </c>
      <c r="K59" s="34" t="str">
        <f aca="false">IFERROR(I59/J59,"")</f>
        <v/>
      </c>
      <c r="L59" s="29"/>
      <c r="M59" s="35"/>
      <c r="N59" s="36"/>
      <c r="O59" s="36"/>
      <c r="P59" s="29"/>
      <c r="Q59" s="35"/>
      <c r="R59" s="36"/>
      <c r="S59" s="36"/>
      <c r="T59" s="29"/>
      <c r="U59" s="35"/>
      <c r="V59" s="36"/>
      <c r="W59" s="36"/>
      <c r="X59" s="29"/>
      <c r="Y59" s="35"/>
      <c r="Z59" s="36"/>
      <c r="AA59" s="36"/>
      <c r="AB59" s="29"/>
      <c r="AC59" s="35"/>
      <c r="AD59" s="36"/>
      <c r="AE59" s="36"/>
      <c r="AF59" s="29"/>
      <c r="AG59" s="35"/>
      <c r="AH59" s="36"/>
      <c r="AI59" s="36"/>
      <c r="AJ59" s="29"/>
      <c r="AK59" s="35"/>
      <c r="AL59" s="36"/>
      <c r="AM59" s="36"/>
      <c r="AN59" s="29"/>
      <c r="AO59" s="29"/>
      <c r="AP59" s="29"/>
      <c r="AQ59" s="37"/>
      <c r="AR59" s="39" t="str">
        <f aca="false">IF(AN59&lt;&gt;"Yes","",IF(AO59="","SELECT RE-ENTRY STAGE","MOVE TO ACTIVE at "&amp;AO59))</f>
        <v/>
      </c>
      <c r="AS59" s="40" t="str">
        <f aca="false">IF(AN59="Yes",COUNTIF($AN$6:AN59,"Yes"),"")</f>
        <v/>
      </c>
      <c r="AT59" s="29"/>
      <c r="AU59" s="38" t="str">
        <f aca="false">IF($C59="","",IF(OR(F59="Completed",F59="Cancelled"),"",IF(AND(OR(F59="On Hold",ISNUMBER(VALUE(LEFT(H59,2)))),AT59=""),"Reason not given","")))</f>
        <v/>
      </c>
      <c r="AV59" s="30"/>
      <c r="AW59" s="30"/>
    </row>
    <row r="60" customFormat="false" ht="19.5" hidden="false" customHeight="true" outlineLevel="0" collapsed="false">
      <c r="A60" s="28" t="str">
        <f aca="false">IF($C60="","",COUNTA($C$6:$C60))</f>
        <v/>
      </c>
      <c r="B60" s="29"/>
      <c r="C60" s="30"/>
      <c r="D60" s="29"/>
      <c r="E60" s="31" t="str">
        <f aca="false">IF($C60="","",IF(NOT(OR(M60="Completed",M60="NA",M60="Cancelled")),"S1 Schematic",IF(NOT(OR(Q60="Completed",Q60="NA",Q60="Cancelled")),"S2 PCB Layout",IF(NOT(OR(U60="Completed",U60="NA",U60="Cancelled")),"S3 SI &amp; PI",IF(NOT(OR(Y60="Completed",Y60="NA",Y60="Cancelled")),"S4 Bare-PCB Fab",IF(NOT(OR(AC60="Completed",AC60="NA",AC60="Cancelled")),"S5 Assembly",IF(NOT(OR(AG60="Completed",AG60="NA",AG60="Cancelled")),"S6 Bring-up",IF(NOT(OR(AK60="Completed",AK60="NA",AK60="Cancelled")),"S7 BOM Procurement","All Stages Closed"))))))))</f>
        <v/>
      </c>
      <c r="F60" s="32" t="str">
        <f aca="false">IF($C60="","",IF(COUNTIF(M60,"Cancelled")+COUNTIF(Q60,"Cancelled")+COUNTIF(U60,"Cancelled")+COUNTIF(Y60,"Cancelled")+COUNTIF(AC60,"Cancelled")+COUNTIF(AG60,"Cancelled")+COUNTIF(AK60,"Cancelled")&gt;0,"Cancelled",IF(E60="All Stages Closed","Completed",IF(E60="S1 Schematic",M60,IF(E60="S2 PCB Layout",Q60,IF(E60="S3 SI &amp; PI",U60,IF(E60="S4 Bare-PCB Fab",Y60,IF(E60="S5 Assembly",AC60,IF(E60="S6 Bring-up",AG60,AK60)))))))))</f>
        <v/>
      </c>
      <c r="G60" s="33" t="str">
        <f aca="false">IF($C60="","",IF(E60="All Stages Closed","",IF(E60="S1 Schematic",IF(N60="","Not added",N60),IF(E60="S2 PCB Layout",IF(R60="","Not added",R60),IF(E60="S3 SI &amp; PI",IF(V60="","Not added",V60),IF(E60="S4 Bare-PCB Fab",IF(Z60="","Not added",Z60),IF(E60="S5 Assembly",IF(AD60="","Not added",AD60),IF(E60="S6 Bring-up",IF(AH60="","Not added",AH60),IF(AL60="","Not added",AL60)))))))))</f>
        <v/>
      </c>
      <c r="H60" s="32" t="str">
        <f aca="true">IF($C60="","",IF(OR(F60="Completed",F60="Cancelled"),"",IF(NOT(ISNUMBER(G60)),"No date set",IF(TODAY()&gt;G60,TODAY()-G60&amp;" days late",G60-TODAY()&amp;" days left"))))</f>
        <v/>
      </c>
      <c r="I60" s="31" t="str">
        <f aca="false">IF($C60="","",COUNTIF(M60,"Completed")+COUNTIF(Q60,"Completed")+COUNTIF(U60,"Completed")+COUNTIF(Y60,"Completed")+COUNTIF(AC60,"Completed")+COUNTIF(AG60,"Completed")+COUNTIF(AK60,"Completed"))</f>
        <v/>
      </c>
      <c r="J60" s="31" t="str">
        <f aca="false">IF($C60="","",7-(COUNTIF(M60,"NA")+COUNTIF(Q60,"NA")+COUNTIF(U60,"NA")+COUNTIF(Y60,"NA")+COUNTIF(AC60,"NA")+COUNTIF(AG60,"NA")+COUNTIF(AK60,"NA")))</f>
        <v/>
      </c>
      <c r="K60" s="34" t="str">
        <f aca="false">IFERROR(I60/J60,"")</f>
        <v/>
      </c>
      <c r="L60" s="29"/>
      <c r="M60" s="35"/>
      <c r="N60" s="36"/>
      <c r="O60" s="36"/>
      <c r="P60" s="29"/>
      <c r="Q60" s="35"/>
      <c r="R60" s="36"/>
      <c r="S60" s="36"/>
      <c r="T60" s="29"/>
      <c r="U60" s="35"/>
      <c r="V60" s="36"/>
      <c r="W60" s="36"/>
      <c r="X60" s="29"/>
      <c r="Y60" s="35"/>
      <c r="Z60" s="36"/>
      <c r="AA60" s="36"/>
      <c r="AB60" s="29"/>
      <c r="AC60" s="35"/>
      <c r="AD60" s="36"/>
      <c r="AE60" s="36"/>
      <c r="AF60" s="29"/>
      <c r="AG60" s="35"/>
      <c r="AH60" s="36"/>
      <c r="AI60" s="36"/>
      <c r="AJ60" s="29"/>
      <c r="AK60" s="35"/>
      <c r="AL60" s="36"/>
      <c r="AM60" s="36"/>
      <c r="AN60" s="29"/>
      <c r="AO60" s="29"/>
      <c r="AP60" s="29"/>
      <c r="AQ60" s="37"/>
      <c r="AR60" s="39" t="str">
        <f aca="false">IF(AN60&lt;&gt;"Yes","",IF(AO60="","SELECT RE-ENTRY STAGE","MOVE TO ACTIVE at "&amp;AO60))</f>
        <v/>
      </c>
      <c r="AS60" s="40" t="str">
        <f aca="false">IF(AN60="Yes",COUNTIF($AN$6:AN60,"Yes"),"")</f>
        <v/>
      </c>
      <c r="AT60" s="29"/>
      <c r="AU60" s="38" t="str">
        <f aca="false">IF($C60="","",IF(OR(F60="Completed",F60="Cancelled"),"",IF(AND(OR(F60="On Hold",ISNUMBER(VALUE(LEFT(H60,2)))),AT60=""),"Reason not given","")))</f>
        <v/>
      </c>
      <c r="AV60" s="30"/>
      <c r="AW60" s="30"/>
    </row>
    <row r="61" customFormat="false" ht="19.5" hidden="false" customHeight="true" outlineLevel="0" collapsed="false">
      <c r="A61" s="28" t="str">
        <f aca="false">IF($C61="","",COUNTA($C$6:$C61))</f>
        <v/>
      </c>
      <c r="B61" s="29"/>
      <c r="C61" s="30"/>
      <c r="D61" s="29"/>
      <c r="E61" s="31" t="str">
        <f aca="false">IF($C61="","",IF(NOT(OR(M61="Completed",M61="NA",M61="Cancelled")),"S1 Schematic",IF(NOT(OR(Q61="Completed",Q61="NA",Q61="Cancelled")),"S2 PCB Layout",IF(NOT(OR(U61="Completed",U61="NA",U61="Cancelled")),"S3 SI &amp; PI",IF(NOT(OR(Y61="Completed",Y61="NA",Y61="Cancelled")),"S4 Bare-PCB Fab",IF(NOT(OR(AC61="Completed",AC61="NA",AC61="Cancelled")),"S5 Assembly",IF(NOT(OR(AG61="Completed",AG61="NA",AG61="Cancelled")),"S6 Bring-up",IF(NOT(OR(AK61="Completed",AK61="NA",AK61="Cancelled")),"S7 BOM Procurement","All Stages Closed"))))))))</f>
        <v/>
      </c>
      <c r="F61" s="32" t="str">
        <f aca="false">IF($C61="","",IF(COUNTIF(M61,"Cancelled")+COUNTIF(Q61,"Cancelled")+COUNTIF(U61,"Cancelled")+COUNTIF(Y61,"Cancelled")+COUNTIF(AC61,"Cancelled")+COUNTIF(AG61,"Cancelled")+COUNTIF(AK61,"Cancelled")&gt;0,"Cancelled",IF(E61="All Stages Closed","Completed",IF(E61="S1 Schematic",M61,IF(E61="S2 PCB Layout",Q61,IF(E61="S3 SI &amp; PI",U61,IF(E61="S4 Bare-PCB Fab",Y61,IF(E61="S5 Assembly",AC61,IF(E61="S6 Bring-up",AG61,AK61)))))))))</f>
        <v/>
      </c>
      <c r="G61" s="33" t="str">
        <f aca="false">IF($C61="","",IF(E61="All Stages Closed","",IF(E61="S1 Schematic",IF(N61="","Not added",N61),IF(E61="S2 PCB Layout",IF(R61="","Not added",R61),IF(E61="S3 SI &amp; PI",IF(V61="","Not added",V61),IF(E61="S4 Bare-PCB Fab",IF(Z61="","Not added",Z61),IF(E61="S5 Assembly",IF(AD61="","Not added",AD61),IF(E61="S6 Bring-up",IF(AH61="","Not added",AH61),IF(AL61="","Not added",AL61)))))))))</f>
        <v/>
      </c>
      <c r="H61" s="32" t="str">
        <f aca="true">IF($C61="","",IF(OR(F61="Completed",F61="Cancelled"),"",IF(NOT(ISNUMBER(G61)),"No date set",IF(TODAY()&gt;G61,TODAY()-G61&amp;" days late",G61-TODAY()&amp;" days left"))))</f>
        <v/>
      </c>
      <c r="I61" s="31" t="str">
        <f aca="false">IF($C61="","",COUNTIF(M61,"Completed")+COUNTIF(Q61,"Completed")+COUNTIF(U61,"Completed")+COUNTIF(Y61,"Completed")+COUNTIF(AC61,"Completed")+COUNTIF(AG61,"Completed")+COUNTIF(AK61,"Completed"))</f>
        <v/>
      </c>
      <c r="J61" s="31" t="str">
        <f aca="false">IF($C61="","",7-(COUNTIF(M61,"NA")+COUNTIF(Q61,"NA")+COUNTIF(U61,"NA")+COUNTIF(Y61,"NA")+COUNTIF(AC61,"NA")+COUNTIF(AG61,"NA")+COUNTIF(AK61,"NA")))</f>
        <v/>
      </c>
      <c r="K61" s="34" t="str">
        <f aca="false">IFERROR(I61/J61,"")</f>
        <v/>
      </c>
      <c r="L61" s="29"/>
      <c r="M61" s="35"/>
      <c r="N61" s="36"/>
      <c r="O61" s="36"/>
      <c r="P61" s="29"/>
      <c r="Q61" s="35"/>
      <c r="R61" s="36"/>
      <c r="S61" s="36"/>
      <c r="T61" s="29"/>
      <c r="U61" s="35"/>
      <c r="V61" s="36"/>
      <c r="W61" s="36"/>
      <c r="X61" s="29"/>
      <c r="Y61" s="35"/>
      <c r="Z61" s="36"/>
      <c r="AA61" s="36"/>
      <c r="AB61" s="29"/>
      <c r="AC61" s="35"/>
      <c r="AD61" s="36"/>
      <c r="AE61" s="36"/>
      <c r="AF61" s="29"/>
      <c r="AG61" s="35"/>
      <c r="AH61" s="36"/>
      <c r="AI61" s="36"/>
      <c r="AJ61" s="29"/>
      <c r="AK61" s="35"/>
      <c r="AL61" s="36"/>
      <c r="AM61" s="36"/>
      <c r="AN61" s="29"/>
      <c r="AO61" s="29"/>
      <c r="AP61" s="29"/>
      <c r="AQ61" s="37"/>
      <c r="AR61" s="39" t="str">
        <f aca="false">IF(AN61&lt;&gt;"Yes","",IF(AO61="","SELECT RE-ENTRY STAGE","MOVE TO ACTIVE at "&amp;AO61))</f>
        <v/>
      </c>
      <c r="AS61" s="40" t="str">
        <f aca="false">IF(AN61="Yes",COUNTIF($AN$6:AN61,"Yes"),"")</f>
        <v/>
      </c>
      <c r="AT61" s="29"/>
      <c r="AU61" s="38" t="str">
        <f aca="false">IF($C61="","",IF(OR(F61="Completed",F61="Cancelled"),"",IF(AND(OR(F61="On Hold",ISNUMBER(VALUE(LEFT(H61,2)))),AT61=""),"Reason not given","")))</f>
        <v/>
      </c>
      <c r="AV61" s="30"/>
      <c r="AW61" s="30"/>
    </row>
    <row r="62" customFormat="false" ht="19.5" hidden="false" customHeight="true" outlineLevel="0" collapsed="false">
      <c r="A62" s="28" t="str">
        <f aca="false">IF($C62="","",COUNTA($C$6:$C62))</f>
        <v/>
      </c>
      <c r="B62" s="29"/>
      <c r="C62" s="30"/>
      <c r="D62" s="29"/>
      <c r="E62" s="31" t="str">
        <f aca="false">IF($C62="","",IF(NOT(OR(M62="Completed",M62="NA",M62="Cancelled")),"S1 Schematic",IF(NOT(OR(Q62="Completed",Q62="NA",Q62="Cancelled")),"S2 PCB Layout",IF(NOT(OR(U62="Completed",U62="NA",U62="Cancelled")),"S3 SI &amp; PI",IF(NOT(OR(Y62="Completed",Y62="NA",Y62="Cancelled")),"S4 Bare-PCB Fab",IF(NOT(OR(AC62="Completed",AC62="NA",AC62="Cancelled")),"S5 Assembly",IF(NOT(OR(AG62="Completed",AG62="NA",AG62="Cancelled")),"S6 Bring-up",IF(NOT(OR(AK62="Completed",AK62="NA",AK62="Cancelled")),"S7 BOM Procurement","All Stages Closed"))))))))</f>
        <v/>
      </c>
      <c r="F62" s="32" t="str">
        <f aca="false">IF($C62="","",IF(COUNTIF(M62,"Cancelled")+COUNTIF(Q62,"Cancelled")+COUNTIF(U62,"Cancelled")+COUNTIF(Y62,"Cancelled")+COUNTIF(AC62,"Cancelled")+COUNTIF(AG62,"Cancelled")+COUNTIF(AK62,"Cancelled")&gt;0,"Cancelled",IF(E62="All Stages Closed","Completed",IF(E62="S1 Schematic",M62,IF(E62="S2 PCB Layout",Q62,IF(E62="S3 SI &amp; PI",U62,IF(E62="S4 Bare-PCB Fab",Y62,IF(E62="S5 Assembly",AC62,IF(E62="S6 Bring-up",AG62,AK62)))))))))</f>
        <v/>
      </c>
      <c r="G62" s="33" t="str">
        <f aca="false">IF($C62="","",IF(E62="All Stages Closed","",IF(E62="S1 Schematic",IF(N62="","Not added",N62),IF(E62="S2 PCB Layout",IF(R62="","Not added",R62),IF(E62="S3 SI &amp; PI",IF(V62="","Not added",V62),IF(E62="S4 Bare-PCB Fab",IF(Z62="","Not added",Z62),IF(E62="S5 Assembly",IF(AD62="","Not added",AD62),IF(E62="S6 Bring-up",IF(AH62="","Not added",AH62),IF(AL62="","Not added",AL62)))))))))</f>
        <v/>
      </c>
      <c r="H62" s="32" t="str">
        <f aca="true">IF($C62="","",IF(OR(F62="Completed",F62="Cancelled"),"",IF(NOT(ISNUMBER(G62)),"No date set",IF(TODAY()&gt;G62,TODAY()-G62&amp;" days late",G62-TODAY()&amp;" days left"))))</f>
        <v/>
      </c>
      <c r="I62" s="31" t="str">
        <f aca="false">IF($C62="","",COUNTIF(M62,"Completed")+COUNTIF(Q62,"Completed")+COUNTIF(U62,"Completed")+COUNTIF(Y62,"Completed")+COUNTIF(AC62,"Completed")+COUNTIF(AG62,"Completed")+COUNTIF(AK62,"Completed"))</f>
        <v/>
      </c>
      <c r="J62" s="31" t="str">
        <f aca="false">IF($C62="","",7-(COUNTIF(M62,"NA")+COUNTIF(Q62,"NA")+COUNTIF(U62,"NA")+COUNTIF(Y62,"NA")+COUNTIF(AC62,"NA")+COUNTIF(AG62,"NA")+COUNTIF(AK62,"NA")))</f>
        <v/>
      </c>
      <c r="K62" s="34" t="str">
        <f aca="false">IFERROR(I62/J62,"")</f>
        <v/>
      </c>
      <c r="L62" s="29"/>
      <c r="M62" s="35"/>
      <c r="N62" s="36"/>
      <c r="O62" s="36"/>
      <c r="P62" s="29"/>
      <c r="Q62" s="35"/>
      <c r="R62" s="36"/>
      <c r="S62" s="36"/>
      <c r="T62" s="29"/>
      <c r="U62" s="35"/>
      <c r="V62" s="36"/>
      <c r="W62" s="36"/>
      <c r="X62" s="29"/>
      <c r="Y62" s="35"/>
      <c r="Z62" s="36"/>
      <c r="AA62" s="36"/>
      <c r="AB62" s="29"/>
      <c r="AC62" s="35"/>
      <c r="AD62" s="36"/>
      <c r="AE62" s="36"/>
      <c r="AF62" s="29"/>
      <c r="AG62" s="35"/>
      <c r="AH62" s="36"/>
      <c r="AI62" s="36"/>
      <c r="AJ62" s="29"/>
      <c r="AK62" s="35"/>
      <c r="AL62" s="36"/>
      <c r="AM62" s="36"/>
      <c r="AN62" s="29"/>
      <c r="AO62" s="29"/>
      <c r="AP62" s="29"/>
      <c r="AQ62" s="37"/>
      <c r="AR62" s="39" t="str">
        <f aca="false">IF(AN62&lt;&gt;"Yes","",IF(AO62="","SELECT RE-ENTRY STAGE","MOVE TO ACTIVE at "&amp;AO62))</f>
        <v/>
      </c>
      <c r="AS62" s="40" t="str">
        <f aca="false">IF(AN62="Yes",COUNTIF($AN$6:AN62,"Yes"),"")</f>
        <v/>
      </c>
      <c r="AT62" s="29"/>
      <c r="AU62" s="38" t="str">
        <f aca="false">IF($C62="","",IF(OR(F62="Completed",F62="Cancelled"),"",IF(AND(OR(F62="On Hold",ISNUMBER(VALUE(LEFT(H62,2)))),AT62=""),"Reason not given","")))</f>
        <v/>
      </c>
      <c r="AV62" s="30"/>
      <c r="AW62" s="30"/>
    </row>
    <row r="63" customFormat="false" ht="19.5" hidden="false" customHeight="true" outlineLevel="0" collapsed="false">
      <c r="A63" s="28" t="str">
        <f aca="false">IF($C63="","",COUNTA($C$6:$C63))</f>
        <v/>
      </c>
      <c r="B63" s="29"/>
      <c r="C63" s="30"/>
      <c r="D63" s="29"/>
      <c r="E63" s="31" t="str">
        <f aca="false">IF($C63="","",IF(NOT(OR(M63="Completed",M63="NA",M63="Cancelled")),"S1 Schematic",IF(NOT(OR(Q63="Completed",Q63="NA",Q63="Cancelled")),"S2 PCB Layout",IF(NOT(OR(U63="Completed",U63="NA",U63="Cancelled")),"S3 SI &amp; PI",IF(NOT(OR(Y63="Completed",Y63="NA",Y63="Cancelled")),"S4 Bare-PCB Fab",IF(NOT(OR(AC63="Completed",AC63="NA",AC63="Cancelled")),"S5 Assembly",IF(NOT(OR(AG63="Completed",AG63="NA",AG63="Cancelled")),"S6 Bring-up",IF(NOT(OR(AK63="Completed",AK63="NA",AK63="Cancelled")),"S7 BOM Procurement","All Stages Closed"))))))))</f>
        <v/>
      </c>
      <c r="F63" s="32" t="str">
        <f aca="false">IF($C63="","",IF(COUNTIF(M63,"Cancelled")+COUNTIF(Q63,"Cancelled")+COUNTIF(U63,"Cancelled")+COUNTIF(Y63,"Cancelled")+COUNTIF(AC63,"Cancelled")+COUNTIF(AG63,"Cancelled")+COUNTIF(AK63,"Cancelled")&gt;0,"Cancelled",IF(E63="All Stages Closed","Completed",IF(E63="S1 Schematic",M63,IF(E63="S2 PCB Layout",Q63,IF(E63="S3 SI &amp; PI",U63,IF(E63="S4 Bare-PCB Fab",Y63,IF(E63="S5 Assembly",AC63,IF(E63="S6 Bring-up",AG63,AK63)))))))))</f>
        <v/>
      </c>
      <c r="G63" s="33" t="str">
        <f aca="false">IF($C63="","",IF(E63="All Stages Closed","",IF(E63="S1 Schematic",IF(N63="","Not added",N63),IF(E63="S2 PCB Layout",IF(R63="","Not added",R63),IF(E63="S3 SI &amp; PI",IF(V63="","Not added",V63),IF(E63="S4 Bare-PCB Fab",IF(Z63="","Not added",Z63),IF(E63="S5 Assembly",IF(AD63="","Not added",AD63),IF(E63="S6 Bring-up",IF(AH63="","Not added",AH63),IF(AL63="","Not added",AL63)))))))))</f>
        <v/>
      </c>
      <c r="H63" s="32" t="str">
        <f aca="true">IF($C63="","",IF(OR(F63="Completed",F63="Cancelled"),"",IF(NOT(ISNUMBER(G63)),"No date set",IF(TODAY()&gt;G63,TODAY()-G63&amp;" days late",G63-TODAY()&amp;" days left"))))</f>
        <v/>
      </c>
      <c r="I63" s="31" t="str">
        <f aca="false">IF($C63="","",COUNTIF(M63,"Completed")+COUNTIF(Q63,"Completed")+COUNTIF(U63,"Completed")+COUNTIF(Y63,"Completed")+COUNTIF(AC63,"Completed")+COUNTIF(AG63,"Completed")+COUNTIF(AK63,"Completed"))</f>
        <v/>
      </c>
      <c r="J63" s="31" t="str">
        <f aca="false">IF($C63="","",7-(COUNTIF(M63,"NA")+COUNTIF(Q63,"NA")+COUNTIF(U63,"NA")+COUNTIF(Y63,"NA")+COUNTIF(AC63,"NA")+COUNTIF(AG63,"NA")+COUNTIF(AK63,"NA")))</f>
        <v/>
      </c>
      <c r="K63" s="34" t="str">
        <f aca="false">IFERROR(I63/J63,"")</f>
        <v/>
      </c>
      <c r="L63" s="29"/>
      <c r="M63" s="35"/>
      <c r="N63" s="36"/>
      <c r="O63" s="36"/>
      <c r="P63" s="29"/>
      <c r="Q63" s="35"/>
      <c r="R63" s="36"/>
      <c r="S63" s="36"/>
      <c r="T63" s="29"/>
      <c r="U63" s="35"/>
      <c r="V63" s="36"/>
      <c r="W63" s="36"/>
      <c r="X63" s="29"/>
      <c r="Y63" s="35"/>
      <c r="Z63" s="36"/>
      <c r="AA63" s="36"/>
      <c r="AB63" s="29"/>
      <c r="AC63" s="35"/>
      <c r="AD63" s="36"/>
      <c r="AE63" s="36"/>
      <c r="AF63" s="29"/>
      <c r="AG63" s="35"/>
      <c r="AH63" s="36"/>
      <c r="AI63" s="36"/>
      <c r="AJ63" s="29"/>
      <c r="AK63" s="35"/>
      <c r="AL63" s="36"/>
      <c r="AM63" s="36"/>
      <c r="AN63" s="29"/>
      <c r="AO63" s="29"/>
      <c r="AP63" s="29"/>
      <c r="AQ63" s="37"/>
      <c r="AR63" s="39" t="str">
        <f aca="false">IF(AN63&lt;&gt;"Yes","",IF(AO63="","SELECT RE-ENTRY STAGE","MOVE TO ACTIVE at "&amp;AO63))</f>
        <v/>
      </c>
      <c r="AS63" s="40" t="str">
        <f aca="false">IF(AN63="Yes",COUNTIF($AN$6:AN63,"Yes"),"")</f>
        <v/>
      </c>
      <c r="AT63" s="29"/>
      <c r="AU63" s="38" t="str">
        <f aca="false">IF($C63="","",IF(OR(F63="Completed",F63="Cancelled"),"",IF(AND(OR(F63="On Hold",ISNUMBER(VALUE(LEFT(H63,2)))),AT63=""),"Reason not given","")))</f>
        <v/>
      </c>
      <c r="AV63" s="30"/>
      <c r="AW63" s="30"/>
    </row>
    <row r="64" customFormat="false" ht="19.5" hidden="false" customHeight="true" outlineLevel="0" collapsed="false">
      <c r="A64" s="28" t="str">
        <f aca="false">IF($C64="","",COUNTA($C$6:$C64))</f>
        <v/>
      </c>
      <c r="B64" s="29"/>
      <c r="C64" s="30"/>
      <c r="D64" s="29"/>
      <c r="E64" s="31" t="str">
        <f aca="false">IF($C64="","",IF(NOT(OR(M64="Completed",M64="NA",M64="Cancelled")),"S1 Schematic",IF(NOT(OR(Q64="Completed",Q64="NA",Q64="Cancelled")),"S2 PCB Layout",IF(NOT(OR(U64="Completed",U64="NA",U64="Cancelled")),"S3 SI &amp; PI",IF(NOT(OR(Y64="Completed",Y64="NA",Y64="Cancelled")),"S4 Bare-PCB Fab",IF(NOT(OR(AC64="Completed",AC64="NA",AC64="Cancelled")),"S5 Assembly",IF(NOT(OR(AG64="Completed",AG64="NA",AG64="Cancelled")),"S6 Bring-up",IF(NOT(OR(AK64="Completed",AK64="NA",AK64="Cancelled")),"S7 BOM Procurement","All Stages Closed"))))))))</f>
        <v/>
      </c>
      <c r="F64" s="32" t="str">
        <f aca="false">IF($C64="","",IF(COUNTIF(M64,"Cancelled")+COUNTIF(Q64,"Cancelled")+COUNTIF(U64,"Cancelled")+COUNTIF(Y64,"Cancelled")+COUNTIF(AC64,"Cancelled")+COUNTIF(AG64,"Cancelled")+COUNTIF(AK64,"Cancelled")&gt;0,"Cancelled",IF(E64="All Stages Closed","Completed",IF(E64="S1 Schematic",M64,IF(E64="S2 PCB Layout",Q64,IF(E64="S3 SI &amp; PI",U64,IF(E64="S4 Bare-PCB Fab",Y64,IF(E64="S5 Assembly",AC64,IF(E64="S6 Bring-up",AG64,AK64)))))))))</f>
        <v/>
      </c>
      <c r="G64" s="33" t="str">
        <f aca="false">IF($C64="","",IF(E64="All Stages Closed","",IF(E64="S1 Schematic",IF(N64="","Not added",N64),IF(E64="S2 PCB Layout",IF(R64="","Not added",R64),IF(E64="S3 SI &amp; PI",IF(V64="","Not added",V64),IF(E64="S4 Bare-PCB Fab",IF(Z64="","Not added",Z64),IF(E64="S5 Assembly",IF(AD64="","Not added",AD64),IF(E64="S6 Bring-up",IF(AH64="","Not added",AH64),IF(AL64="","Not added",AL64)))))))))</f>
        <v/>
      </c>
      <c r="H64" s="32" t="str">
        <f aca="true">IF($C64="","",IF(OR(F64="Completed",F64="Cancelled"),"",IF(NOT(ISNUMBER(G64)),"No date set",IF(TODAY()&gt;G64,TODAY()-G64&amp;" days late",G64-TODAY()&amp;" days left"))))</f>
        <v/>
      </c>
      <c r="I64" s="31" t="str">
        <f aca="false">IF($C64="","",COUNTIF(M64,"Completed")+COUNTIF(Q64,"Completed")+COUNTIF(U64,"Completed")+COUNTIF(Y64,"Completed")+COUNTIF(AC64,"Completed")+COUNTIF(AG64,"Completed")+COUNTIF(AK64,"Completed"))</f>
        <v/>
      </c>
      <c r="J64" s="31" t="str">
        <f aca="false">IF($C64="","",7-(COUNTIF(M64,"NA")+COUNTIF(Q64,"NA")+COUNTIF(U64,"NA")+COUNTIF(Y64,"NA")+COUNTIF(AC64,"NA")+COUNTIF(AG64,"NA")+COUNTIF(AK64,"NA")))</f>
        <v/>
      </c>
      <c r="K64" s="34" t="str">
        <f aca="false">IFERROR(I64/J64,"")</f>
        <v/>
      </c>
      <c r="L64" s="29"/>
      <c r="M64" s="35"/>
      <c r="N64" s="36"/>
      <c r="O64" s="36"/>
      <c r="P64" s="29"/>
      <c r="Q64" s="35"/>
      <c r="R64" s="36"/>
      <c r="S64" s="36"/>
      <c r="T64" s="29"/>
      <c r="U64" s="35"/>
      <c r="V64" s="36"/>
      <c r="W64" s="36"/>
      <c r="X64" s="29"/>
      <c r="Y64" s="35"/>
      <c r="Z64" s="36"/>
      <c r="AA64" s="36"/>
      <c r="AB64" s="29"/>
      <c r="AC64" s="35"/>
      <c r="AD64" s="36"/>
      <c r="AE64" s="36"/>
      <c r="AF64" s="29"/>
      <c r="AG64" s="35"/>
      <c r="AH64" s="36"/>
      <c r="AI64" s="36"/>
      <c r="AJ64" s="29"/>
      <c r="AK64" s="35"/>
      <c r="AL64" s="36"/>
      <c r="AM64" s="36"/>
      <c r="AN64" s="29"/>
      <c r="AO64" s="29"/>
      <c r="AP64" s="29"/>
      <c r="AQ64" s="37"/>
      <c r="AR64" s="39" t="str">
        <f aca="false">IF(AN64&lt;&gt;"Yes","",IF(AO64="","SELECT RE-ENTRY STAGE","MOVE TO ACTIVE at "&amp;AO64))</f>
        <v/>
      </c>
      <c r="AS64" s="40" t="str">
        <f aca="false">IF(AN64="Yes",COUNTIF($AN$6:AN64,"Yes"),"")</f>
        <v/>
      </c>
      <c r="AT64" s="29"/>
      <c r="AU64" s="38" t="str">
        <f aca="false">IF($C64="","",IF(OR(F64="Completed",F64="Cancelled"),"",IF(AND(OR(F64="On Hold",ISNUMBER(VALUE(LEFT(H64,2)))),AT64=""),"Reason not given","")))</f>
        <v/>
      </c>
      <c r="AV64" s="30"/>
      <c r="AW64" s="30"/>
    </row>
    <row r="65" customFormat="false" ht="19.5" hidden="false" customHeight="true" outlineLevel="0" collapsed="false">
      <c r="A65" s="28" t="str">
        <f aca="false">IF($C65="","",COUNTA($C$6:$C65))</f>
        <v/>
      </c>
      <c r="B65" s="29"/>
      <c r="C65" s="30"/>
      <c r="D65" s="29"/>
      <c r="E65" s="31" t="str">
        <f aca="false">IF($C65="","",IF(NOT(OR(M65="Completed",M65="NA",M65="Cancelled")),"S1 Schematic",IF(NOT(OR(Q65="Completed",Q65="NA",Q65="Cancelled")),"S2 PCB Layout",IF(NOT(OR(U65="Completed",U65="NA",U65="Cancelled")),"S3 SI &amp; PI",IF(NOT(OR(Y65="Completed",Y65="NA",Y65="Cancelled")),"S4 Bare-PCB Fab",IF(NOT(OR(AC65="Completed",AC65="NA",AC65="Cancelled")),"S5 Assembly",IF(NOT(OR(AG65="Completed",AG65="NA",AG65="Cancelled")),"S6 Bring-up",IF(NOT(OR(AK65="Completed",AK65="NA",AK65="Cancelled")),"S7 BOM Procurement","All Stages Closed"))))))))</f>
        <v/>
      </c>
      <c r="F65" s="32" t="str">
        <f aca="false">IF($C65="","",IF(COUNTIF(M65,"Cancelled")+COUNTIF(Q65,"Cancelled")+COUNTIF(U65,"Cancelled")+COUNTIF(Y65,"Cancelled")+COUNTIF(AC65,"Cancelled")+COUNTIF(AG65,"Cancelled")+COUNTIF(AK65,"Cancelled")&gt;0,"Cancelled",IF(E65="All Stages Closed","Completed",IF(E65="S1 Schematic",M65,IF(E65="S2 PCB Layout",Q65,IF(E65="S3 SI &amp; PI",U65,IF(E65="S4 Bare-PCB Fab",Y65,IF(E65="S5 Assembly",AC65,IF(E65="S6 Bring-up",AG65,AK65)))))))))</f>
        <v/>
      </c>
      <c r="G65" s="33" t="str">
        <f aca="false">IF($C65="","",IF(E65="All Stages Closed","",IF(E65="S1 Schematic",IF(N65="","Not added",N65),IF(E65="S2 PCB Layout",IF(R65="","Not added",R65),IF(E65="S3 SI &amp; PI",IF(V65="","Not added",V65),IF(E65="S4 Bare-PCB Fab",IF(Z65="","Not added",Z65),IF(E65="S5 Assembly",IF(AD65="","Not added",AD65),IF(E65="S6 Bring-up",IF(AH65="","Not added",AH65),IF(AL65="","Not added",AL65)))))))))</f>
        <v/>
      </c>
      <c r="H65" s="32" t="str">
        <f aca="true">IF($C65="","",IF(OR(F65="Completed",F65="Cancelled"),"",IF(NOT(ISNUMBER(G65)),"No date set",IF(TODAY()&gt;G65,TODAY()-G65&amp;" days late",G65-TODAY()&amp;" days left"))))</f>
        <v/>
      </c>
      <c r="I65" s="31" t="str">
        <f aca="false">IF($C65="","",COUNTIF(M65,"Completed")+COUNTIF(Q65,"Completed")+COUNTIF(U65,"Completed")+COUNTIF(Y65,"Completed")+COUNTIF(AC65,"Completed")+COUNTIF(AG65,"Completed")+COUNTIF(AK65,"Completed"))</f>
        <v/>
      </c>
      <c r="J65" s="31" t="str">
        <f aca="false">IF($C65="","",7-(COUNTIF(M65,"NA")+COUNTIF(Q65,"NA")+COUNTIF(U65,"NA")+COUNTIF(Y65,"NA")+COUNTIF(AC65,"NA")+COUNTIF(AG65,"NA")+COUNTIF(AK65,"NA")))</f>
        <v/>
      </c>
      <c r="K65" s="34" t="str">
        <f aca="false">IFERROR(I65/J65,"")</f>
        <v/>
      </c>
      <c r="L65" s="29"/>
      <c r="M65" s="35"/>
      <c r="N65" s="36"/>
      <c r="O65" s="36"/>
      <c r="P65" s="29"/>
      <c r="Q65" s="35"/>
      <c r="R65" s="36"/>
      <c r="S65" s="36"/>
      <c r="T65" s="29"/>
      <c r="U65" s="35"/>
      <c r="V65" s="36"/>
      <c r="W65" s="36"/>
      <c r="X65" s="29"/>
      <c r="Y65" s="35"/>
      <c r="Z65" s="36"/>
      <c r="AA65" s="36"/>
      <c r="AB65" s="29"/>
      <c r="AC65" s="35"/>
      <c r="AD65" s="36"/>
      <c r="AE65" s="36"/>
      <c r="AF65" s="29"/>
      <c r="AG65" s="35"/>
      <c r="AH65" s="36"/>
      <c r="AI65" s="36"/>
      <c r="AJ65" s="29"/>
      <c r="AK65" s="35"/>
      <c r="AL65" s="36"/>
      <c r="AM65" s="36"/>
      <c r="AN65" s="29"/>
      <c r="AO65" s="29"/>
      <c r="AP65" s="29"/>
      <c r="AQ65" s="37"/>
      <c r="AR65" s="39" t="str">
        <f aca="false">IF(AN65&lt;&gt;"Yes","",IF(AO65="","SELECT RE-ENTRY STAGE","MOVE TO ACTIVE at "&amp;AO65))</f>
        <v/>
      </c>
      <c r="AS65" s="40" t="str">
        <f aca="false">IF(AN65="Yes",COUNTIF($AN$6:AN65,"Yes"),"")</f>
        <v/>
      </c>
      <c r="AT65" s="29"/>
      <c r="AU65" s="38" t="str">
        <f aca="false">IF($C65="","",IF(OR(F65="Completed",F65="Cancelled"),"",IF(AND(OR(F65="On Hold",ISNUMBER(VALUE(LEFT(H65,2)))),AT65=""),"Reason not given","")))</f>
        <v/>
      </c>
      <c r="AV65" s="30"/>
      <c r="AW65" s="30"/>
    </row>
    <row r="66" customFormat="false" ht="19.5" hidden="false" customHeight="true" outlineLevel="0" collapsed="false">
      <c r="A66" s="28" t="str">
        <f aca="false">IF($C66="","",COUNTA($C$6:$C66))</f>
        <v/>
      </c>
      <c r="B66" s="29"/>
      <c r="C66" s="30"/>
      <c r="D66" s="29"/>
      <c r="E66" s="31" t="str">
        <f aca="false">IF($C66="","",IF(NOT(OR(M66="Completed",M66="NA",M66="Cancelled")),"S1 Schematic",IF(NOT(OR(Q66="Completed",Q66="NA",Q66="Cancelled")),"S2 PCB Layout",IF(NOT(OR(U66="Completed",U66="NA",U66="Cancelled")),"S3 SI &amp; PI",IF(NOT(OR(Y66="Completed",Y66="NA",Y66="Cancelled")),"S4 Bare-PCB Fab",IF(NOT(OR(AC66="Completed",AC66="NA",AC66="Cancelled")),"S5 Assembly",IF(NOT(OR(AG66="Completed",AG66="NA",AG66="Cancelled")),"S6 Bring-up",IF(NOT(OR(AK66="Completed",AK66="NA",AK66="Cancelled")),"S7 BOM Procurement","All Stages Closed"))))))))</f>
        <v/>
      </c>
      <c r="F66" s="32" t="str">
        <f aca="false">IF($C66="","",IF(COUNTIF(M66,"Cancelled")+COUNTIF(Q66,"Cancelled")+COUNTIF(U66,"Cancelled")+COUNTIF(Y66,"Cancelled")+COUNTIF(AC66,"Cancelled")+COUNTIF(AG66,"Cancelled")+COUNTIF(AK66,"Cancelled")&gt;0,"Cancelled",IF(E66="All Stages Closed","Completed",IF(E66="S1 Schematic",M66,IF(E66="S2 PCB Layout",Q66,IF(E66="S3 SI &amp; PI",U66,IF(E66="S4 Bare-PCB Fab",Y66,IF(E66="S5 Assembly",AC66,IF(E66="S6 Bring-up",AG66,AK66)))))))))</f>
        <v/>
      </c>
      <c r="G66" s="33" t="str">
        <f aca="false">IF($C66="","",IF(E66="All Stages Closed","",IF(E66="S1 Schematic",IF(N66="","Not added",N66),IF(E66="S2 PCB Layout",IF(R66="","Not added",R66),IF(E66="S3 SI &amp; PI",IF(V66="","Not added",V66),IF(E66="S4 Bare-PCB Fab",IF(Z66="","Not added",Z66),IF(E66="S5 Assembly",IF(AD66="","Not added",AD66),IF(E66="S6 Bring-up",IF(AH66="","Not added",AH66),IF(AL66="","Not added",AL66)))))))))</f>
        <v/>
      </c>
      <c r="H66" s="32" t="str">
        <f aca="true">IF($C66="","",IF(OR(F66="Completed",F66="Cancelled"),"",IF(NOT(ISNUMBER(G66)),"No date set",IF(TODAY()&gt;G66,TODAY()-G66&amp;" days late",G66-TODAY()&amp;" days left"))))</f>
        <v/>
      </c>
      <c r="I66" s="31" t="str">
        <f aca="false">IF($C66="","",COUNTIF(M66,"Completed")+COUNTIF(Q66,"Completed")+COUNTIF(U66,"Completed")+COUNTIF(Y66,"Completed")+COUNTIF(AC66,"Completed")+COUNTIF(AG66,"Completed")+COUNTIF(AK66,"Completed"))</f>
        <v/>
      </c>
      <c r="J66" s="31" t="str">
        <f aca="false">IF($C66="","",7-(COUNTIF(M66,"NA")+COUNTIF(Q66,"NA")+COUNTIF(U66,"NA")+COUNTIF(Y66,"NA")+COUNTIF(AC66,"NA")+COUNTIF(AG66,"NA")+COUNTIF(AK66,"NA")))</f>
        <v/>
      </c>
      <c r="K66" s="34" t="str">
        <f aca="false">IFERROR(I66/J66,"")</f>
        <v/>
      </c>
      <c r="L66" s="29"/>
      <c r="M66" s="35"/>
      <c r="N66" s="36"/>
      <c r="O66" s="36"/>
      <c r="P66" s="29"/>
      <c r="Q66" s="35"/>
      <c r="R66" s="36"/>
      <c r="S66" s="36"/>
      <c r="T66" s="29"/>
      <c r="U66" s="35"/>
      <c r="V66" s="36"/>
      <c r="W66" s="36"/>
      <c r="X66" s="29"/>
      <c r="Y66" s="35"/>
      <c r="Z66" s="36"/>
      <c r="AA66" s="36"/>
      <c r="AB66" s="29"/>
      <c r="AC66" s="35"/>
      <c r="AD66" s="36"/>
      <c r="AE66" s="36"/>
      <c r="AF66" s="29"/>
      <c r="AG66" s="35"/>
      <c r="AH66" s="36"/>
      <c r="AI66" s="36"/>
      <c r="AJ66" s="29"/>
      <c r="AK66" s="35"/>
      <c r="AL66" s="36"/>
      <c r="AM66" s="36"/>
      <c r="AN66" s="29"/>
      <c r="AO66" s="29"/>
      <c r="AP66" s="29"/>
      <c r="AQ66" s="37"/>
      <c r="AR66" s="39" t="str">
        <f aca="false">IF(AN66&lt;&gt;"Yes","",IF(AO66="","SELECT RE-ENTRY STAGE","MOVE TO ACTIVE at "&amp;AO66))</f>
        <v/>
      </c>
      <c r="AS66" s="40" t="str">
        <f aca="false">IF(AN66="Yes",COUNTIF($AN$6:AN66,"Yes"),"")</f>
        <v/>
      </c>
      <c r="AT66" s="29"/>
      <c r="AU66" s="38" t="str">
        <f aca="false">IF($C66="","",IF(OR(F66="Completed",F66="Cancelled"),"",IF(AND(OR(F66="On Hold",ISNUMBER(VALUE(LEFT(H66,2)))),AT66=""),"Reason not given","")))</f>
        <v/>
      </c>
      <c r="AV66" s="30"/>
      <c r="AW66" s="30"/>
    </row>
    <row r="67" customFormat="false" ht="19.5" hidden="false" customHeight="true" outlineLevel="0" collapsed="false">
      <c r="A67" s="28" t="str">
        <f aca="false">IF($C67="","",COUNTA($C$6:$C67))</f>
        <v/>
      </c>
      <c r="B67" s="29"/>
      <c r="C67" s="30"/>
      <c r="D67" s="29"/>
      <c r="E67" s="31" t="str">
        <f aca="false">IF($C67="","",IF(NOT(OR(M67="Completed",M67="NA",M67="Cancelled")),"S1 Schematic",IF(NOT(OR(Q67="Completed",Q67="NA",Q67="Cancelled")),"S2 PCB Layout",IF(NOT(OR(U67="Completed",U67="NA",U67="Cancelled")),"S3 SI &amp; PI",IF(NOT(OR(Y67="Completed",Y67="NA",Y67="Cancelled")),"S4 Bare-PCB Fab",IF(NOT(OR(AC67="Completed",AC67="NA",AC67="Cancelled")),"S5 Assembly",IF(NOT(OR(AG67="Completed",AG67="NA",AG67="Cancelled")),"S6 Bring-up",IF(NOT(OR(AK67="Completed",AK67="NA",AK67="Cancelled")),"S7 BOM Procurement","All Stages Closed"))))))))</f>
        <v/>
      </c>
      <c r="F67" s="32" t="str">
        <f aca="false">IF($C67="","",IF(COUNTIF(M67,"Cancelled")+COUNTIF(Q67,"Cancelled")+COUNTIF(U67,"Cancelled")+COUNTIF(Y67,"Cancelled")+COUNTIF(AC67,"Cancelled")+COUNTIF(AG67,"Cancelled")+COUNTIF(AK67,"Cancelled")&gt;0,"Cancelled",IF(E67="All Stages Closed","Completed",IF(E67="S1 Schematic",M67,IF(E67="S2 PCB Layout",Q67,IF(E67="S3 SI &amp; PI",U67,IF(E67="S4 Bare-PCB Fab",Y67,IF(E67="S5 Assembly",AC67,IF(E67="S6 Bring-up",AG67,AK67)))))))))</f>
        <v/>
      </c>
      <c r="G67" s="33" t="str">
        <f aca="false">IF($C67="","",IF(E67="All Stages Closed","",IF(E67="S1 Schematic",IF(N67="","Not added",N67),IF(E67="S2 PCB Layout",IF(R67="","Not added",R67),IF(E67="S3 SI &amp; PI",IF(V67="","Not added",V67),IF(E67="S4 Bare-PCB Fab",IF(Z67="","Not added",Z67),IF(E67="S5 Assembly",IF(AD67="","Not added",AD67),IF(E67="S6 Bring-up",IF(AH67="","Not added",AH67),IF(AL67="","Not added",AL67)))))))))</f>
        <v/>
      </c>
      <c r="H67" s="32" t="str">
        <f aca="true">IF($C67="","",IF(OR(F67="Completed",F67="Cancelled"),"",IF(NOT(ISNUMBER(G67)),"No date set",IF(TODAY()&gt;G67,TODAY()-G67&amp;" days late",G67-TODAY()&amp;" days left"))))</f>
        <v/>
      </c>
      <c r="I67" s="31" t="str">
        <f aca="false">IF($C67="","",COUNTIF(M67,"Completed")+COUNTIF(Q67,"Completed")+COUNTIF(U67,"Completed")+COUNTIF(Y67,"Completed")+COUNTIF(AC67,"Completed")+COUNTIF(AG67,"Completed")+COUNTIF(AK67,"Completed"))</f>
        <v/>
      </c>
      <c r="J67" s="31" t="str">
        <f aca="false">IF($C67="","",7-(COUNTIF(M67,"NA")+COUNTIF(Q67,"NA")+COUNTIF(U67,"NA")+COUNTIF(Y67,"NA")+COUNTIF(AC67,"NA")+COUNTIF(AG67,"NA")+COUNTIF(AK67,"NA")))</f>
        <v/>
      </c>
      <c r="K67" s="34" t="str">
        <f aca="false">IFERROR(I67/J67,"")</f>
        <v/>
      </c>
      <c r="L67" s="29"/>
      <c r="M67" s="35"/>
      <c r="N67" s="36"/>
      <c r="O67" s="36"/>
      <c r="P67" s="29"/>
      <c r="Q67" s="35"/>
      <c r="R67" s="36"/>
      <c r="S67" s="36"/>
      <c r="T67" s="29"/>
      <c r="U67" s="35"/>
      <c r="V67" s="36"/>
      <c r="W67" s="36"/>
      <c r="X67" s="29"/>
      <c r="Y67" s="35"/>
      <c r="Z67" s="36"/>
      <c r="AA67" s="36"/>
      <c r="AB67" s="29"/>
      <c r="AC67" s="35"/>
      <c r="AD67" s="36"/>
      <c r="AE67" s="36"/>
      <c r="AF67" s="29"/>
      <c r="AG67" s="35"/>
      <c r="AH67" s="36"/>
      <c r="AI67" s="36"/>
      <c r="AJ67" s="29"/>
      <c r="AK67" s="35"/>
      <c r="AL67" s="36"/>
      <c r="AM67" s="36"/>
      <c r="AN67" s="29"/>
      <c r="AO67" s="29"/>
      <c r="AP67" s="29"/>
      <c r="AQ67" s="37"/>
      <c r="AR67" s="39" t="str">
        <f aca="false">IF(AN67&lt;&gt;"Yes","",IF(AO67="","SELECT RE-ENTRY STAGE","MOVE TO ACTIVE at "&amp;AO67))</f>
        <v/>
      </c>
      <c r="AS67" s="40" t="str">
        <f aca="false">IF(AN67="Yes",COUNTIF($AN$6:AN67,"Yes"),"")</f>
        <v/>
      </c>
      <c r="AT67" s="29"/>
      <c r="AU67" s="38" t="str">
        <f aca="false">IF($C67="","",IF(OR(F67="Completed",F67="Cancelled"),"",IF(AND(OR(F67="On Hold",ISNUMBER(VALUE(LEFT(H67,2)))),AT67=""),"Reason not given","")))</f>
        <v/>
      </c>
      <c r="AV67" s="30"/>
      <c r="AW67" s="30"/>
    </row>
    <row r="68" customFormat="false" ht="19.5" hidden="false" customHeight="true" outlineLevel="0" collapsed="false">
      <c r="A68" s="28" t="str">
        <f aca="false">IF($C68="","",COUNTA($C$6:$C68))</f>
        <v/>
      </c>
      <c r="B68" s="29"/>
      <c r="C68" s="30"/>
      <c r="D68" s="29"/>
      <c r="E68" s="31" t="str">
        <f aca="false">IF($C68="","",IF(NOT(OR(M68="Completed",M68="NA",M68="Cancelled")),"S1 Schematic",IF(NOT(OR(Q68="Completed",Q68="NA",Q68="Cancelled")),"S2 PCB Layout",IF(NOT(OR(U68="Completed",U68="NA",U68="Cancelled")),"S3 SI &amp; PI",IF(NOT(OR(Y68="Completed",Y68="NA",Y68="Cancelled")),"S4 Bare-PCB Fab",IF(NOT(OR(AC68="Completed",AC68="NA",AC68="Cancelled")),"S5 Assembly",IF(NOT(OR(AG68="Completed",AG68="NA",AG68="Cancelled")),"S6 Bring-up",IF(NOT(OR(AK68="Completed",AK68="NA",AK68="Cancelled")),"S7 BOM Procurement","All Stages Closed"))))))))</f>
        <v/>
      </c>
      <c r="F68" s="32" t="str">
        <f aca="false">IF($C68="","",IF(COUNTIF(M68,"Cancelled")+COUNTIF(Q68,"Cancelled")+COUNTIF(U68,"Cancelled")+COUNTIF(Y68,"Cancelled")+COUNTIF(AC68,"Cancelled")+COUNTIF(AG68,"Cancelled")+COUNTIF(AK68,"Cancelled")&gt;0,"Cancelled",IF(E68="All Stages Closed","Completed",IF(E68="S1 Schematic",M68,IF(E68="S2 PCB Layout",Q68,IF(E68="S3 SI &amp; PI",U68,IF(E68="S4 Bare-PCB Fab",Y68,IF(E68="S5 Assembly",AC68,IF(E68="S6 Bring-up",AG68,AK68)))))))))</f>
        <v/>
      </c>
      <c r="G68" s="33" t="str">
        <f aca="false">IF($C68="","",IF(E68="All Stages Closed","",IF(E68="S1 Schematic",IF(N68="","Not added",N68),IF(E68="S2 PCB Layout",IF(R68="","Not added",R68),IF(E68="S3 SI &amp; PI",IF(V68="","Not added",V68),IF(E68="S4 Bare-PCB Fab",IF(Z68="","Not added",Z68),IF(E68="S5 Assembly",IF(AD68="","Not added",AD68),IF(E68="S6 Bring-up",IF(AH68="","Not added",AH68),IF(AL68="","Not added",AL68)))))))))</f>
        <v/>
      </c>
      <c r="H68" s="32" t="str">
        <f aca="true">IF($C68="","",IF(OR(F68="Completed",F68="Cancelled"),"",IF(NOT(ISNUMBER(G68)),"No date set",IF(TODAY()&gt;G68,TODAY()-G68&amp;" days late",G68-TODAY()&amp;" days left"))))</f>
        <v/>
      </c>
      <c r="I68" s="31" t="str">
        <f aca="false">IF($C68="","",COUNTIF(M68,"Completed")+COUNTIF(Q68,"Completed")+COUNTIF(U68,"Completed")+COUNTIF(Y68,"Completed")+COUNTIF(AC68,"Completed")+COUNTIF(AG68,"Completed")+COUNTIF(AK68,"Completed"))</f>
        <v/>
      </c>
      <c r="J68" s="31" t="str">
        <f aca="false">IF($C68="","",7-(COUNTIF(M68,"NA")+COUNTIF(Q68,"NA")+COUNTIF(U68,"NA")+COUNTIF(Y68,"NA")+COUNTIF(AC68,"NA")+COUNTIF(AG68,"NA")+COUNTIF(AK68,"NA")))</f>
        <v/>
      </c>
      <c r="K68" s="34" t="str">
        <f aca="false">IFERROR(I68/J68,"")</f>
        <v/>
      </c>
      <c r="L68" s="29"/>
      <c r="M68" s="35"/>
      <c r="N68" s="36"/>
      <c r="O68" s="36"/>
      <c r="P68" s="29"/>
      <c r="Q68" s="35"/>
      <c r="R68" s="36"/>
      <c r="S68" s="36"/>
      <c r="T68" s="29"/>
      <c r="U68" s="35"/>
      <c r="V68" s="36"/>
      <c r="W68" s="36"/>
      <c r="X68" s="29"/>
      <c r="Y68" s="35"/>
      <c r="Z68" s="36"/>
      <c r="AA68" s="36"/>
      <c r="AB68" s="29"/>
      <c r="AC68" s="35"/>
      <c r="AD68" s="36"/>
      <c r="AE68" s="36"/>
      <c r="AF68" s="29"/>
      <c r="AG68" s="35"/>
      <c r="AH68" s="36"/>
      <c r="AI68" s="36"/>
      <c r="AJ68" s="29"/>
      <c r="AK68" s="35"/>
      <c r="AL68" s="36"/>
      <c r="AM68" s="36"/>
      <c r="AN68" s="29"/>
      <c r="AO68" s="29"/>
      <c r="AP68" s="29"/>
      <c r="AQ68" s="37"/>
      <c r="AR68" s="39" t="str">
        <f aca="false">IF(AN68&lt;&gt;"Yes","",IF(AO68="","SELECT RE-ENTRY STAGE","MOVE TO ACTIVE at "&amp;AO68))</f>
        <v/>
      </c>
      <c r="AS68" s="40" t="str">
        <f aca="false">IF(AN68="Yes",COUNTIF($AN$6:AN68,"Yes"),"")</f>
        <v/>
      </c>
      <c r="AT68" s="29"/>
      <c r="AU68" s="38" t="str">
        <f aca="false">IF($C68="","",IF(OR(F68="Completed",F68="Cancelled"),"",IF(AND(OR(F68="On Hold",ISNUMBER(VALUE(LEFT(H68,2)))),AT68=""),"Reason not given","")))</f>
        <v/>
      </c>
      <c r="AV68" s="30"/>
      <c r="AW68" s="30"/>
    </row>
    <row r="69" customFormat="false" ht="19.5" hidden="false" customHeight="true" outlineLevel="0" collapsed="false">
      <c r="A69" s="28" t="str">
        <f aca="false">IF($C69="","",COUNTA($C$6:$C69))</f>
        <v/>
      </c>
      <c r="B69" s="29"/>
      <c r="C69" s="30"/>
      <c r="D69" s="29"/>
      <c r="E69" s="31" t="str">
        <f aca="false">IF($C69="","",IF(NOT(OR(M69="Completed",M69="NA",M69="Cancelled")),"S1 Schematic",IF(NOT(OR(Q69="Completed",Q69="NA",Q69="Cancelled")),"S2 PCB Layout",IF(NOT(OR(U69="Completed",U69="NA",U69="Cancelled")),"S3 SI &amp; PI",IF(NOT(OR(Y69="Completed",Y69="NA",Y69="Cancelled")),"S4 Bare-PCB Fab",IF(NOT(OR(AC69="Completed",AC69="NA",AC69="Cancelled")),"S5 Assembly",IF(NOT(OR(AG69="Completed",AG69="NA",AG69="Cancelled")),"S6 Bring-up",IF(NOT(OR(AK69="Completed",AK69="NA",AK69="Cancelled")),"S7 BOM Procurement","All Stages Closed"))))))))</f>
        <v/>
      </c>
      <c r="F69" s="32" t="str">
        <f aca="false">IF($C69="","",IF(COUNTIF(M69,"Cancelled")+COUNTIF(Q69,"Cancelled")+COUNTIF(U69,"Cancelled")+COUNTIF(Y69,"Cancelled")+COUNTIF(AC69,"Cancelled")+COUNTIF(AG69,"Cancelled")+COUNTIF(AK69,"Cancelled")&gt;0,"Cancelled",IF(E69="All Stages Closed","Completed",IF(E69="S1 Schematic",M69,IF(E69="S2 PCB Layout",Q69,IF(E69="S3 SI &amp; PI",U69,IF(E69="S4 Bare-PCB Fab",Y69,IF(E69="S5 Assembly",AC69,IF(E69="S6 Bring-up",AG69,AK69)))))))))</f>
        <v/>
      </c>
      <c r="G69" s="33" t="str">
        <f aca="false">IF($C69="","",IF(E69="All Stages Closed","",IF(E69="S1 Schematic",IF(N69="","Not added",N69),IF(E69="S2 PCB Layout",IF(R69="","Not added",R69),IF(E69="S3 SI &amp; PI",IF(V69="","Not added",V69),IF(E69="S4 Bare-PCB Fab",IF(Z69="","Not added",Z69),IF(E69="S5 Assembly",IF(AD69="","Not added",AD69),IF(E69="S6 Bring-up",IF(AH69="","Not added",AH69),IF(AL69="","Not added",AL69)))))))))</f>
        <v/>
      </c>
      <c r="H69" s="32" t="str">
        <f aca="true">IF($C69="","",IF(OR(F69="Completed",F69="Cancelled"),"",IF(NOT(ISNUMBER(G69)),"No date set",IF(TODAY()&gt;G69,TODAY()-G69&amp;" days late",G69-TODAY()&amp;" days left"))))</f>
        <v/>
      </c>
      <c r="I69" s="31" t="str">
        <f aca="false">IF($C69="","",COUNTIF(M69,"Completed")+COUNTIF(Q69,"Completed")+COUNTIF(U69,"Completed")+COUNTIF(Y69,"Completed")+COUNTIF(AC69,"Completed")+COUNTIF(AG69,"Completed")+COUNTIF(AK69,"Completed"))</f>
        <v/>
      </c>
      <c r="J69" s="31" t="str">
        <f aca="false">IF($C69="","",7-(COUNTIF(M69,"NA")+COUNTIF(Q69,"NA")+COUNTIF(U69,"NA")+COUNTIF(Y69,"NA")+COUNTIF(AC69,"NA")+COUNTIF(AG69,"NA")+COUNTIF(AK69,"NA")))</f>
        <v/>
      </c>
      <c r="K69" s="34" t="str">
        <f aca="false">IFERROR(I69/J69,"")</f>
        <v/>
      </c>
      <c r="L69" s="29"/>
      <c r="M69" s="35"/>
      <c r="N69" s="36"/>
      <c r="O69" s="36"/>
      <c r="P69" s="29"/>
      <c r="Q69" s="35"/>
      <c r="R69" s="36"/>
      <c r="S69" s="36"/>
      <c r="T69" s="29"/>
      <c r="U69" s="35"/>
      <c r="V69" s="36"/>
      <c r="W69" s="36"/>
      <c r="X69" s="29"/>
      <c r="Y69" s="35"/>
      <c r="Z69" s="36"/>
      <c r="AA69" s="36"/>
      <c r="AB69" s="29"/>
      <c r="AC69" s="35"/>
      <c r="AD69" s="36"/>
      <c r="AE69" s="36"/>
      <c r="AF69" s="29"/>
      <c r="AG69" s="35"/>
      <c r="AH69" s="36"/>
      <c r="AI69" s="36"/>
      <c r="AJ69" s="29"/>
      <c r="AK69" s="35"/>
      <c r="AL69" s="36"/>
      <c r="AM69" s="36"/>
      <c r="AN69" s="29"/>
      <c r="AO69" s="29"/>
      <c r="AP69" s="29"/>
      <c r="AQ69" s="37"/>
      <c r="AR69" s="39" t="str">
        <f aca="false">IF(AN69&lt;&gt;"Yes","",IF(AO69="","SELECT RE-ENTRY STAGE","MOVE TO ACTIVE at "&amp;AO69))</f>
        <v/>
      </c>
      <c r="AS69" s="40" t="str">
        <f aca="false">IF(AN69="Yes",COUNTIF($AN$6:AN69,"Yes"),"")</f>
        <v/>
      </c>
      <c r="AT69" s="29"/>
      <c r="AU69" s="38" t="str">
        <f aca="false">IF($C69="","",IF(OR(F69="Completed",F69="Cancelled"),"",IF(AND(OR(F69="On Hold",ISNUMBER(VALUE(LEFT(H69,2)))),AT69=""),"Reason not given","")))</f>
        <v/>
      </c>
      <c r="AV69" s="30"/>
      <c r="AW69" s="30"/>
    </row>
    <row r="70" customFormat="false" ht="19.5" hidden="false" customHeight="true" outlineLevel="0" collapsed="false">
      <c r="A70" s="28" t="str">
        <f aca="false">IF($C70="","",COUNTA($C$6:$C70))</f>
        <v/>
      </c>
      <c r="B70" s="29"/>
      <c r="C70" s="30"/>
      <c r="D70" s="29"/>
      <c r="E70" s="31" t="str">
        <f aca="false">IF($C70="","",IF(NOT(OR(M70="Completed",M70="NA",M70="Cancelled")),"S1 Schematic",IF(NOT(OR(Q70="Completed",Q70="NA",Q70="Cancelled")),"S2 PCB Layout",IF(NOT(OR(U70="Completed",U70="NA",U70="Cancelled")),"S3 SI &amp; PI",IF(NOT(OR(Y70="Completed",Y70="NA",Y70="Cancelled")),"S4 Bare-PCB Fab",IF(NOT(OR(AC70="Completed",AC70="NA",AC70="Cancelled")),"S5 Assembly",IF(NOT(OR(AG70="Completed",AG70="NA",AG70="Cancelled")),"S6 Bring-up",IF(NOT(OR(AK70="Completed",AK70="NA",AK70="Cancelled")),"S7 BOM Procurement","All Stages Closed"))))))))</f>
        <v/>
      </c>
      <c r="F70" s="32" t="str">
        <f aca="false">IF($C70="","",IF(COUNTIF(M70,"Cancelled")+COUNTIF(Q70,"Cancelled")+COUNTIF(U70,"Cancelled")+COUNTIF(Y70,"Cancelled")+COUNTIF(AC70,"Cancelled")+COUNTIF(AG70,"Cancelled")+COUNTIF(AK70,"Cancelled")&gt;0,"Cancelled",IF(E70="All Stages Closed","Completed",IF(E70="S1 Schematic",M70,IF(E70="S2 PCB Layout",Q70,IF(E70="S3 SI &amp; PI",U70,IF(E70="S4 Bare-PCB Fab",Y70,IF(E70="S5 Assembly",AC70,IF(E70="S6 Bring-up",AG70,AK70)))))))))</f>
        <v/>
      </c>
      <c r="G70" s="33" t="str">
        <f aca="false">IF($C70="","",IF(E70="All Stages Closed","",IF(E70="S1 Schematic",IF(N70="","Not added",N70),IF(E70="S2 PCB Layout",IF(R70="","Not added",R70),IF(E70="S3 SI &amp; PI",IF(V70="","Not added",V70),IF(E70="S4 Bare-PCB Fab",IF(Z70="","Not added",Z70),IF(E70="S5 Assembly",IF(AD70="","Not added",AD70),IF(E70="S6 Bring-up",IF(AH70="","Not added",AH70),IF(AL70="","Not added",AL70)))))))))</f>
        <v/>
      </c>
      <c r="H70" s="32" t="str">
        <f aca="true">IF($C70="","",IF(OR(F70="Completed",F70="Cancelled"),"",IF(NOT(ISNUMBER(G70)),"No date set",IF(TODAY()&gt;G70,TODAY()-G70&amp;" days late",G70-TODAY()&amp;" days left"))))</f>
        <v/>
      </c>
      <c r="I70" s="31" t="str">
        <f aca="false">IF($C70="","",COUNTIF(M70,"Completed")+COUNTIF(Q70,"Completed")+COUNTIF(U70,"Completed")+COUNTIF(Y70,"Completed")+COUNTIF(AC70,"Completed")+COUNTIF(AG70,"Completed")+COUNTIF(AK70,"Completed"))</f>
        <v/>
      </c>
      <c r="J70" s="31" t="str">
        <f aca="false">IF($C70="","",7-(COUNTIF(M70,"NA")+COUNTIF(Q70,"NA")+COUNTIF(U70,"NA")+COUNTIF(Y70,"NA")+COUNTIF(AC70,"NA")+COUNTIF(AG70,"NA")+COUNTIF(AK70,"NA")))</f>
        <v/>
      </c>
      <c r="K70" s="34" t="str">
        <f aca="false">IFERROR(I70/J70,"")</f>
        <v/>
      </c>
      <c r="L70" s="29"/>
      <c r="M70" s="35"/>
      <c r="N70" s="36"/>
      <c r="O70" s="36"/>
      <c r="P70" s="29"/>
      <c r="Q70" s="35"/>
      <c r="R70" s="36"/>
      <c r="S70" s="36"/>
      <c r="T70" s="29"/>
      <c r="U70" s="35"/>
      <c r="V70" s="36"/>
      <c r="W70" s="36"/>
      <c r="X70" s="29"/>
      <c r="Y70" s="35"/>
      <c r="Z70" s="36"/>
      <c r="AA70" s="36"/>
      <c r="AB70" s="29"/>
      <c r="AC70" s="35"/>
      <c r="AD70" s="36"/>
      <c r="AE70" s="36"/>
      <c r="AF70" s="29"/>
      <c r="AG70" s="35"/>
      <c r="AH70" s="36"/>
      <c r="AI70" s="36"/>
      <c r="AJ70" s="29"/>
      <c r="AK70" s="35"/>
      <c r="AL70" s="36"/>
      <c r="AM70" s="36"/>
      <c r="AN70" s="29"/>
      <c r="AO70" s="29"/>
      <c r="AP70" s="29"/>
      <c r="AQ70" s="37"/>
      <c r="AR70" s="39" t="str">
        <f aca="false">IF(AN70&lt;&gt;"Yes","",IF(AO70="","SELECT RE-ENTRY STAGE","MOVE TO ACTIVE at "&amp;AO70))</f>
        <v/>
      </c>
      <c r="AS70" s="40" t="str">
        <f aca="false">IF(AN70="Yes",COUNTIF($AN$6:AN70,"Yes"),"")</f>
        <v/>
      </c>
      <c r="AT70" s="29"/>
      <c r="AU70" s="38" t="str">
        <f aca="false">IF($C70="","",IF(OR(F70="Completed",F70="Cancelled"),"",IF(AND(OR(F70="On Hold",ISNUMBER(VALUE(LEFT(H70,2)))),AT70=""),"Reason not given","")))</f>
        <v/>
      </c>
      <c r="AV70" s="30"/>
      <c r="AW70" s="30"/>
    </row>
    <row r="71" customFormat="false" ht="19.5" hidden="false" customHeight="true" outlineLevel="0" collapsed="false">
      <c r="A71" s="28" t="str">
        <f aca="false">IF($C71="","",COUNTA($C$6:$C71))</f>
        <v/>
      </c>
      <c r="B71" s="29"/>
      <c r="C71" s="30"/>
      <c r="D71" s="29"/>
      <c r="E71" s="31" t="str">
        <f aca="false">IF($C71="","",IF(NOT(OR(M71="Completed",M71="NA",M71="Cancelled")),"S1 Schematic",IF(NOT(OR(Q71="Completed",Q71="NA",Q71="Cancelled")),"S2 PCB Layout",IF(NOT(OR(U71="Completed",U71="NA",U71="Cancelled")),"S3 SI &amp; PI",IF(NOT(OR(Y71="Completed",Y71="NA",Y71="Cancelled")),"S4 Bare-PCB Fab",IF(NOT(OR(AC71="Completed",AC71="NA",AC71="Cancelled")),"S5 Assembly",IF(NOT(OR(AG71="Completed",AG71="NA",AG71="Cancelled")),"S6 Bring-up",IF(NOT(OR(AK71="Completed",AK71="NA",AK71="Cancelled")),"S7 BOM Procurement","All Stages Closed"))))))))</f>
        <v/>
      </c>
      <c r="F71" s="32" t="str">
        <f aca="false">IF($C71="","",IF(COUNTIF(M71,"Cancelled")+COUNTIF(Q71,"Cancelled")+COUNTIF(U71,"Cancelled")+COUNTIF(Y71,"Cancelled")+COUNTIF(AC71,"Cancelled")+COUNTIF(AG71,"Cancelled")+COUNTIF(AK71,"Cancelled")&gt;0,"Cancelled",IF(E71="All Stages Closed","Completed",IF(E71="S1 Schematic",M71,IF(E71="S2 PCB Layout",Q71,IF(E71="S3 SI &amp; PI",U71,IF(E71="S4 Bare-PCB Fab",Y71,IF(E71="S5 Assembly",AC71,IF(E71="S6 Bring-up",AG71,AK71)))))))))</f>
        <v/>
      </c>
      <c r="G71" s="33" t="str">
        <f aca="false">IF($C71="","",IF(E71="All Stages Closed","",IF(E71="S1 Schematic",IF(N71="","Not added",N71),IF(E71="S2 PCB Layout",IF(R71="","Not added",R71),IF(E71="S3 SI &amp; PI",IF(V71="","Not added",V71),IF(E71="S4 Bare-PCB Fab",IF(Z71="","Not added",Z71),IF(E71="S5 Assembly",IF(AD71="","Not added",AD71),IF(E71="S6 Bring-up",IF(AH71="","Not added",AH71),IF(AL71="","Not added",AL71)))))))))</f>
        <v/>
      </c>
      <c r="H71" s="32" t="str">
        <f aca="true">IF($C71="","",IF(OR(F71="Completed",F71="Cancelled"),"",IF(NOT(ISNUMBER(G71)),"No date set",IF(TODAY()&gt;G71,TODAY()-G71&amp;" days late",G71-TODAY()&amp;" days left"))))</f>
        <v/>
      </c>
      <c r="I71" s="31" t="str">
        <f aca="false">IF($C71="","",COUNTIF(M71,"Completed")+COUNTIF(Q71,"Completed")+COUNTIF(U71,"Completed")+COUNTIF(Y71,"Completed")+COUNTIF(AC71,"Completed")+COUNTIF(AG71,"Completed")+COUNTIF(AK71,"Completed"))</f>
        <v/>
      </c>
      <c r="J71" s="31" t="str">
        <f aca="false">IF($C71="","",7-(COUNTIF(M71,"NA")+COUNTIF(Q71,"NA")+COUNTIF(U71,"NA")+COUNTIF(Y71,"NA")+COUNTIF(AC71,"NA")+COUNTIF(AG71,"NA")+COUNTIF(AK71,"NA")))</f>
        <v/>
      </c>
      <c r="K71" s="34" t="str">
        <f aca="false">IFERROR(I71/J71,"")</f>
        <v/>
      </c>
      <c r="L71" s="29"/>
      <c r="M71" s="35"/>
      <c r="N71" s="36"/>
      <c r="O71" s="36"/>
      <c r="P71" s="29"/>
      <c r="Q71" s="35"/>
      <c r="R71" s="36"/>
      <c r="S71" s="36"/>
      <c r="T71" s="29"/>
      <c r="U71" s="35"/>
      <c r="V71" s="36"/>
      <c r="W71" s="36"/>
      <c r="X71" s="29"/>
      <c r="Y71" s="35"/>
      <c r="Z71" s="36"/>
      <c r="AA71" s="36"/>
      <c r="AB71" s="29"/>
      <c r="AC71" s="35"/>
      <c r="AD71" s="36"/>
      <c r="AE71" s="36"/>
      <c r="AF71" s="29"/>
      <c r="AG71" s="35"/>
      <c r="AH71" s="36"/>
      <c r="AI71" s="36"/>
      <c r="AJ71" s="29"/>
      <c r="AK71" s="35"/>
      <c r="AL71" s="36"/>
      <c r="AM71" s="36"/>
      <c r="AN71" s="29"/>
      <c r="AO71" s="29"/>
      <c r="AP71" s="29"/>
      <c r="AQ71" s="37"/>
      <c r="AR71" s="39" t="str">
        <f aca="false">IF(AN71&lt;&gt;"Yes","",IF(AO71="","SELECT RE-ENTRY STAGE","MOVE TO ACTIVE at "&amp;AO71))</f>
        <v/>
      </c>
      <c r="AS71" s="40" t="str">
        <f aca="false">IF(AN71="Yes",COUNTIF($AN$6:AN71,"Yes"),"")</f>
        <v/>
      </c>
      <c r="AT71" s="29"/>
      <c r="AU71" s="38" t="str">
        <f aca="false">IF($C71="","",IF(OR(F71="Completed",F71="Cancelled"),"",IF(AND(OR(F71="On Hold",ISNUMBER(VALUE(LEFT(H71,2)))),AT71=""),"Reason not given","")))</f>
        <v/>
      </c>
      <c r="AV71" s="30"/>
      <c r="AW71" s="30"/>
    </row>
    <row r="72" customFormat="false" ht="19.5" hidden="false" customHeight="true" outlineLevel="0" collapsed="false">
      <c r="A72" s="28" t="str">
        <f aca="false">IF($C72="","",COUNTA($C$6:$C72))</f>
        <v/>
      </c>
      <c r="B72" s="29"/>
      <c r="C72" s="30"/>
      <c r="D72" s="29"/>
      <c r="E72" s="31" t="str">
        <f aca="false">IF($C72="","",IF(NOT(OR(M72="Completed",M72="NA",M72="Cancelled")),"S1 Schematic",IF(NOT(OR(Q72="Completed",Q72="NA",Q72="Cancelled")),"S2 PCB Layout",IF(NOT(OR(U72="Completed",U72="NA",U72="Cancelled")),"S3 SI &amp; PI",IF(NOT(OR(Y72="Completed",Y72="NA",Y72="Cancelled")),"S4 Bare-PCB Fab",IF(NOT(OR(AC72="Completed",AC72="NA",AC72="Cancelled")),"S5 Assembly",IF(NOT(OR(AG72="Completed",AG72="NA",AG72="Cancelled")),"S6 Bring-up",IF(NOT(OR(AK72="Completed",AK72="NA",AK72="Cancelled")),"S7 BOM Procurement","All Stages Closed"))))))))</f>
        <v/>
      </c>
      <c r="F72" s="32" t="str">
        <f aca="false">IF($C72="","",IF(COUNTIF(M72,"Cancelled")+COUNTIF(Q72,"Cancelled")+COUNTIF(U72,"Cancelled")+COUNTIF(Y72,"Cancelled")+COUNTIF(AC72,"Cancelled")+COUNTIF(AG72,"Cancelled")+COUNTIF(AK72,"Cancelled")&gt;0,"Cancelled",IF(E72="All Stages Closed","Completed",IF(E72="S1 Schematic",M72,IF(E72="S2 PCB Layout",Q72,IF(E72="S3 SI &amp; PI",U72,IF(E72="S4 Bare-PCB Fab",Y72,IF(E72="S5 Assembly",AC72,IF(E72="S6 Bring-up",AG72,AK72)))))))))</f>
        <v/>
      </c>
      <c r="G72" s="33" t="str">
        <f aca="false">IF($C72="","",IF(E72="All Stages Closed","",IF(E72="S1 Schematic",IF(N72="","Not added",N72),IF(E72="S2 PCB Layout",IF(R72="","Not added",R72),IF(E72="S3 SI &amp; PI",IF(V72="","Not added",V72),IF(E72="S4 Bare-PCB Fab",IF(Z72="","Not added",Z72),IF(E72="S5 Assembly",IF(AD72="","Not added",AD72),IF(E72="S6 Bring-up",IF(AH72="","Not added",AH72),IF(AL72="","Not added",AL72)))))))))</f>
        <v/>
      </c>
      <c r="H72" s="32" t="str">
        <f aca="true">IF($C72="","",IF(OR(F72="Completed",F72="Cancelled"),"",IF(NOT(ISNUMBER(G72)),"No date set",IF(TODAY()&gt;G72,TODAY()-G72&amp;" days late",G72-TODAY()&amp;" days left"))))</f>
        <v/>
      </c>
      <c r="I72" s="31" t="str">
        <f aca="false">IF($C72="","",COUNTIF(M72,"Completed")+COUNTIF(Q72,"Completed")+COUNTIF(U72,"Completed")+COUNTIF(Y72,"Completed")+COUNTIF(AC72,"Completed")+COUNTIF(AG72,"Completed")+COUNTIF(AK72,"Completed"))</f>
        <v/>
      </c>
      <c r="J72" s="31" t="str">
        <f aca="false">IF($C72="","",7-(COUNTIF(M72,"NA")+COUNTIF(Q72,"NA")+COUNTIF(U72,"NA")+COUNTIF(Y72,"NA")+COUNTIF(AC72,"NA")+COUNTIF(AG72,"NA")+COUNTIF(AK72,"NA")))</f>
        <v/>
      </c>
      <c r="K72" s="34" t="str">
        <f aca="false">IFERROR(I72/J72,"")</f>
        <v/>
      </c>
      <c r="L72" s="29"/>
      <c r="M72" s="35"/>
      <c r="N72" s="36"/>
      <c r="O72" s="36"/>
      <c r="P72" s="29"/>
      <c r="Q72" s="35"/>
      <c r="R72" s="36"/>
      <c r="S72" s="36"/>
      <c r="T72" s="29"/>
      <c r="U72" s="35"/>
      <c r="V72" s="36"/>
      <c r="W72" s="36"/>
      <c r="X72" s="29"/>
      <c r="Y72" s="35"/>
      <c r="Z72" s="36"/>
      <c r="AA72" s="36"/>
      <c r="AB72" s="29"/>
      <c r="AC72" s="35"/>
      <c r="AD72" s="36"/>
      <c r="AE72" s="36"/>
      <c r="AF72" s="29"/>
      <c r="AG72" s="35"/>
      <c r="AH72" s="36"/>
      <c r="AI72" s="36"/>
      <c r="AJ72" s="29"/>
      <c r="AK72" s="35"/>
      <c r="AL72" s="36"/>
      <c r="AM72" s="36"/>
      <c r="AN72" s="29"/>
      <c r="AO72" s="29"/>
      <c r="AP72" s="29"/>
      <c r="AQ72" s="37"/>
      <c r="AR72" s="39" t="str">
        <f aca="false">IF(AN72&lt;&gt;"Yes","",IF(AO72="","SELECT RE-ENTRY STAGE","MOVE TO ACTIVE at "&amp;AO72))</f>
        <v/>
      </c>
      <c r="AS72" s="40" t="str">
        <f aca="false">IF(AN72="Yes",COUNTIF($AN$6:AN72,"Yes"),"")</f>
        <v/>
      </c>
      <c r="AT72" s="29"/>
      <c r="AU72" s="38" t="str">
        <f aca="false">IF($C72="","",IF(OR(F72="Completed",F72="Cancelled"),"",IF(AND(OR(F72="On Hold",ISNUMBER(VALUE(LEFT(H72,2)))),AT72=""),"Reason not given","")))</f>
        <v/>
      </c>
      <c r="AV72" s="30"/>
      <c r="AW72" s="30"/>
    </row>
    <row r="73" customFormat="false" ht="19.5" hidden="false" customHeight="true" outlineLevel="0" collapsed="false">
      <c r="A73" s="28" t="str">
        <f aca="false">IF($C73="","",COUNTA($C$6:$C73))</f>
        <v/>
      </c>
      <c r="B73" s="29"/>
      <c r="C73" s="30"/>
      <c r="D73" s="29"/>
      <c r="E73" s="31" t="str">
        <f aca="false">IF($C73="","",IF(NOT(OR(M73="Completed",M73="NA",M73="Cancelled")),"S1 Schematic",IF(NOT(OR(Q73="Completed",Q73="NA",Q73="Cancelled")),"S2 PCB Layout",IF(NOT(OR(U73="Completed",U73="NA",U73="Cancelled")),"S3 SI &amp; PI",IF(NOT(OR(Y73="Completed",Y73="NA",Y73="Cancelled")),"S4 Bare-PCB Fab",IF(NOT(OR(AC73="Completed",AC73="NA",AC73="Cancelled")),"S5 Assembly",IF(NOT(OR(AG73="Completed",AG73="NA",AG73="Cancelled")),"S6 Bring-up",IF(NOT(OR(AK73="Completed",AK73="NA",AK73="Cancelled")),"S7 BOM Procurement","All Stages Closed"))))))))</f>
        <v/>
      </c>
      <c r="F73" s="32" t="str">
        <f aca="false">IF($C73="","",IF(COUNTIF(M73,"Cancelled")+COUNTIF(Q73,"Cancelled")+COUNTIF(U73,"Cancelled")+COUNTIF(Y73,"Cancelled")+COUNTIF(AC73,"Cancelled")+COUNTIF(AG73,"Cancelled")+COUNTIF(AK73,"Cancelled")&gt;0,"Cancelled",IF(E73="All Stages Closed","Completed",IF(E73="S1 Schematic",M73,IF(E73="S2 PCB Layout",Q73,IF(E73="S3 SI &amp; PI",U73,IF(E73="S4 Bare-PCB Fab",Y73,IF(E73="S5 Assembly",AC73,IF(E73="S6 Bring-up",AG73,AK73)))))))))</f>
        <v/>
      </c>
      <c r="G73" s="33" t="str">
        <f aca="false">IF($C73="","",IF(E73="All Stages Closed","",IF(E73="S1 Schematic",IF(N73="","Not added",N73),IF(E73="S2 PCB Layout",IF(R73="","Not added",R73),IF(E73="S3 SI &amp; PI",IF(V73="","Not added",V73),IF(E73="S4 Bare-PCB Fab",IF(Z73="","Not added",Z73),IF(E73="S5 Assembly",IF(AD73="","Not added",AD73),IF(E73="S6 Bring-up",IF(AH73="","Not added",AH73),IF(AL73="","Not added",AL73)))))))))</f>
        <v/>
      </c>
      <c r="H73" s="32" t="str">
        <f aca="true">IF($C73="","",IF(OR(F73="Completed",F73="Cancelled"),"",IF(NOT(ISNUMBER(G73)),"No date set",IF(TODAY()&gt;G73,TODAY()-G73&amp;" days late",G73-TODAY()&amp;" days left"))))</f>
        <v/>
      </c>
      <c r="I73" s="31" t="str">
        <f aca="false">IF($C73="","",COUNTIF(M73,"Completed")+COUNTIF(Q73,"Completed")+COUNTIF(U73,"Completed")+COUNTIF(Y73,"Completed")+COUNTIF(AC73,"Completed")+COUNTIF(AG73,"Completed")+COUNTIF(AK73,"Completed"))</f>
        <v/>
      </c>
      <c r="J73" s="31" t="str">
        <f aca="false">IF($C73="","",7-(COUNTIF(M73,"NA")+COUNTIF(Q73,"NA")+COUNTIF(U73,"NA")+COUNTIF(Y73,"NA")+COUNTIF(AC73,"NA")+COUNTIF(AG73,"NA")+COUNTIF(AK73,"NA")))</f>
        <v/>
      </c>
      <c r="K73" s="34" t="str">
        <f aca="false">IFERROR(I73/J73,"")</f>
        <v/>
      </c>
      <c r="L73" s="29"/>
      <c r="M73" s="35"/>
      <c r="N73" s="36"/>
      <c r="O73" s="36"/>
      <c r="P73" s="29"/>
      <c r="Q73" s="35"/>
      <c r="R73" s="36"/>
      <c r="S73" s="36"/>
      <c r="T73" s="29"/>
      <c r="U73" s="35"/>
      <c r="V73" s="36"/>
      <c r="W73" s="36"/>
      <c r="X73" s="29"/>
      <c r="Y73" s="35"/>
      <c r="Z73" s="36"/>
      <c r="AA73" s="36"/>
      <c r="AB73" s="29"/>
      <c r="AC73" s="35"/>
      <c r="AD73" s="36"/>
      <c r="AE73" s="36"/>
      <c r="AF73" s="29"/>
      <c r="AG73" s="35"/>
      <c r="AH73" s="36"/>
      <c r="AI73" s="36"/>
      <c r="AJ73" s="29"/>
      <c r="AK73" s="35"/>
      <c r="AL73" s="36"/>
      <c r="AM73" s="36"/>
      <c r="AN73" s="29"/>
      <c r="AO73" s="29"/>
      <c r="AP73" s="29"/>
      <c r="AQ73" s="37"/>
      <c r="AR73" s="39" t="str">
        <f aca="false">IF(AN73&lt;&gt;"Yes","",IF(AO73="","SELECT RE-ENTRY STAGE","MOVE TO ACTIVE at "&amp;AO73))</f>
        <v/>
      </c>
      <c r="AS73" s="40" t="str">
        <f aca="false">IF(AN73="Yes",COUNTIF($AN$6:AN73,"Yes"),"")</f>
        <v/>
      </c>
      <c r="AT73" s="29"/>
      <c r="AU73" s="38" t="str">
        <f aca="false">IF($C73="","",IF(OR(F73="Completed",F73="Cancelled"),"",IF(AND(OR(F73="On Hold",ISNUMBER(VALUE(LEFT(H73,2)))),AT73=""),"Reason not given","")))</f>
        <v/>
      </c>
      <c r="AV73" s="30"/>
      <c r="AW73" s="30"/>
    </row>
    <row r="74" customFormat="false" ht="19.5" hidden="false" customHeight="true" outlineLevel="0" collapsed="false">
      <c r="A74" s="28" t="str">
        <f aca="false">IF($C74="","",COUNTA($C$6:$C74))</f>
        <v/>
      </c>
      <c r="B74" s="29"/>
      <c r="C74" s="30"/>
      <c r="D74" s="29"/>
      <c r="E74" s="31" t="str">
        <f aca="false">IF($C74="","",IF(NOT(OR(M74="Completed",M74="NA",M74="Cancelled")),"S1 Schematic",IF(NOT(OR(Q74="Completed",Q74="NA",Q74="Cancelled")),"S2 PCB Layout",IF(NOT(OR(U74="Completed",U74="NA",U74="Cancelled")),"S3 SI &amp; PI",IF(NOT(OR(Y74="Completed",Y74="NA",Y74="Cancelled")),"S4 Bare-PCB Fab",IF(NOT(OR(AC74="Completed",AC74="NA",AC74="Cancelled")),"S5 Assembly",IF(NOT(OR(AG74="Completed",AG74="NA",AG74="Cancelled")),"S6 Bring-up",IF(NOT(OR(AK74="Completed",AK74="NA",AK74="Cancelled")),"S7 BOM Procurement","All Stages Closed"))))))))</f>
        <v/>
      </c>
      <c r="F74" s="32" t="str">
        <f aca="false">IF($C74="","",IF(COUNTIF(M74,"Cancelled")+COUNTIF(Q74,"Cancelled")+COUNTIF(U74,"Cancelled")+COUNTIF(Y74,"Cancelled")+COUNTIF(AC74,"Cancelled")+COUNTIF(AG74,"Cancelled")+COUNTIF(AK74,"Cancelled")&gt;0,"Cancelled",IF(E74="All Stages Closed","Completed",IF(E74="S1 Schematic",M74,IF(E74="S2 PCB Layout",Q74,IF(E74="S3 SI &amp; PI",U74,IF(E74="S4 Bare-PCB Fab",Y74,IF(E74="S5 Assembly",AC74,IF(E74="S6 Bring-up",AG74,AK74)))))))))</f>
        <v/>
      </c>
      <c r="G74" s="33" t="str">
        <f aca="false">IF($C74="","",IF(E74="All Stages Closed","",IF(E74="S1 Schematic",IF(N74="","Not added",N74),IF(E74="S2 PCB Layout",IF(R74="","Not added",R74),IF(E74="S3 SI &amp; PI",IF(V74="","Not added",V74),IF(E74="S4 Bare-PCB Fab",IF(Z74="","Not added",Z74),IF(E74="S5 Assembly",IF(AD74="","Not added",AD74),IF(E74="S6 Bring-up",IF(AH74="","Not added",AH74),IF(AL74="","Not added",AL74)))))))))</f>
        <v/>
      </c>
      <c r="H74" s="32" t="str">
        <f aca="true">IF($C74="","",IF(OR(F74="Completed",F74="Cancelled"),"",IF(NOT(ISNUMBER(G74)),"No date set",IF(TODAY()&gt;G74,TODAY()-G74&amp;" days late",G74-TODAY()&amp;" days left"))))</f>
        <v/>
      </c>
      <c r="I74" s="31" t="str">
        <f aca="false">IF($C74="","",COUNTIF(M74,"Completed")+COUNTIF(Q74,"Completed")+COUNTIF(U74,"Completed")+COUNTIF(Y74,"Completed")+COUNTIF(AC74,"Completed")+COUNTIF(AG74,"Completed")+COUNTIF(AK74,"Completed"))</f>
        <v/>
      </c>
      <c r="J74" s="31" t="str">
        <f aca="false">IF($C74="","",7-(COUNTIF(M74,"NA")+COUNTIF(Q74,"NA")+COUNTIF(U74,"NA")+COUNTIF(Y74,"NA")+COUNTIF(AC74,"NA")+COUNTIF(AG74,"NA")+COUNTIF(AK74,"NA")))</f>
        <v/>
      </c>
      <c r="K74" s="34" t="str">
        <f aca="false">IFERROR(I74/J74,"")</f>
        <v/>
      </c>
      <c r="L74" s="29"/>
      <c r="M74" s="35"/>
      <c r="N74" s="36"/>
      <c r="O74" s="36"/>
      <c r="P74" s="29"/>
      <c r="Q74" s="35"/>
      <c r="R74" s="36"/>
      <c r="S74" s="36"/>
      <c r="T74" s="29"/>
      <c r="U74" s="35"/>
      <c r="V74" s="36"/>
      <c r="W74" s="36"/>
      <c r="X74" s="29"/>
      <c r="Y74" s="35"/>
      <c r="Z74" s="36"/>
      <c r="AA74" s="36"/>
      <c r="AB74" s="29"/>
      <c r="AC74" s="35"/>
      <c r="AD74" s="36"/>
      <c r="AE74" s="36"/>
      <c r="AF74" s="29"/>
      <c r="AG74" s="35"/>
      <c r="AH74" s="36"/>
      <c r="AI74" s="36"/>
      <c r="AJ74" s="29"/>
      <c r="AK74" s="35"/>
      <c r="AL74" s="36"/>
      <c r="AM74" s="36"/>
      <c r="AN74" s="29"/>
      <c r="AO74" s="29"/>
      <c r="AP74" s="29"/>
      <c r="AQ74" s="37"/>
      <c r="AR74" s="39" t="str">
        <f aca="false">IF(AN74&lt;&gt;"Yes","",IF(AO74="","SELECT RE-ENTRY STAGE","MOVE TO ACTIVE at "&amp;AO74))</f>
        <v/>
      </c>
      <c r="AS74" s="40" t="str">
        <f aca="false">IF(AN74="Yes",COUNTIF($AN$6:AN74,"Yes"),"")</f>
        <v/>
      </c>
      <c r="AT74" s="29"/>
      <c r="AU74" s="38" t="str">
        <f aca="false">IF($C74="","",IF(OR(F74="Completed",F74="Cancelled"),"",IF(AND(OR(F74="On Hold",ISNUMBER(VALUE(LEFT(H74,2)))),AT74=""),"Reason not given","")))</f>
        <v/>
      </c>
      <c r="AV74" s="30"/>
      <c r="AW74" s="30"/>
    </row>
    <row r="75" customFormat="false" ht="19.5" hidden="false" customHeight="true" outlineLevel="0" collapsed="false">
      <c r="A75" s="28" t="str">
        <f aca="false">IF($C75="","",COUNTA($C$6:$C75))</f>
        <v/>
      </c>
      <c r="B75" s="29"/>
      <c r="C75" s="30"/>
      <c r="D75" s="29"/>
      <c r="E75" s="31" t="str">
        <f aca="false">IF($C75="","",IF(NOT(OR(M75="Completed",M75="NA",M75="Cancelled")),"S1 Schematic",IF(NOT(OR(Q75="Completed",Q75="NA",Q75="Cancelled")),"S2 PCB Layout",IF(NOT(OR(U75="Completed",U75="NA",U75="Cancelled")),"S3 SI &amp; PI",IF(NOT(OR(Y75="Completed",Y75="NA",Y75="Cancelled")),"S4 Bare-PCB Fab",IF(NOT(OR(AC75="Completed",AC75="NA",AC75="Cancelled")),"S5 Assembly",IF(NOT(OR(AG75="Completed",AG75="NA",AG75="Cancelled")),"S6 Bring-up",IF(NOT(OR(AK75="Completed",AK75="NA",AK75="Cancelled")),"S7 BOM Procurement","All Stages Closed"))))))))</f>
        <v/>
      </c>
      <c r="F75" s="32" t="str">
        <f aca="false">IF($C75="","",IF(COUNTIF(M75,"Cancelled")+COUNTIF(Q75,"Cancelled")+COUNTIF(U75,"Cancelled")+COUNTIF(Y75,"Cancelled")+COUNTIF(AC75,"Cancelled")+COUNTIF(AG75,"Cancelled")+COUNTIF(AK75,"Cancelled")&gt;0,"Cancelled",IF(E75="All Stages Closed","Completed",IF(E75="S1 Schematic",M75,IF(E75="S2 PCB Layout",Q75,IF(E75="S3 SI &amp; PI",U75,IF(E75="S4 Bare-PCB Fab",Y75,IF(E75="S5 Assembly",AC75,IF(E75="S6 Bring-up",AG75,AK75)))))))))</f>
        <v/>
      </c>
      <c r="G75" s="33" t="str">
        <f aca="false">IF($C75="","",IF(E75="All Stages Closed","",IF(E75="S1 Schematic",IF(N75="","Not added",N75),IF(E75="S2 PCB Layout",IF(R75="","Not added",R75),IF(E75="S3 SI &amp; PI",IF(V75="","Not added",V75),IF(E75="S4 Bare-PCB Fab",IF(Z75="","Not added",Z75),IF(E75="S5 Assembly",IF(AD75="","Not added",AD75),IF(E75="S6 Bring-up",IF(AH75="","Not added",AH75),IF(AL75="","Not added",AL75)))))))))</f>
        <v/>
      </c>
      <c r="H75" s="32" t="str">
        <f aca="true">IF($C75="","",IF(OR(F75="Completed",F75="Cancelled"),"",IF(NOT(ISNUMBER(G75)),"No date set",IF(TODAY()&gt;G75,TODAY()-G75&amp;" days late",G75-TODAY()&amp;" days left"))))</f>
        <v/>
      </c>
      <c r="I75" s="31" t="str">
        <f aca="false">IF($C75="","",COUNTIF(M75,"Completed")+COUNTIF(Q75,"Completed")+COUNTIF(U75,"Completed")+COUNTIF(Y75,"Completed")+COUNTIF(AC75,"Completed")+COUNTIF(AG75,"Completed")+COUNTIF(AK75,"Completed"))</f>
        <v/>
      </c>
      <c r="J75" s="31" t="str">
        <f aca="false">IF($C75="","",7-(COUNTIF(M75,"NA")+COUNTIF(Q75,"NA")+COUNTIF(U75,"NA")+COUNTIF(Y75,"NA")+COUNTIF(AC75,"NA")+COUNTIF(AG75,"NA")+COUNTIF(AK75,"NA")))</f>
        <v/>
      </c>
      <c r="K75" s="34" t="str">
        <f aca="false">IFERROR(I75/J75,"")</f>
        <v/>
      </c>
      <c r="L75" s="29"/>
      <c r="M75" s="35"/>
      <c r="N75" s="36"/>
      <c r="O75" s="36"/>
      <c r="P75" s="29"/>
      <c r="Q75" s="35"/>
      <c r="R75" s="36"/>
      <c r="S75" s="36"/>
      <c r="T75" s="29"/>
      <c r="U75" s="35"/>
      <c r="V75" s="36"/>
      <c r="W75" s="36"/>
      <c r="X75" s="29"/>
      <c r="Y75" s="35"/>
      <c r="Z75" s="36"/>
      <c r="AA75" s="36"/>
      <c r="AB75" s="29"/>
      <c r="AC75" s="35"/>
      <c r="AD75" s="36"/>
      <c r="AE75" s="36"/>
      <c r="AF75" s="29"/>
      <c r="AG75" s="35"/>
      <c r="AH75" s="36"/>
      <c r="AI75" s="36"/>
      <c r="AJ75" s="29"/>
      <c r="AK75" s="35"/>
      <c r="AL75" s="36"/>
      <c r="AM75" s="36"/>
      <c r="AN75" s="29"/>
      <c r="AO75" s="29"/>
      <c r="AP75" s="29"/>
      <c r="AQ75" s="37"/>
      <c r="AR75" s="39" t="str">
        <f aca="false">IF(AN75&lt;&gt;"Yes","",IF(AO75="","SELECT RE-ENTRY STAGE","MOVE TO ACTIVE at "&amp;AO75))</f>
        <v/>
      </c>
      <c r="AS75" s="40" t="str">
        <f aca="false">IF(AN75="Yes",COUNTIF($AN$6:AN75,"Yes"),"")</f>
        <v/>
      </c>
      <c r="AT75" s="29"/>
      <c r="AU75" s="38" t="str">
        <f aca="false">IF($C75="","",IF(OR(F75="Completed",F75="Cancelled"),"",IF(AND(OR(F75="On Hold",ISNUMBER(VALUE(LEFT(H75,2)))),AT75=""),"Reason not given","")))</f>
        <v/>
      </c>
      <c r="AV75" s="30"/>
      <c r="AW75" s="30"/>
    </row>
    <row r="76" customFormat="false" ht="19.5" hidden="false" customHeight="true" outlineLevel="0" collapsed="false">
      <c r="A76" s="28" t="str">
        <f aca="false">IF($C76="","",COUNTA($C$6:$C76))</f>
        <v/>
      </c>
      <c r="B76" s="29"/>
      <c r="C76" s="30"/>
      <c r="D76" s="29"/>
      <c r="E76" s="31" t="str">
        <f aca="false">IF($C76="","",IF(NOT(OR(M76="Completed",M76="NA",M76="Cancelled")),"S1 Schematic",IF(NOT(OR(Q76="Completed",Q76="NA",Q76="Cancelled")),"S2 PCB Layout",IF(NOT(OR(U76="Completed",U76="NA",U76="Cancelled")),"S3 SI &amp; PI",IF(NOT(OR(Y76="Completed",Y76="NA",Y76="Cancelled")),"S4 Bare-PCB Fab",IF(NOT(OR(AC76="Completed",AC76="NA",AC76="Cancelled")),"S5 Assembly",IF(NOT(OR(AG76="Completed",AG76="NA",AG76="Cancelled")),"S6 Bring-up",IF(NOT(OR(AK76="Completed",AK76="NA",AK76="Cancelled")),"S7 BOM Procurement","All Stages Closed"))))))))</f>
        <v/>
      </c>
      <c r="F76" s="32" t="str">
        <f aca="false">IF($C76="","",IF(COUNTIF(M76,"Cancelled")+COUNTIF(Q76,"Cancelled")+COUNTIF(U76,"Cancelled")+COUNTIF(Y76,"Cancelled")+COUNTIF(AC76,"Cancelled")+COUNTIF(AG76,"Cancelled")+COUNTIF(AK76,"Cancelled")&gt;0,"Cancelled",IF(E76="All Stages Closed","Completed",IF(E76="S1 Schematic",M76,IF(E76="S2 PCB Layout",Q76,IF(E76="S3 SI &amp; PI",U76,IF(E76="S4 Bare-PCB Fab",Y76,IF(E76="S5 Assembly",AC76,IF(E76="S6 Bring-up",AG76,AK76)))))))))</f>
        <v/>
      </c>
      <c r="G76" s="33" t="str">
        <f aca="false">IF($C76="","",IF(E76="All Stages Closed","",IF(E76="S1 Schematic",IF(N76="","Not added",N76),IF(E76="S2 PCB Layout",IF(R76="","Not added",R76),IF(E76="S3 SI &amp; PI",IF(V76="","Not added",V76),IF(E76="S4 Bare-PCB Fab",IF(Z76="","Not added",Z76),IF(E76="S5 Assembly",IF(AD76="","Not added",AD76),IF(E76="S6 Bring-up",IF(AH76="","Not added",AH76),IF(AL76="","Not added",AL76)))))))))</f>
        <v/>
      </c>
      <c r="H76" s="32" t="str">
        <f aca="true">IF($C76="","",IF(OR(F76="Completed",F76="Cancelled"),"",IF(NOT(ISNUMBER(G76)),"No date set",IF(TODAY()&gt;G76,TODAY()-G76&amp;" days late",G76-TODAY()&amp;" days left"))))</f>
        <v/>
      </c>
      <c r="I76" s="31" t="str">
        <f aca="false">IF($C76="","",COUNTIF(M76,"Completed")+COUNTIF(Q76,"Completed")+COUNTIF(U76,"Completed")+COUNTIF(Y76,"Completed")+COUNTIF(AC76,"Completed")+COUNTIF(AG76,"Completed")+COUNTIF(AK76,"Completed"))</f>
        <v/>
      </c>
      <c r="J76" s="31" t="str">
        <f aca="false">IF($C76="","",7-(COUNTIF(M76,"NA")+COUNTIF(Q76,"NA")+COUNTIF(U76,"NA")+COUNTIF(Y76,"NA")+COUNTIF(AC76,"NA")+COUNTIF(AG76,"NA")+COUNTIF(AK76,"NA")))</f>
        <v/>
      </c>
      <c r="K76" s="34" t="str">
        <f aca="false">IFERROR(I76/J76,"")</f>
        <v/>
      </c>
      <c r="L76" s="29"/>
      <c r="M76" s="35"/>
      <c r="N76" s="36"/>
      <c r="O76" s="36"/>
      <c r="P76" s="29"/>
      <c r="Q76" s="35"/>
      <c r="R76" s="36"/>
      <c r="S76" s="36"/>
      <c r="T76" s="29"/>
      <c r="U76" s="35"/>
      <c r="V76" s="36"/>
      <c r="W76" s="36"/>
      <c r="X76" s="29"/>
      <c r="Y76" s="35"/>
      <c r="Z76" s="36"/>
      <c r="AA76" s="36"/>
      <c r="AB76" s="29"/>
      <c r="AC76" s="35"/>
      <c r="AD76" s="36"/>
      <c r="AE76" s="36"/>
      <c r="AF76" s="29"/>
      <c r="AG76" s="35"/>
      <c r="AH76" s="36"/>
      <c r="AI76" s="36"/>
      <c r="AJ76" s="29"/>
      <c r="AK76" s="35"/>
      <c r="AL76" s="36"/>
      <c r="AM76" s="36"/>
      <c r="AN76" s="29"/>
      <c r="AO76" s="29"/>
      <c r="AP76" s="29"/>
      <c r="AQ76" s="37"/>
      <c r="AR76" s="39" t="str">
        <f aca="false">IF(AN76&lt;&gt;"Yes","",IF(AO76="","SELECT RE-ENTRY STAGE","MOVE TO ACTIVE at "&amp;AO76))</f>
        <v/>
      </c>
      <c r="AS76" s="40" t="str">
        <f aca="false">IF(AN76="Yes",COUNTIF($AN$6:AN76,"Yes"),"")</f>
        <v/>
      </c>
      <c r="AT76" s="29"/>
      <c r="AU76" s="38" t="str">
        <f aca="false">IF($C76="","",IF(OR(F76="Completed",F76="Cancelled"),"",IF(AND(OR(F76="On Hold",ISNUMBER(VALUE(LEFT(H76,2)))),AT76=""),"Reason not given","")))</f>
        <v/>
      </c>
      <c r="AV76" s="30"/>
      <c r="AW76" s="30"/>
    </row>
    <row r="77" customFormat="false" ht="19.5" hidden="false" customHeight="true" outlineLevel="0" collapsed="false">
      <c r="A77" s="28" t="str">
        <f aca="false">IF($C77="","",COUNTA($C$6:$C77))</f>
        <v/>
      </c>
      <c r="B77" s="29"/>
      <c r="C77" s="30"/>
      <c r="D77" s="29"/>
      <c r="E77" s="31" t="str">
        <f aca="false">IF($C77="","",IF(NOT(OR(M77="Completed",M77="NA",M77="Cancelled")),"S1 Schematic",IF(NOT(OR(Q77="Completed",Q77="NA",Q77="Cancelled")),"S2 PCB Layout",IF(NOT(OR(U77="Completed",U77="NA",U77="Cancelled")),"S3 SI &amp; PI",IF(NOT(OR(Y77="Completed",Y77="NA",Y77="Cancelled")),"S4 Bare-PCB Fab",IF(NOT(OR(AC77="Completed",AC77="NA",AC77="Cancelled")),"S5 Assembly",IF(NOT(OR(AG77="Completed",AG77="NA",AG77="Cancelled")),"S6 Bring-up",IF(NOT(OR(AK77="Completed",AK77="NA",AK77="Cancelled")),"S7 BOM Procurement","All Stages Closed"))))))))</f>
        <v/>
      </c>
      <c r="F77" s="32" t="str">
        <f aca="false">IF($C77="","",IF(COUNTIF(M77,"Cancelled")+COUNTIF(Q77,"Cancelled")+COUNTIF(U77,"Cancelled")+COUNTIF(Y77,"Cancelled")+COUNTIF(AC77,"Cancelled")+COUNTIF(AG77,"Cancelled")+COUNTIF(AK77,"Cancelled")&gt;0,"Cancelled",IF(E77="All Stages Closed","Completed",IF(E77="S1 Schematic",M77,IF(E77="S2 PCB Layout",Q77,IF(E77="S3 SI &amp; PI",U77,IF(E77="S4 Bare-PCB Fab",Y77,IF(E77="S5 Assembly",AC77,IF(E77="S6 Bring-up",AG77,AK77)))))))))</f>
        <v/>
      </c>
      <c r="G77" s="33" t="str">
        <f aca="false">IF($C77="","",IF(E77="All Stages Closed","",IF(E77="S1 Schematic",IF(N77="","Not added",N77),IF(E77="S2 PCB Layout",IF(R77="","Not added",R77),IF(E77="S3 SI &amp; PI",IF(V77="","Not added",V77),IF(E77="S4 Bare-PCB Fab",IF(Z77="","Not added",Z77),IF(E77="S5 Assembly",IF(AD77="","Not added",AD77),IF(E77="S6 Bring-up",IF(AH77="","Not added",AH77),IF(AL77="","Not added",AL77)))))))))</f>
        <v/>
      </c>
      <c r="H77" s="32" t="str">
        <f aca="true">IF($C77="","",IF(OR(F77="Completed",F77="Cancelled"),"",IF(NOT(ISNUMBER(G77)),"No date set",IF(TODAY()&gt;G77,TODAY()-G77&amp;" days late",G77-TODAY()&amp;" days left"))))</f>
        <v/>
      </c>
      <c r="I77" s="31" t="str">
        <f aca="false">IF($C77="","",COUNTIF(M77,"Completed")+COUNTIF(Q77,"Completed")+COUNTIF(U77,"Completed")+COUNTIF(Y77,"Completed")+COUNTIF(AC77,"Completed")+COUNTIF(AG77,"Completed")+COUNTIF(AK77,"Completed"))</f>
        <v/>
      </c>
      <c r="J77" s="31" t="str">
        <f aca="false">IF($C77="","",7-(COUNTIF(M77,"NA")+COUNTIF(Q77,"NA")+COUNTIF(U77,"NA")+COUNTIF(Y77,"NA")+COUNTIF(AC77,"NA")+COUNTIF(AG77,"NA")+COUNTIF(AK77,"NA")))</f>
        <v/>
      </c>
      <c r="K77" s="34" t="str">
        <f aca="false">IFERROR(I77/J77,"")</f>
        <v/>
      </c>
      <c r="L77" s="29"/>
      <c r="M77" s="35"/>
      <c r="N77" s="36"/>
      <c r="O77" s="36"/>
      <c r="P77" s="29"/>
      <c r="Q77" s="35"/>
      <c r="R77" s="36"/>
      <c r="S77" s="36"/>
      <c r="T77" s="29"/>
      <c r="U77" s="35"/>
      <c r="V77" s="36"/>
      <c r="W77" s="36"/>
      <c r="X77" s="29"/>
      <c r="Y77" s="35"/>
      <c r="Z77" s="36"/>
      <c r="AA77" s="36"/>
      <c r="AB77" s="29"/>
      <c r="AC77" s="35"/>
      <c r="AD77" s="36"/>
      <c r="AE77" s="36"/>
      <c r="AF77" s="29"/>
      <c r="AG77" s="35"/>
      <c r="AH77" s="36"/>
      <c r="AI77" s="36"/>
      <c r="AJ77" s="29"/>
      <c r="AK77" s="35"/>
      <c r="AL77" s="36"/>
      <c r="AM77" s="36"/>
      <c r="AN77" s="29"/>
      <c r="AO77" s="29"/>
      <c r="AP77" s="29"/>
      <c r="AQ77" s="37"/>
      <c r="AR77" s="39" t="str">
        <f aca="false">IF(AN77&lt;&gt;"Yes","",IF(AO77="","SELECT RE-ENTRY STAGE","MOVE TO ACTIVE at "&amp;AO77))</f>
        <v/>
      </c>
      <c r="AS77" s="40" t="str">
        <f aca="false">IF(AN77="Yes",COUNTIF($AN$6:AN77,"Yes"),"")</f>
        <v/>
      </c>
      <c r="AT77" s="29"/>
      <c r="AU77" s="38" t="str">
        <f aca="false">IF($C77="","",IF(OR(F77="Completed",F77="Cancelled"),"",IF(AND(OR(F77="On Hold",ISNUMBER(VALUE(LEFT(H77,2)))),AT77=""),"Reason not given","")))</f>
        <v/>
      </c>
      <c r="AV77" s="30"/>
      <c r="AW77" s="30"/>
    </row>
    <row r="78" customFormat="false" ht="19.5" hidden="false" customHeight="true" outlineLevel="0" collapsed="false">
      <c r="A78" s="28" t="str">
        <f aca="false">IF($C78="","",COUNTA($C$6:$C78))</f>
        <v/>
      </c>
      <c r="B78" s="29"/>
      <c r="C78" s="30"/>
      <c r="D78" s="29"/>
      <c r="E78" s="31" t="str">
        <f aca="false">IF($C78="","",IF(NOT(OR(M78="Completed",M78="NA",M78="Cancelled")),"S1 Schematic",IF(NOT(OR(Q78="Completed",Q78="NA",Q78="Cancelled")),"S2 PCB Layout",IF(NOT(OR(U78="Completed",U78="NA",U78="Cancelled")),"S3 SI &amp; PI",IF(NOT(OR(Y78="Completed",Y78="NA",Y78="Cancelled")),"S4 Bare-PCB Fab",IF(NOT(OR(AC78="Completed",AC78="NA",AC78="Cancelled")),"S5 Assembly",IF(NOT(OR(AG78="Completed",AG78="NA",AG78="Cancelled")),"S6 Bring-up",IF(NOT(OR(AK78="Completed",AK78="NA",AK78="Cancelled")),"S7 BOM Procurement","All Stages Closed"))))))))</f>
        <v/>
      </c>
      <c r="F78" s="32" t="str">
        <f aca="false">IF($C78="","",IF(COUNTIF(M78,"Cancelled")+COUNTIF(Q78,"Cancelled")+COUNTIF(U78,"Cancelled")+COUNTIF(Y78,"Cancelled")+COUNTIF(AC78,"Cancelled")+COUNTIF(AG78,"Cancelled")+COUNTIF(AK78,"Cancelled")&gt;0,"Cancelled",IF(E78="All Stages Closed","Completed",IF(E78="S1 Schematic",M78,IF(E78="S2 PCB Layout",Q78,IF(E78="S3 SI &amp; PI",U78,IF(E78="S4 Bare-PCB Fab",Y78,IF(E78="S5 Assembly",AC78,IF(E78="S6 Bring-up",AG78,AK78)))))))))</f>
        <v/>
      </c>
      <c r="G78" s="33" t="str">
        <f aca="false">IF($C78="","",IF(E78="All Stages Closed","",IF(E78="S1 Schematic",IF(N78="","Not added",N78),IF(E78="S2 PCB Layout",IF(R78="","Not added",R78),IF(E78="S3 SI &amp; PI",IF(V78="","Not added",V78),IF(E78="S4 Bare-PCB Fab",IF(Z78="","Not added",Z78),IF(E78="S5 Assembly",IF(AD78="","Not added",AD78),IF(E78="S6 Bring-up",IF(AH78="","Not added",AH78),IF(AL78="","Not added",AL78)))))))))</f>
        <v/>
      </c>
      <c r="H78" s="32" t="str">
        <f aca="true">IF($C78="","",IF(OR(F78="Completed",F78="Cancelled"),"",IF(NOT(ISNUMBER(G78)),"No date set",IF(TODAY()&gt;G78,TODAY()-G78&amp;" days late",G78-TODAY()&amp;" days left"))))</f>
        <v/>
      </c>
      <c r="I78" s="31" t="str">
        <f aca="false">IF($C78="","",COUNTIF(M78,"Completed")+COUNTIF(Q78,"Completed")+COUNTIF(U78,"Completed")+COUNTIF(Y78,"Completed")+COUNTIF(AC78,"Completed")+COUNTIF(AG78,"Completed")+COUNTIF(AK78,"Completed"))</f>
        <v/>
      </c>
      <c r="J78" s="31" t="str">
        <f aca="false">IF($C78="","",7-(COUNTIF(M78,"NA")+COUNTIF(Q78,"NA")+COUNTIF(U78,"NA")+COUNTIF(Y78,"NA")+COUNTIF(AC78,"NA")+COUNTIF(AG78,"NA")+COUNTIF(AK78,"NA")))</f>
        <v/>
      </c>
      <c r="K78" s="34" t="str">
        <f aca="false">IFERROR(I78/J78,"")</f>
        <v/>
      </c>
      <c r="L78" s="29"/>
      <c r="M78" s="35"/>
      <c r="N78" s="36"/>
      <c r="O78" s="36"/>
      <c r="P78" s="29"/>
      <c r="Q78" s="35"/>
      <c r="R78" s="36"/>
      <c r="S78" s="36"/>
      <c r="T78" s="29"/>
      <c r="U78" s="35"/>
      <c r="V78" s="36"/>
      <c r="W78" s="36"/>
      <c r="X78" s="29"/>
      <c r="Y78" s="35"/>
      <c r="Z78" s="36"/>
      <c r="AA78" s="36"/>
      <c r="AB78" s="29"/>
      <c r="AC78" s="35"/>
      <c r="AD78" s="36"/>
      <c r="AE78" s="36"/>
      <c r="AF78" s="29"/>
      <c r="AG78" s="35"/>
      <c r="AH78" s="36"/>
      <c r="AI78" s="36"/>
      <c r="AJ78" s="29"/>
      <c r="AK78" s="35"/>
      <c r="AL78" s="36"/>
      <c r="AM78" s="36"/>
      <c r="AN78" s="29"/>
      <c r="AO78" s="29"/>
      <c r="AP78" s="29"/>
      <c r="AQ78" s="37"/>
      <c r="AR78" s="39" t="str">
        <f aca="false">IF(AN78&lt;&gt;"Yes","",IF(AO78="","SELECT RE-ENTRY STAGE","MOVE TO ACTIVE at "&amp;AO78))</f>
        <v/>
      </c>
      <c r="AS78" s="40" t="str">
        <f aca="false">IF(AN78="Yes",COUNTIF($AN$6:AN78,"Yes"),"")</f>
        <v/>
      </c>
      <c r="AT78" s="29"/>
      <c r="AU78" s="38" t="str">
        <f aca="false">IF($C78="","",IF(OR(F78="Completed",F78="Cancelled"),"",IF(AND(OR(F78="On Hold",ISNUMBER(VALUE(LEFT(H78,2)))),AT78=""),"Reason not given","")))</f>
        <v/>
      </c>
      <c r="AV78" s="30"/>
      <c r="AW78" s="30"/>
    </row>
    <row r="79" customFormat="false" ht="19.5" hidden="false" customHeight="true" outlineLevel="0" collapsed="false">
      <c r="A79" s="28" t="str">
        <f aca="false">IF($C79="","",COUNTA($C$6:$C79))</f>
        <v/>
      </c>
      <c r="B79" s="29"/>
      <c r="C79" s="30"/>
      <c r="D79" s="29"/>
      <c r="E79" s="31" t="str">
        <f aca="false">IF($C79="","",IF(NOT(OR(M79="Completed",M79="NA",M79="Cancelled")),"S1 Schematic",IF(NOT(OR(Q79="Completed",Q79="NA",Q79="Cancelled")),"S2 PCB Layout",IF(NOT(OR(U79="Completed",U79="NA",U79="Cancelled")),"S3 SI &amp; PI",IF(NOT(OR(Y79="Completed",Y79="NA",Y79="Cancelled")),"S4 Bare-PCB Fab",IF(NOT(OR(AC79="Completed",AC79="NA",AC79="Cancelled")),"S5 Assembly",IF(NOT(OR(AG79="Completed",AG79="NA",AG79="Cancelled")),"S6 Bring-up",IF(NOT(OR(AK79="Completed",AK79="NA",AK79="Cancelled")),"S7 BOM Procurement","All Stages Closed"))))))))</f>
        <v/>
      </c>
      <c r="F79" s="32" t="str">
        <f aca="false">IF($C79="","",IF(COUNTIF(M79,"Cancelled")+COUNTIF(Q79,"Cancelled")+COUNTIF(U79,"Cancelled")+COUNTIF(Y79,"Cancelled")+COUNTIF(AC79,"Cancelled")+COUNTIF(AG79,"Cancelled")+COUNTIF(AK79,"Cancelled")&gt;0,"Cancelled",IF(E79="All Stages Closed","Completed",IF(E79="S1 Schematic",M79,IF(E79="S2 PCB Layout",Q79,IF(E79="S3 SI &amp; PI",U79,IF(E79="S4 Bare-PCB Fab",Y79,IF(E79="S5 Assembly",AC79,IF(E79="S6 Bring-up",AG79,AK79)))))))))</f>
        <v/>
      </c>
      <c r="G79" s="33" t="str">
        <f aca="false">IF($C79="","",IF(E79="All Stages Closed","",IF(E79="S1 Schematic",IF(N79="","Not added",N79),IF(E79="S2 PCB Layout",IF(R79="","Not added",R79),IF(E79="S3 SI &amp; PI",IF(V79="","Not added",V79),IF(E79="S4 Bare-PCB Fab",IF(Z79="","Not added",Z79),IF(E79="S5 Assembly",IF(AD79="","Not added",AD79),IF(E79="S6 Bring-up",IF(AH79="","Not added",AH79),IF(AL79="","Not added",AL79)))))))))</f>
        <v/>
      </c>
      <c r="H79" s="32" t="str">
        <f aca="true">IF($C79="","",IF(OR(F79="Completed",F79="Cancelled"),"",IF(NOT(ISNUMBER(G79)),"No date set",IF(TODAY()&gt;G79,TODAY()-G79&amp;" days late",G79-TODAY()&amp;" days left"))))</f>
        <v/>
      </c>
      <c r="I79" s="31" t="str">
        <f aca="false">IF($C79="","",COUNTIF(M79,"Completed")+COUNTIF(Q79,"Completed")+COUNTIF(U79,"Completed")+COUNTIF(Y79,"Completed")+COUNTIF(AC79,"Completed")+COUNTIF(AG79,"Completed")+COUNTIF(AK79,"Completed"))</f>
        <v/>
      </c>
      <c r="J79" s="31" t="str">
        <f aca="false">IF($C79="","",7-(COUNTIF(M79,"NA")+COUNTIF(Q79,"NA")+COUNTIF(U79,"NA")+COUNTIF(Y79,"NA")+COUNTIF(AC79,"NA")+COUNTIF(AG79,"NA")+COUNTIF(AK79,"NA")))</f>
        <v/>
      </c>
      <c r="K79" s="34" t="str">
        <f aca="false">IFERROR(I79/J79,"")</f>
        <v/>
      </c>
      <c r="L79" s="29"/>
      <c r="M79" s="35"/>
      <c r="N79" s="36"/>
      <c r="O79" s="36"/>
      <c r="P79" s="29"/>
      <c r="Q79" s="35"/>
      <c r="R79" s="36"/>
      <c r="S79" s="36"/>
      <c r="T79" s="29"/>
      <c r="U79" s="35"/>
      <c r="V79" s="36"/>
      <c r="W79" s="36"/>
      <c r="X79" s="29"/>
      <c r="Y79" s="35"/>
      <c r="Z79" s="36"/>
      <c r="AA79" s="36"/>
      <c r="AB79" s="29"/>
      <c r="AC79" s="35"/>
      <c r="AD79" s="36"/>
      <c r="AE79" s="36"/>
      <c r="AF79" s="29"/>
      <c r="AG79" s="35"/>
      <c r="AH79" s="36"/>
      <c r="AI79" s="36"/>
      <c r="AJ79" s="29"/>
      <c r="AK79" s="35"/>
      <c r="AL79" s="36"/>
      <c r="AM79" s="36"/>
      <c r="AN79" s="29"/>
      <c r="AO79" s="29"/>
      <c r="AP79" s="29"/>
      <c r="AQ79" s="37"/>
      <c r="AR79" s="39" t="str">
        <f aca="false">IF(AN79&lt;&gt;"Yes","",IF(AO79="","SELECT RE-ENTRY STAGE","MOVE TO ACTIVE at "&amp;AO79))</f>
        <v/>
      </c>
      <c r="AS79" s="40" t="str">
        <f aca="false">IF(AN79="Yes",COUNTIF($AN$6:AN79,"Yes"),"")</f>
        <v/>
      </c>
      <c r="AT79" s="29"/>
      <c r="AU79" s="38" t="str">
        <f aca="false">IF($C79="","",IF(OR(F79="Completed",F79="Cancelled"),"",IF(AND(OR(F79="On Hold",ISNUMBER(VALUE(LEFT(H79,2)))),AT79=""),"Reason not given","")))</f>
        <v/>
      </c>
      <c r="AV79" s="30"/>
      <c r="AW79" s="30"/>
    </row>
    <row r="80" customFormat="false" ht="19.5" hidden="false" customHeight="true" outlineLevel="0" collapsed="false">
      <c r="A80" s="28" t="str">
        <f aca="false">IF($C80="","",COUNTA($C$6:$C80))</f>
        <v/>
      </c>
      <c r="B80" s="29"/>
      <c r="C80" s="30"/>
      <c r="D80" s="29"/>
      <c r="E80" s="31" t="str">
        <f aca="false">IF($C80="","",IF(NOT(OR(M80="Completed",M80="NA",M80="Cancelled")),"S1 Schematic",IF(NOT(OR(Q80="Completed",Q80="NA",Q80="Cancelled")),"S2 PCB Layout",IF(NOT(OR(U80="Completed",U80="NA",U80="Cancelled")),"S3 SI &amp; PI",IF(NOT(OR(Y80="Completed",Y80="NA",Y80="Cancelled")),"S4 Bare-PCB Fab",IF(NOT(OR(AC80="Completed",AC80="NA",AC80="Cancelled")),"S5 Assembly",IF(NOT(OR(AG80="Completed",AG80="NA",AG80="Cancelled")),"S6 Bring-up",IF(NOT(OR(AK80="Completed",AK80="NA",AK80="Cancelled")),"S7 BOM Procurement","All Stages Closed"))))))))</f>
        <v/>
      </c>
      <c r="F80" s="32" t="str">
        <f aca="false">IF($C80="","",IF(COUNTIF(M80,"Cancelled")+COUNTIF(Q80,"Cancelled")+COUNTIF(U80,"Cancelled")+COUNTIF(Y80,"Cancelled")+COUNTIF(AC80,"Cancelled")+COUNTIF(AG80,"Cancelled")+COUNTIF(AK80,"Cancelled")&gt;0,"Cancelled",IF(E80="All Stages Closed","Completed",IF(E80="S1 Schematic",M80,IF(E80="S2 PCB Layout",Q80,IF(E80="S3 SI &amp; PI",U80,IF(E80="S4 Bare-PCB Fab",Y80,IF(E80="S5 Assembly",AC80,IF(E80="S6 Bring-up",AG80,AK80)))))))))</f>
        <v/>
      </c>
      <c r="G80" s="33" t="str">
        <f aca="false">IF($C80="","",IF(E80="All Stages Closed","",IF(E80="S1 Schematic",IF(N80="","Not added",N80),IF(E80="S2 PCB Layout",IF(R80="","Not added",R80),IF(E80="S3 SI &amp; PI",IF(V80="","Not added",V80),IF(E80="S4 Bare-PCB Fab",IF(Z80="","Not added",Z80),IF(E80="S5 Assembly",IF(AD80="","Not added",AD80),IF(E80="S6 Bring-up",IF(AH80="","Not added",AH80),IF(AL80="","Not added",AL80)))))))))</f>
        <v/>
      </c>
      <c r="H80" s="32" t="str">
        <f aca="true">IF($C80="","",IF(OR(F80="Completed",F80="Cancelled"),"",IF(NOT(ISNUMBER(G80)),"No date set",IF(TODAY()&gt;G80,TODAY()-G80&amp;" days late",G80-TODAY()&amp;" days left"))))</f>
        <v/>
      </c>
      <c r="I80" s="31" t="str">
        <f aca="false">IF($C80="","",COUNTIF(M80,"Completed")+COUNTIF(Q80,"Completed")+COUNTIF(U80,"Completed")+COUNTIF(Y80,"Completed")+COUNTIF(AC80,"Completed")+COUNTIF(AG80,"Completed")+COUNTIF(AK80,"Completed"))</f>
        <v/>
      </c>
      <c r="J80" s="31" t="str">
        <f aca="false">IF($C80="","",7-(COUNTIF(M80,"NA")+COUNTIF(Q80,"NA")+COUNTIF(U80,"NA")+COUNTIF(Y80,"NA")+COUNTIF(AC80,"NA")+COUNTIF(AG80,"NA")+COUNTIF(AK80,"NA")))</f>
        <v/>
      </c>
      <c r="K80" s="34" t="str">
        <f aca="false">IFERROR(I80/J80,"")</f>
        <v/>
      </c>
      <c r="L80" s="29"/>
      <c r="M80" s="35"/>
      <c r="N80" s="36"/>
      <c r="O80" s="36"/>
      <c r="P80" s="29"/>
      <c r="Q80" s="35"/>
      <c r="R80" s="36"/>
      <c r="S80" s="36"/>
      <c r="T80" s="29"/>
      <c r="U80" s="35"/>
      <c r="V80" s="36"/>
      <c r="W80" s="36"/>
      <c r="X80" s="29"/>
      <c r="Y80" s="35"/>
      <c r="Z80" s="36"/>
      <c r="AA80" s="36"/>
      <c r="AB80" s="29"/>
      <c r="AC80" s="35"/>
      <c r="AD80" s="36"/>
      <c r="AE80" s="36"/>
      <c r="AF80" s="29"/>
      <c r="AG80" s="35"/>
      <c r="AH80" s="36"/>
      <c r="AI80" s="36"/>
      <c r="AJ80" s="29"/>
      <c r="AK80" s="35"/>
      <c r="AL80" s="36"/>
      <c r="AM80" s="36"/>
      <c r="AN80" s="29"/>
      <c r="AO80" s="29"/>
      <c r="AP80" s="29"/>
      <c r="AQ80" s="37"/>
      <c r="AR80" s="39" t="str">
        <f aca="false">IF(AN80&lt;&gt;"Yes","",IF(AO80="","SELECT RE-ENTRY STAGE","MOVE TO ACTIVE at "&amp;AO80))</f>
        <v/>
      </c>
      <c r="AS80" s="40" t="str">
        <f aca="false">IF(AN80="Yes",COUNTIF($AN$6:AN80,"Yes"),"")</f>
        <v/>
      </c>
      <c r="AT80" s="29"/>
      <c r="AU80" s="38" t="str">
        <f aca="false">IF($C80="","",IF(OR(F80="Completed",F80="Cancelled"),"",IF(AND(OR(F80="On Hold",ISNUMBER(VALUE(LEFT(H80,2)))),AT80=""),"Reason not given","")))</f>
        <v/>
      </c>
      <c r="AV80" s="30"/>
      <c r="AW80" s="30"/>
    </row>
    <row r="81" customFormat="false" ht="19.5" hidden="false" customHeight="true" outlineLevel="0" collapsed="false">
      <c r="A81" s="28" t="str">
        <f aca="false">IF($C81="","",COUNTA($C$6:$C81))</f>
        <v/>
      </c>
      <c r="B81" s="29"/>
      <c r="C81" s="30"/>
      <c r="D81" s="29"/>
      <c r="E81" s="31" t="str">
        <f aca="false">IF($C81="","",IF(NOT(OR(M81="Completed",M81="NA",M81="Cancelled")),"S1 Schematic",IF(NOT(OR(Q81="Completed",Q81="NA",Q81="Cancelled")),"S2 PCB Layout",IF(NOT(OR(U81="Completed",U81="NA",U81="Cancelled")),"S3 SI &amp; PI",IF(NOT(OR(Y81="Completed",Y81="NA",Y81="Cancelled")),"S4 Bare-PCB Fab",IF(NOT(OR(AC81="Completed",AC81="NA",AC81="Cancelled")),"S5 Assembly",IF(NOT(OR(AG81="Completed",AG81="NA",AG81="Cancelled")),"S6 Bring-up",IF(NOT(OR(AK81="Completed",AK81="NA",AK81="Cancelled")),"S7 BOM Procurement","All Stages Closed"))))))))</f>
        <v/>
      </c>
      <c r="F81" s="32" t="str">
        <f aca="false">IF($C81="","",IF(COUNTIF(M81,"Cancelled")+COUNTIF(Q81,"Cancelled")+COUNTIF(U81,"Cancelled")+COUNTIF(Y81,"Cancelled")+COUNTIF(AC81,"Cancelled")+COUNTIF(AG81,"Cancelled")+COUNTIF(AK81,"Cancelled")&gt;0,"Cancelled",IF(E81="All Stages Closed","Completed",IF(E81="S1 Schematic",M81,IF(E81="S2 PCB Layout",Q81,IF(E81="S3 SI &amp; PI",U81,IF(E81="S4 Bare-PCB Fab",Y81,IF(E81="S5 Assembly",AC81,IF(E81="S6 Bring-up",AG81,AK81)))))))))</f>
        <v/>
      </c>
      <c r="G81" s="33" t="str">
        <f aca="false">IF($C81="","",IF(E81="All Stages Closed","",IF(E81="S1 Schematic",IF(N81="","Not added",N81),IF(E81="S2 PCB Layout",IF(R81="","Not added",R81),IF(E81="S3 SI &amp; PI",IF(V81="","Not added",V81),IF(E81="S4 Bare-PCB Fab",IF(Z81="","Not added",Z81),IF(E81="S5 Assembly",IF(AD81="","Not added",AD81),IF(E81="S6 Bring-up",IF(AH81="","Not added",AH81),IF(AL81="","Not added",AL81)))))))))</f>
        <v/>
      </c>
      <c r="H81" s="32" t="str">
        <f aca="true">IF($C81="","",IF(OR(F81="Completed",F81="Cancelled"),"",IF(NOT(ISNUMBER(G81)),"No date set",IF(TODAY()&gt;G81,TODAY()-G81&amp;" days late",G81-TODAY()&amp;" days left"))))</f>
        <v/>
      </c>
      <c r="I81" s="31" t="str">
        <f aca="false">IF($C81="","",COUNTIF(M81,"Completed")+COUNTIF(Q81,"Completed")+COUNTIF(U81,"Completed")+COUNTIF(Y81,"Completed")+COUNTIF(AC81,"Completed")+COUNTIF(AG81,"Completed")+COUNTIF(AK81,"Completed"))</f>
        <v/>
      </c>
      <c r="J81" s="31" t="str">
        <f aca="false">IF($C81="","",7-(COUNTIF(M81,"NA")+COUNTIF(Q81,"NA")+COUNTIF(U81,"NA")+COUNTIF(Y81,"NA")+COUNTIF(AC81,"NA")+COUNTIF(AG81,"NA")+COUNTIF(AK81,"NA")))</f>
        <v/>
      </c>
      <c r="K81" s="34" t="str">
        <f aca="false">IFERROR(I81/J81,"")</f>
        <v/>
      </c>
      <c r="L81" s="29"/>
      <c r="M81" s="35"/>
      <c r="N81" s="36"/>
      <c r="O81" s="36"/>
      <c r="P81" s="29"/>
      <c r="Q81" s="35"/>
      <c r="R81" s="36"/>
      <c r="S81" s="36"/>
      <c r="T81" s="29"/>
      <c r="U81" s="35"/>
      <c r="V81" s="36"/>
      <c r="W81" s="36"/>
      <c r="X81" s="29"/>
      <c r="Y81" s="35"/>
      <c r="Z81" s="36"/>
      <c r="AA81" s="36"/>
      <c r="AB81" s="29"/>
      <c r="AC81" s="35"/>
      <c r="AD81" s="36"/>
      <c r="AE81" s="36"/>
      <c r="AF81" s="29"/>
      <c r="AG81" s="35"/>
      <c r="AH81" s="36"/>
      <c r="AI81" s="36"/>
      <c r="AJ81" s="29"/>
      <c r="AK81" s="35"/>
      <c r="AL81" s="36"/>
      <c r="AM81" s="36"/>
      <c r="AN81" s="29"/>
      <c r="AO81" s="29"/>
      <c r="AP81" s="29"/>
      <c r="AQ81" s="37"/>
      <c r="AR81" s="39" t="str">
        <f aca="false">IF(AN81&lt;&gt;"Yes","",IF(AO81="","SELECT RE-ENTRY STAGE","MOVE TO ACTIVE at "&amp;AO81))</f>
        <v/>
      </c>
      <c r="AS81" s="40" t="str">
        <f aca="false">IF(AN81="Yes",COUNTIF($AN$6:AN81,"Yes"),"")</f>
        <v/>
      </c>
      <c r="AT81" s="29"/>
      <c r="AU81" s="38" t="str">
        <f aca="false">IF($C81="","",IF(OR(F81="Completed",F81="Cancelled"),"",IF(AND(OR(F81="On Hold",ISNUMBER(VALUE(LEFT(H81,2)))),AT81=""),"Reason not given","")))</f>
        <v/>
      </c>
      <c r="AV81" s="30"/>
      <c r="AW81" s="30"/>
    </row>
    <row r="82" customFormat="false" ht="19.5" hidden="false" customHeight="true" outlineLevel="0" collapsed="false">
      <c r="A82" s="28" t="str">
        <f aca="false">IF($C82="","",COUNTA($C$6:$C82))</f>
        <v/>
      </c>
      <c r="B82" s="29"/>
      <c r="C82" s="30"/>
      <c r="D82" s="29"/>
      <c r="E82" s="31" t="str">
        <f aca="false">IF($C82="","",IF(NOT(OR(M82="Completed",M82="NA",M82="Cancelled")),"S1 Schematic",IF(NOT(OR(Q82="Completed",Q82="NA",Q82="Cancelled")),"S2 PCB Layout",IF(NOT(OR(U82="Completed",U82="NA",U82="Cancelled")),"S3 SI &amp; PI",IF(NOT(OR(Y82="Completed",Y82="NA",Y82="Cancelled")),"S4 Bare-PCB Fab",IF(NOT(OR(AC82="Completed",AC82="NA",AC82="Cancelled")),"S5 Assembly",IF(NOT(OR(AG82="Completed",AG82="NA",AG82="Cancelled")),"S6 Bring-up",IF(NOT(OR(AK82="Completed",AK82="NA",AK82="Cancelled")),"S7 BOM Procurement","All Stages Closed"))))))))</f>
        <v/>
      </c>
      <c r="F82" s="32" t="str">
        <f aca="false">IF($C82="","",IF(COUNTIF(M82,"Cancelled")+COUNTIF(Q82,"Cancelled")+COUNTIF(U82,"Cancelled")+COUNTIF(Y82,"Cancelled")+COUNTIF(AC82,"Cancelled")+COUNTIF(AG82,"Cancelled")+COUNTIF(AK82,"Cancelled")&gt;0,"Cancelled",IF(E82="All Stages Closed","Completed",IF(E82="S1 Schematic",M82,IF(E82="S2 PCB Layout",Q82,IF(E82="S3 SI &amp; PI",U82,IF(E82="S4 Bare-PCB Fab",Y82,IF(E82="S5 Assembly",AC82,IF(E82="S6 Bring-up",AG82,AK82)))))))))</f>
        <v/>
      </c>
      <c r="G82" s="33" t="str">
        <f aca="false">IF($C82="","",IF(E82="All Stages Closed","",IF(E82="S1 Schematic",IF(N82="","Not added",N82),IF(E82="S2 PCB Layout",IF(R82="","Not added",R82),IF(E82="S3 SI &amp; PI",IF(V82="","Not added",V82),IF(E82="S4 Bare-PCB Fab",IF(Z82="","Not added",Z82),IF(E82="S5 Assembly",IF(AD82="","Not added",AD82),IF(E82="S6 Bring-up",IF(AH82="","Not added",AH82),IF(AL82="","Not added",AL82)))))))))</f>
        <v/>
      </c>
      <c r="H82" s="32" t="str">
        <f aca="true">IF($C82="","",IF(OR(F82="Completed",F82="Cancelled"),"",IF(NOT(ISNUMBER(G82)),"No date set",IF(TODAY()&gt;G82,TODAY()-G82&amp;" days late",G82-TODAY()&amp;" days left"))))</f>
        <v/>
      </c>
      <c r="I82" s="31" t="str">
        <f aca="false">IF($C82="","",COUNTIF(M82,"Completed")+COUNTIF(Q82,"Completed")+COUNTIF(U82,"Completed")+COUNTIF(Y82,"Completed")+COUNTIF(AC82,"Completed")+COUNTIF(AG82,"Completed")+COUNTIF(AK82,"Completed"))</f>
        <v/>
      </c>
      <c r="J82" s="31" t="str">
        <f aca="false">IF($C82="","",7-(COUNTIF(M82,"NA")+COUNTIF(Q82,"NA")+COUNTIF(U82,"NA")+COUNTIF(Y82,"NA")+COUNTIF(AC82,"NA")+COUNTIF(AG82,"NA")+COUNTIF(AK82,"NA")))</f>
        <v/>
      </c>
      <c r="K82" s="34" t="str">
        <f aca="false">IFERROR(I82/J82,"")</f>
        <v/>
      </c>
      <c r="L82" s="29"/>
      <c r="M82" s="35"/>
      <c r="N82" s="36"/>
      <c r="O82" s="36"/>
      <c r="P82" s="29"/>
      <c r="Q82" s="35"/>
      <c r="R82" s="36"/>
      <c r="S82" s="36"/>
      <c r="T82" s="29"/>
      <c r="U82" s="35"/>
      <c r="V82" s="36"/>
      <c r="W82" s="36"/>
      <c r="X82" s="29"/>
      <c r="Y82" s="35"/>
      <c r="Z82" s="36"/>
      <c r="AA82" s="36"/>
      <c r="AB82" s="29"/>
      <c r="AC82" s="35"/>
      <c r="AD82" s="36"/>
      <c r="AE82" s="36"/>
      <c r="AF82" s="29"/>
      <c r="AG82" s="35"/>
      <c r="AH82" s="36"/>
      <c r="AI82" s="36"/>
      <c r="AJ82" s="29"/>
      <c r="AK82" s="35"/>
      <c r="AL82" s="36"/>
      <c r="AM82" s="36"/>
      <c r="AN82" s="29"/>
      <c r="AO82" s="29"/>
      <c r="AP82" s="29"/>
      <c r="AQ82" s="37"/>
      <c r="AR82" s="39" t="str">
        <f aca="false">IF(AN82&lt;&gt;"Yes","",IF(AO82="","SELECT RE-ENTRY STAGE","MOVE TO ACTIVE at "&amp;AO82))</f>
        <v/>
      </c>
      <c r="AS82" s="40" t="str">
        <f aca="false">IF(AN82="Yes",COUNTIF($AN$6:AN82,"Yes"),"")</f>
        <v/>
      </c>
      <c r="AT82" s="29"/>
      <c r="AU82" s="38" t="str">
        <f aca="false">IF($C82="","",IF(OR(F82="Completed",F82="Cancelled"),"",IF(AND(OR(F82="On Hold",ISNUMBER(VALUE(LEFT(H82,2)))),AT82=""),"Reason not given","")))</f>
        <v/>
      </c>
      <c r="AV82" s="30"/>
      <c r="AW82" s="30"/>
    </row>
    <row r="83" customFormat="false" ht="19.5" hidden="false" customHeight="true" outlineLevel="0" collapsed="false">
      <c r="A83" s="28" t="str">
        <f aca="false">IF($C83="","",COUNTA($C$6:$C83))</f>
        <v/>
      </c>
      <c r="B83" s="29"/>
      <c r="C83" s="30"/>
      <c r="D83" s="29"/>
      <c r="E83" s="31" t="str">
        <f aca="false">IF($C83="","",IF(NOT(OR(M83="Completed",M83="NA",M83="Cancelled")),"S1 Schematic",IF(NOT(OR(Q83="Completed",Q83="NA",Q83="Cancelled")),"S2 PCB Layout",IF(NOT(OR(U83="Completed",U83="NA",U83="Cancelled")),"S3 SI &amp; PI",IF(NOT(OR(Y83="Completed",Y83="NA",Y83="Cancelled")),"S4 Bare-PCB Fab",IF(NOT(OR(AC83="Completed",AC83="NA",AC83="Cancelled")),"S5 Assembly",IF(NOT(OR(AG83="Completed",AG83="NA",AG83="Cancelled")),"S6 Bring-up",IF(NOT(OR(AK83="Completed",AK83="NA",AK83="Cancelled")),"S7 BOM Procurement","All Stages Closed"))))))))</f>
        <v/>
      </c>
      <c r="F83" s="32" t="str">
        <f aca="false">IF($C83="","",IF(COUNTIF(M83,"Cancelled")+COUNTIF(Q83,"Cancelled")+COUNTIF(U83,"Cancelled")+COUNTIF(Y83,"Cancelled")+COUNTIF(AC83,"Cancelled")+COUNTIF(AG83,"Cancelled")+COUNTIF(AK83,"Cancelled")&gt;0,"Cancelled",IF(E83="All Stages Closed","Completed",IF(E83="S1 Schematic",M83,IF(E83="S2 PCB Layout",Q83,IF(E83="S3 SI &amp; PI",U83,IF(E83="S4 Bare-PCB Fab",Y83,IF(E83="S5 Assembly",AC83,IF(E83="S6 Bring-up",AG83,AK83)))))))))</f>
        <v/>
      </c>
      <c r="G83" s="33" t="str">
        <f aca="false">IF($C83="","",IF(E83="All Stages Closed","",IF(E83="S1 Schematic",IF(N83="","Not added",N83),IF(E83="S2 PCB Layout",IF(R83="","Not added",R83),IF(E83="S3 SI &amp; PI",IF(V83="","Not added",V83),IF(E83="S4 Bare-PCB Fab",IF(Z83="","Not added",Z83),IF(E83="S5 Assembly",IF(AD83="","Not added",AD83),IF(E83="S6 Bring-up",IF(AH83="","Not added",AH83),IF(AL83="","Not added",AL83)))))))))</f>
        <v/>
      </c>
      <c r="H83" s="32" t="str">
        <f aca="true">IF($C83="","",IF(OR(F83="Completed",F83="Cancelled"),"",IF(NOT(ISNUMBER(G83)),"No date set",IF(TODAY()&gt;G83,TODAY()-G83&amp;" days late",G83-TODAY()&amp;" days left"))))</f>
        <v/>
      </c>
      <c r="I83" s="31" t="str">
        <f aca="false">IF($C83="","",COUNTIF(M83,"Completed")+COUNTIF(Q83,"Completed")+COUNTIF(U83,"Completed")+COUNTIF(Y83,"Completed")+COUNTIF(AC83,"Completed")+COUNTIF(AG83,"Completed")+COUNTIF(AK83,"Completed"))</f>
        <v/>
      </c>
      <c r="J83" s="31" t="str">
        <f aca="false">IF($C83="","",7-(COUNTIF(M83,"NA")+COUNTIF(Q83,"NA")+COUNTIF(U83,"NA")+COUNTIF(Y83,"NA")+COUNTIF(AC83,"NA")+COUNTIF(AG83,"NA")+COUNTIF(AK83,"NA")))</f>
        <v/>
      </c>
      <c r="K83" s="34" t="str">
        <f aca="false">IFERROR(I83/J83,"")</f>
        <v/>
      </c>
      <c r="L83" s="29"/>
      <c r="M83" s="35"/>
      <c r="N83" s="36"/>
      <c r="O83" s="36"/>
      <c r="P83" s="29"/>
      <c r="Q83" s="35"/>
      <c r="R83" s="36"/>
      <c r="S83" s="36"/>
      <c r="T83" s="29"/>
      <c r="U83" s="35"/>
      <c r="V83" s="36"/>
      <c r="W83" s="36"/>
      <c r="X83" s="29"/>
      <c r="Y83" s="35"/>
      <c r="Z83" s="36"/>
      <c r="AA83" s="36"/>
      <c r="AB83" s="29"/>
      <c r="AC83" s="35"/>
      <c r="AD83" s="36"/>
      <c r="AE83" s="36"/>
      <c r="AF83" s="29"/>
      <c r="AG83" s="35"/>
      <c r="AH83" s="36"/>
      <c r="AI83" s="36"/>
      <c r="AJ83" s="29"/>
      <c r="AK83" s="35"/>
      <c r="AL83" s="36"/>
      <c r="AM83" s="36"/>
      <c r="AN83" s="29"/>
      <c r="AO83" s="29"/>
      <c r="AP83" s="29"/>
      <c r="AQ83" s="37"/>
      <c r="AR83" s="39" t="str">
        <f aca="false">IF(AN83&lt;&gt;"Yes","",IF(AO83="","SELECT RE-ENTRY STAGE","MOVE TO ACTIVE at "&amp;AO83))</f>
        <v/>
      </c>
      <c r="AS83" s="40" t="str">
        <f aca="false">IF(AN83="Yes",COUNTIF($AN$6:AN83,"Yes"),"")</f>
        <v/>
      </c>
      <c r="AT83" s="29"/>
      <c r="AU83" s="38" t="str">
        <f aca="false">IF($C83="","",IF(OR(F83="Completed",F83="Cancelled"),"",IF(AND(OR(F83="On Hold",ISNUMBER(VALUE(LEFT(H83,2)))),AT83=""),"Reason not given","")))</f>
        <v/>
      </c>
      <c r="AV83" s="30"/>
      <c r="AW83" s="30"/>
    </row>
    <row r="84" customFormat="false" ht="19.5" hidden="false" customHeight="true" outlineLevel="0" collapsed="false">
      <c r="A84" s="28" t="str">
        <f aca="false">IF($C84="","",COUNTA($C$6:$C84))</f>
        <v/>
      </c>
      <c r="B84" s="29"/>
      <c r="C84" s="30"/>
      <c r="D84" s="29"/>
      <c r="E84" s="31" t="str">
        <f aca="false">IF($C84="","",IF(NOT(OR(M84="Completed",M84="NA",M84="Cancelled")),"S1 Schematic",IF(NOT(OR(Q84="Completed",Q84="NA",Q84="Cancelled")),"S2 PCB Layout",IF(NOT(OR(U84="Completed",U84="NA",U84="Cancelled")),"S3 SI &amp; PI",IF(NOT(OR(Y84="Completed",Y84="NA",Y84="Cancelled")),"S4 Bare-PCB Fab",IF(NOT(OR(AC84="Completed",AC84="NA",AC84="Cancelled")),"S5 Assembly",IF(NOT(OR(AG84="Completed",AG84="NA",AG84="Cancelled")),"S6 Bring-up",IF(NOT(OR(AK84="Completed",AK84="NA",AK84="Cancelled")),"S7 BOM Procurement","All Stages Closed"))))))))</f>
        <v/>
      </c>
      <c r="F84" s="32" t="str">
        <f aca="false">IF($C84="","",IF(COUNTIF(M84,"Cancelled")+COUNTIF(Q84,"Cancelled")+COUNTIF(U84,"Cancelled")+COUNTIF(Y84,"Cancelled")+COUNTIF(AC84,"Cancelled")+COUNTIF(AG84,"Cancelled")+COUNTIF(AK84,"Cancelled")&gt;0,"Cancelled",IF(E84="All Stages Closed","Completed",IF(E84="S1 Schematic",M84,IF(E84="S2 PCB Layout",Q84,IF(E84="S3 SI &amp; PI",U84,IF(E84="S4 Bare-PCB Fab",Y84,IF(E84="S5 Assembly",AC84,IF(E84="S6 Bring-up",AG84,AK84)))))))))</f>
        <v/>
      </c>
      <c r="G84" s="33" t="str">
        <f aca="false">IF($C84="","",IF(E84="All Stages Closed","",IF(E84="S1 Schematic",IF(N84="","Not added",N84),IF(E84="S2 PCB Layout",IF(R84="","Not added",R84),IF(E84="S3 SI &amp; PI",IF(V84="","Not added",V84),IF(E84="S4 Bare-PCB Fab",IF(Z84="","Not added",Z84),IF(E84="S5 Assembly",IF(AD84="","Not added",AD84),IF(E84="S6 Bring-up",IF(AH84="","Not added",AH84),IF(AL84="","Not added",AL84)))))))))</f>
        <v/>
      </c>
      <c r="H84" s="32" t="str">
        <f aca="true">IF($C84="","",IF(OR(F84="Completed",F84="Cancelled"),"",IF(NOT(ISNUMBER(G84)),"No date set",IF(TODAY()&gt;G84,TODAY()-G84&amp;" days late",G84-TODAY()&amp;" days left"))))</f>
        <v/>
      </c>
      <c r="I84" s="31" t="str">
        <f aca="false">IF($C84="","",COUNTIF(M84,"Completed")+COUNTIF(Q84,"Completed")+COUNTIF(U84,"Completed")+COUNTIF(Y84,"Completed")+COUNTIF(AC84,"Completed")+COUNTIF(AG84,"Completed")+COUNTIF(AK84,"Completed"))</f>
        <v/>
      </c>
      <c r="J84" s="31" t="str">
        <f aca="false">IF($C84="","",7-(COUNTIF(M84,"NA")+COUNTIF(Q84,"NA")+COUNTIF(U84,"NA")+COUNTIF(Y84,"NA")+COUNTIF(AC84,"NA")+COUNTIF(AG84,"NA")+COUNTIF(AK84,"NA")))</f>
        <v/>
      </c>
      <c r="K84" s="34" t="str">
        <f aca="false">IFERROR(I84/J84,"")</f>
        <v/>
      </c>
      <c r="L84" s="29"/>
      <c r="M84" s="35"/>
      <c r="N84" s="36"/>
      <c r="O84" s="36"/>
      <c r="P84" s="29"/>
      <c r="Q84" s="35"/>
      <c r="R84" s="36"/>
      <c r="S84" s="36"/>
      <c r="T84" s="29"/>
      <c r="U84" s="35"/>
      <c r="V84" s="36"/>
      <c r="W84" s="36"/>
      <c r="X84" s="29"/>
      <c r="Y84" s="35"/>
      <c r="Z84" s="36"/>
      <c r="AA84" s="36"/>
      <c r="AB84" s="29"/>
      <c r="AC84" s="35"/>
      <c r="AD84" s="36"/>
      <c r="AE84" s="36"/>
      <c r="AF84" s="29"/>
      <c r="AG84" s="35"/>
      <c r="AH84" s="36"/>
      <c r="AI84" s="36"/>
      <c r="AJ84" s="29"/>
      <c r="AK84" s="35"/>
      <c r="AL84" s="36"/>
      <c r="AM84" s="36"/>
      <c r="AN84" s="29"/>
      <c r="AO84" s="29"/>
      <c r="AP84" s="29"/>
      <c r="AQ84" s="37"/>
      <c r="AR84" s="39" t="str">
        <f aca="false">IF(AN84&lt;&gt;"Yes","",IF(AO84="","SELECT RE-ENTRY STAGE","MOVE TO ACTIVE at "&amp;AO84))</f>
        <v/>
      </c>
      <c r="AS84" s="40" t="str">
        <f aca="false">IF(AN84="Yes",COUNTIF($AN$6:AN84,"Yes"),"")</f>
        <v/>
      </c>
      <c r="AT84" s="29"/>
      <c r="AU84" s="38" t="str">
        <f aca="false">IF($C84="","",IF(OR(F84="Completed",F84="Cancelled"),"",IF(AND(OR(F84="On Hold",ISNUMBER(VALUE(LEFT(H84,2)))),AT84=""),"Reason not given","")))</f>
        <v/>
      </c>
      <c r="AV84" s="30"/>
      <c r="AW84" s="30"/>
    </row>
    <row r="85" customFormat="false" ht="19.5" hidden="false" customHeight="true" outlineLevel="0" collapsed="false">
      <c r="A85" s="28" t="str">
        <f aca="false">IF($C85="","",COUNTA($C$6:$C85))</f>
        <v/>
      </c>
      <c r="B85" s="29"/>
      <c r="C85" s="30"/>
      <c r="D85" s="29"/>
      <c r="E85" s="31" t="str">
        <f aca="false">IF($C85="","",IF(NOT(OR(M85="Completed",M85="NA",M85="Cancelled")),"S1 Schematic",IF(NOT(OR(Q85="Completed",Q85="NA",Q85="Cancelled")),"S2 PCB Layout",IF(NOT(OR(U85="Completed",U85="NA",U85="Cancelled")),"S3 SI &amp; PI",IF(NOT(OR(Y85="Completed",Y85="NA",Y85="Cancelled")),"S4 Bare-PCB Fab",IF(NOT(OR(AC85="Completed",AC85="NA",AC85="Cancelled")),"S5 Assembly",IF(NOT(OR(AG85="Completed",AG85="NA",AG85="Cancelled")),"S6 Bring-up",IF(NOT(OR(AK85="Completed",AK85="NA",AK85="Cancelled")),"S7 BOM Procurement","All Stages Closed"))))))))</f>
        <v/>
      </c>
      <c r="F85" s="32" t="str">
        <f aca="false">IF($C85="","",IF(COUNTIF(M85,"Cancelled")+COUNTIF(Q85,"Cancelled")+COUNTIF(U85,"Cancelled")+COUNTIF(Y85,"Cancelled")+COUNTIF(AC85,"Cancelled")+COUNTIF(AG85,"Cancelled")+COUNTIF(AK85,"Cancelled")&gt;0,"Cancelled",IF(E85="All Stages Closed","Completed",IF(E85="S1 Schematic",M85,IF(E85="S2 PCB Layout",Q85,IF(E85="S3 SI &amp; PI",U85,IF(E85="S4 Bare-PCB Fab",Y85,IF(E85="S5 Assembly",AC85,IF(E85="S6 Bring-up",AG85,AK85)))))))))</f>
        <v/>
      </c>
      <c r="G85" s="33" t="str">
        <f aca="false">IF($C85="","",IF(E85="All Stages Closed","",IF(E85="S1 Schematic",IF(N85="","Not added",N85),IF(E85="S2 PCB Layout",IF(R85="","Not added",R85),IF(E85="S3 SI &amp; PI",IF(V85="","Not added",V85),IF(E85="S4 Bare-PCB Fab",IF(Z85="","Not added",Z85),IF(E85="S5 Assembly",IF(AD85="","Not added",AD85),IF(E85="S6 Bring-up",IF(AH85="","Not added",AH85),IF(AL85="","Not added",AL85)))))))))</f>
        <v/>
      </c>
      <c r="H85" s="32" t="str">
        <f aca="true">IF($C85="","",IF(OR(F85="Completed",F85="Cancelled"),"",IF(NOT(ISNUMBER(G85)),"No date set",IF(TODAY()&gt;G85,TODAY()-G85&amp;" days late",G85-TODAY()&amp;" days left"))))</f>
        <v/>
      </c>
      <c r="I85" s="31" t="str">
        <f aca="false">IF($C85="","",COUNTIF(M85,"Completed")+COUNTIF(Q85,"Completed")+COUNTIF(U85,"Completed")+COUNTIF(Y85,"Completed")+COUNTIF(AC85,"Completed")+COUNTIF(AG85,"Completed")+COUNTIF(AK85,"Completed"))</f>
        <v/>
      </c>
      <c r="J85" s="31" t="str">
        <f aca="false">IF($C85="","",7-(COUNTIF(M85,"NA")+COUNTIF(Q85,"NA")+COUNTIF(U85,"NA")+COUNTIF(Y85,"NA")+COUNTIF(AC85,"NA")+COUNTIF(AG85,"NA")+COUNTIF(AK85,"NA")))</f>
        <v/>
      </c>
      <c r="K85" s="34" t="str">
        <f aca="false">IFERROR(I85/J85,"")</f>
        <v/>
      </c>
      <c r="L85" s="29"/>
      <c r="M85" s="35"/>
      <c r="N85" s="36"/>
      <c r="O85" s="36"/>
      <c r="P85" s="29"/>
      <c r="Q85" s="35"/>
      <c r="R85" s="36"/>
      <c r="S85" s="36"/>
      <c r="T85" s="29"/>
      <c r="U85" s="35"/>
      <c r="V85" s="36"/>
      <c r="W85" s="36"/>
      <c r="X85" s="29"/>
      <c r="Y85" s="35"/>
      <c r="Z85" s="36"/>
      <c r="AA85" s="36"/>
      <c r="AB85" s="29"/>
      <c r="AC85" s="35"/>
      <c r="AD85" s="36"/>
      <c r="AE85" s="36"/>
      <c r="AF85" s="29"/>
      <c r="AG85" s="35"/>
      <c r="AH85" s="36"/>
      <c r="AI85" s="36"/>
      <c r="AJ85" s="29"/>
      <c r="AK85" s="35"/>
      <c r="AL85" s="36"/>
      <c r="AM85" s="36"/>
      <c r="AN85" s="29"/>
      <c r="AO85" s="29"/>
      <c r="AP85" s="29"/>
      <c r="AQ85" s="37"/>
      <c r="AR85" s="39" t="str">
        <f aca="false">IF(AN85&lt;&gt;"Yes","",IF(AO85="","SELECT RE-ENTRY STAGE","MOVE TO ACTIVE at "&amp;AO85))</f>
        <v/>
      </c>
      <c r="AS85" s="40" t="str">
        <f aca="false">IF(AN85="Yes",COUNTIF($AN$6:AN85,"Yes"),"")</f>
        <v/>
      </c>
      <c r="AT85" s="29"/>
      <c r="AU85" s="38" t="str">
        <f aca="false">IF($C85="","",IF(OR(F85="Completed",F85="Cancelled"),"",IF(AND(OR(F85="On Hold",ISNUMBER(VALUE(LEFT(H85,2)))),AT85=""),"Reason not given","")))</f>
        <v/>
      </c>
      <c r="AV85" s="30"/>
      <c r="AW85" s="30"/>
    </row>
    <row r="86" customFormat="false" ht="19.5" hidden="false" customHeight="true" outlineLevel="0" collapsed="false">
      <c r="A86" s="28" t="str">
        <f aca="false">IF($C86="","",COUNTA($C$6:$C86))</f>
        <v/>
      </c>
      <c r="B86" s="29"/>
      <c r="C86" s="30"/>
      <c r="D86" s="29"/>
      <c r="E86" s="31" t="str">
        <f aca="false">IF($C86="","",IF(NOT(OR(M86="Completed",M86="NA",M86="Cancelled")),"S1 Schematic",IF(NOT(OR(Q86="Completed",Q86="NA",Q86="Cancelled")),"S2 PCB Layout",IF(NOT(OR(U86="Completed",U86="NA",U86="Cancelled")),"S3 SI &amp; PI",IF(NOT(OR(Y86="Completed",Y86="NA",Y86="Cancelled")),"S4 Bare-PCB Fab",IF(NOT(OR(AC86="Completed",AC86="NA",AC86="Cancelled")),"S5 Assembly",IF(NOT(OR(AG86="Completed",AG86="NA",AG86="Cancelled")),"S6 Bring-up",IF(NOT(OR(AK86="Completed",AK86="NA",AK86="Cancelled")),"S7 BOM Procurement","All Stages Closed"))))))))</f>
        <v/>
      </c>
      <c r="F86" s="32" t="str">
        <f aca="false">IF($C86="","",IF(COUNTIF(M86,"Cancelled")+COUNTIF(Q86,"Cancelled")+COUNTIF(U86,"Cancelled")+COUNTIF(Y86,"Cancelled")+COUNTIF(AC86,"Cancelled")+COUNTIF(AG86,"Cancelled")+COUNTIF(AK86,"Cancelled")&gt;0,"Cancelled",IF(E86="All Stages Closed","Completed",IF(E86="S1 Schematic",M86,IF(E86="S2 PCB Layout",Q86,IF(E86="S3 SI &amp; PI",U86,IF(E86="S4 Bare-PCB Fab",Y86,IF(E86="S5 Assembly",AC86,IF(E86="S6 Bring-up",AG86,AK86)))))))))</f>
        <v/>
      </c>
      <c r="G86" s="33" t="str">
        <f aca="false">IF($C86="","",IF(E86="All Stages Closed","",IF(E86="S1 Schematic",IF(N86="","Not added",N86),IF(E86="S2 PCB Layout",IF(R86="","Not added",R86),IF(E86="S3 SI &amp; PI",IF(V86="","Not added",V86),IF(E86="S4 Bare-PCB Fab",IF(Z86="","Not added",Z86),IF(E86="S5 Assembly",IF(AD86="","Not added",AD86),IF(E86="S6 Bring-up",IF(AH86="","Not added",AH86),IF(AL86="","Not added",AL86)))))))))</f>
        <v/>
      </c>
      <c r="H86" s="32" t="str">
        <f aca="true">IF($C86="","",IF(OR(F86="Completed",F86="Cancelled"),"",IF(NOT(ISNUMBER(G86)),"No date set",IF(TODAY()&gt;G86,TODAY()-G86&amp;" days late",G86-TODAY()&amp;" days left"))))</f>
        <v/>
      </c>
      <c r="I86" s="31" t="str">
        <f aca="false">IF($C86="","",COUNTIF(M86,"Completed")+COUNTIF(Q86,"Completed")+COUNTIF(U86,"Completed")+COUNTIF(Y86,"Completed")+COUNTIF(AC86,"Completed")+COUNTIF(AG86,"Completed")+COUNTIF(AK86,"Completed"))</f>
        <v/>
      </c>
      <c r="J86" s="31" t="str">
        <f aca="false">IF($C86="","",7-(COUNTIF(M86,"NA")+COUNTIF(Q86,"NA")+COUNTIF(U86,"NA")+COUNTIF(Y86,"NA")+COUNTIF(AC86,"NA")+COUNTIF(AG86,"NA")+COUNTIF(AK86,"NA")))</f>
        <v/>
      </c>
      <c r="K86" s="34" t="str">
        <f aca="false">IFERROR(I86/J86,"")</f>
        <v/>
      </c>
      <c r="L86" s="29"/>
      <c r="M86" s="35"/>
      <c r="N86" s="36"/>
      <c r="O86" s="36"/>
      <c r="P86" s="29"/>
      <c r="Q86" s="35"/>
      <c r="R86" s="36"/>
      <c r="S86" s="36"/>
      <c r="T86" s="29"/>
      <c r="U86" s="35"/>
      <c r="V86" s="36"/>
      <c r="W86" s="36"/>
      <c r="X86" s="29"/>
      <c r="Y86" s="35"/>
      <c r="Z86" s="36"/>
      <c r="AA86" s="36"/>
      <c r="AB86" s="29"/>
      <c r="AC86" s="35"/>
      <c r="AD86" s="36"/>
      <c r="AE86" s="36"/>
      <c r="AF86" s="29"/>
      <c r="AG86" s="35"/>
      <c r="AH86" s="36"/>
      <c r="AI86" s="36"/>
      <c r="AJ86" s="29"/>
      <c r="AK86" s="35"/>
      <c r="AL86" s="36"/>
      <c r="AM86" s="36"/>
      <c r="AN86" s="29"/>
      <c r="AO86" s="29"/>
      <c r="AP86" s="29"/>
      <c r="AQ86" s="37"/>
      <c r="AR86" s="39" t="str">
        <f aca="false">IF(AN86&lt;&gt;"Yes","",IF(AO86="","SELECT RE-ENTRY STAGE","MOVE TO ACTIVE at "&amp;AO86))</f>
        <v/>
      </c>
      <c r="AS86" s="40" t="str">
        <f aca="false">IF(AN86="Yes",COUNTIF($AN$6:AN86,"Yes"),"")</f>
        <v/>
      </c>
      <c r="AT86" s="29"/>
      <c r="AU86" s="38" t="str">
        <f aca="false">IF($C86="","",IF(OR(F86="Completed",F86="Cancelled"),"",IF(AND(OR(F86="On Hold",ISNUMBER(VALUE(LEFT(H86,2)))),AT86=""),"Reason not given","")))</f>
        <v/>
      </c>
      <c r="AV86" s="30"/>
      <c r="AW86" s="30"/>
    </row>
    <row r="87" customFormat="false" ht="19.5" hidden="false" customHeight="true" outlineLevel="0" collapsed="false">
      <c r="A87" s="28" t="str">
        <f aca="false">IF($C87="","",COUNTA($C$6:$C87))</f>
        <v/>
      </c>
      <c r="B87" s="29"/>
      <c r="C87" s="30"/>
      <c r="D87" s="29"/>
      <c r="E87" s="31" t="str">
        <f aca="false">IF($C87="","",IF(NOT(OR(M87="Completed",M87="NA",M87="Cancelled")),"S1 Schematic",IF(NOT(OR(Q87="Completed",Q87="NA",Q87="Cancelled")),"S2 PCB Layout",IF(NOT(OR(U87="Completed",U87="NA",U87="Cancelled")),"S3 SI &amp; PI",IF(NOT(OR(Y87="Completed",Y87="NA",Y87="Cancelled")),"S4 Bare-PCB Fab",IF(NOT(OR(AC87="Completed",AC87="NA",AC87="Cancelled")),"S5 Assembly",IF(NOT(OR(AG87="Completed",AG87="NA",AG87="Cancelled")),"S6 Bring-up",IF(NOT(OR(AK87="Completed",AK87="NA",AK87="Cancelled")),"S7 BOM Procurement","All Stages Closed"))))))))</f>
        <v/>
      </c>
      <c r="F87" s="32" t="str">
        <f aca="false">IF($C87="","",IF(COUNTIF(M87,"Cancelled")+COUNTIF(Q87,"Cancelled")+COUNTIF(U87,"Cancelled")+COUNTIF(Y87,"Cancelled")+COUNTIF(AC87,"Cancelled")+COUNTIF(AG87,"Cancelled")+COUNTIF(AK87,"Cancelled")&gt;0,"Cancelled",IF(E87="All Stages Closed","Completed",IF(E87="S1 Schematic",M87,IF(E87="S2 PCB Layout",Q87,IF(E87="S3 SI &amp; PI",U87,IF(E87="S4 Bare-PCB Fab",Y87,IF(E87="S5 Assembly",AC87,IF(E87="S6 Bring-up",AG87,AK87)))))))))</f>
        <v/>
      </c>
      <c r="G87" s="33" t="str">
        <f aca="false">IF($C87="","",IF(E87="All Stages Closed","",IF(E87="S1 Schematic",IF(N87="","Not added",N87),IF(E87="S2 PCB Layout",IF(R87="","Not added",R87),IF(E87="S3 SI &amp; PI",IF(V87="","Not added",V87),IF(E87="S4 Bare-PCB Fab",IF(Z87="","Not added",Z87),IF(E87="S5 Assembly",IF(AD87="","Not added",AD87),IF(E87="S6 Bring-up",IF(AH87="","Not added",AH87),IF(AL87="","Not added",AL87)))))))))</f>
        <v/>
      </c>
      <c r="H87" s="32" t="str">
        <f aca="true">IF($C87="","",IF(OR(F87="Completed",F87="Cancelled"),"",IF(NOT(ISNUMBER(G87)),"No date set",IF(TODAY()&gt;G87,TODAY()-G87&amp;" days late",G87-TODAY()&amp;" days left"))))</f>
        <v/>
      </c>
      <c r="I87" s="31" t="str">
        <f aca="false">IF($C87="","",COUNTIF(M87,"Completed")+COUNTIF(Q87,"Completed")+COUNTIF(U87,"Completed")+COUNTIF(Y87,"Completed")+COUNTIF(AC87,"Completed")+COUNTIF(AG87,"Completed")+COUNTIF(AK87,"Completed"))</f>
        <v/>
      </c>
      <c r="J87" s="31" t="str">
        <f aca="false">IF($C87="","",7-(COUNTIF(M87,"NA")+COUNTIF(Q87,"NA")+COUNTIF(U87,"NA")+COUNTIF(Y87,"NA")+COUNTIF(AC87,"NA")+COUNTIF(AG87,"NA")+COUNTIF(AK87,"NA")))</f>
        <v/>
      </c>
      <c r="K87" s="34" t="str">
        <f aca="false">IFERROR(I87/J87,"")</f>
        <v/>
      </c>
      <c r="L87" s="29"/>
      <c r="M87" s="35"/>
      <c r="N87" s="36"/>
      <c r="O87" s="36"/>
      <c r="P87" s="29"/>
      <c r="Q87" s="35"/>
      <c r="R87" s="36"/>
      <c r="S87" s="36"/>
      <c r="T87" s="29"/>
      <c r="U87" s="35"/>
      <c r="V87" s="36"/>
      <c r="W87" s="36"/>
      <c r="X87" s="29"/>
      <c r="Y87" s="35"/>
      <c r="Z87" s="36"/>
      <c r="AA87" s="36"/>
      <c r="AB87" s="29"/>
      <c r="AC87" s="35"/>
      <c r="AD87" s="36"/>
      <c r="AE87" s="36"/>
      <c r="AF87" s="29"/>
      <c r="AG87" s="35"/>
      <c r="AH87" s="36"/>
      <c r="AI87" s="36"/>
      <c r="AJ87" s="29"/>
      <c r="AK87" s="35"/>
      <c r="AL87" s="36"/>
      <c r="AM87" s="36"/>
      <c r="AN87" s="29"/>
      <c r="AO87" s="29"/>
      <c r="AP87" s="29"/>
      <c r="AQ87" s="37"/>
      <c r="AR87" s="39" t="str">
        <f aca="false">IF(AN87&lt;&gt;"Yes","",IF(AO87="","SELECT RE-ENTRY STAGE","MOVE TO ACTIVE at "&amp;AO87))</f>
        <v/>
      </c>
      <c r="AS87" s="40" t="str">
        <f aca="false">IF(AN87="Yes",COUNTIF($AN$6:AN87,"Yes"),"")</f>
        <v/>
      </c>
      <c r="AT87" s="29"/>
      <c r="AU87" s="38" t="str">
        <f aca="false">IF($C87="","",IF(OR(F87="Completed",F87="Cancelled"),"",IF(AND(OR(F87="On Hold",ISNUMBER(VALUE(LEFT(H87,2)))),AT87=""),"Reason not given","")))</f>
        <v/>
      </c>
      <c r="AV87" s="30"/>
      <c r="AW87" s="30"/>
    </row>
    <row r="88" customFormat="false" ht="19.5" hidden="false" customHeight="true" outlineLevel="0" collapsed="false">
      <c r="A88" s="28" t="str">
        <f aca="false">IF($C88="","",COUNTA($C$6:$C88))</f>
        <v/>
      </c>
      <c r="B88" s="29"/>
      <c r="C88" s="30"/>
      <c r="D88" s="29"/>
      <c r="E88" s="31" t="str">
        <f aca="false">IF($C88="","",IF(NOT(OR(M88="Completed",M88="NA",M88="Cancelled")),"S1 Schematic",IF(NOT(OR(Q88="Completed",Q88="NA",Q88="Cancelled")),"S2 PCB Layout",IF(NOT(OR(U88="Completed",U88="NA",U88="Cancelled")),"S3 SI &amp; PI",IF(NOT(OR(Y88="Completed",Y88="NA",Y88="Cancelled")),"S4 Bare-PCB Fab",IF(NOT(OR(AC88="Completed",AC88="NA",AC88="Cancelled")),"S5 Assembly",IF(NOT(OR(AG88="Completed",AG88="NA",AG88="Cancelled")),"S6 Bring-up",IF(NOT(OR(AK88="Completed",AK88="NA",AK88="Cancelled")),"S7 BOM Procurement","All Stages Closed"))))))))</f>
        <v/>
      </c>
      <c r="F88" s="32" t="str">
        <f aca="false">IF($C88="","",IF(COUNTIF(M88,"Cancelled")+COUNTIF(Q88,"Cancelled")+COUNTIF(U88,"Cancelled")+COUNTIF(Y88,"Cancelled")+COUNTIF(AC88,"Cancelled")+COUNTIF(AG88,"Cancelled")+COUNTIF(AK88,"Cancelled")&gt;0,"Cancelled",IF(E88="All Stages Closed","Completed",IF(E88="S1 Schematic",M88,IF(E88="S2 PCB Layout",Q88,IF(E88="S3 SI &amp; PI",U88,IF(E88="S4 Bare-PCB Fab",Y88,IF(E88="S5 Assembly",AC88,IF(E88="S6 Bring-up",AG88,AK88)))))))))</f>
        <v/>
      </c>
      <c r="G88" s="33" t="str">
        <f aca="false">IF($C88="","",IF(E88="All Stages Closed","",IF(E88="S1 Schematic",IF(N88="","Not added",N88),IF(E88="S2 PCB Layout",IF(R88="","Not added",R88),IF(E88="S3 SI &amp; PI",IF(V88="","Not added",V88),IF(E88="S4 Bare-PCB Fab",IF(Z88="","Not added",Z88),IF(E88="S5 Assembly",IF(AD88="","Not added",AD88),IF(E88="S6 Bring-up",IF(AH88="","Not added",AH88),IF(AL88="","Not added",AL88)))))))))</f>
        <v/>
      </c>
      <c r="H88" s="32" t="str">
        <f aca="true">IF($C88="","",IF(OR(F88="Completed",F88="Cancelled"),"",IF(NOT(ISNUMBER(G88)),"No date set",IF(TODAY()&gt;G88,TODAY()-G88&amp;" days late",G88-TODAY()&amp;" days left"))))</f>
        <v/>
      </c>
      <c r="I88" s="31" t="str">
        <f aca="false">IF($C88="","",COUNTIF(M88,"Completed")+COUNTIF(Q88,"Completed")+COUNTIF(U88,"Completed")+COUNTIF(Y88,"Completed")+COUNTIF(AC88,"Completed")+COUNTIF(AG88,"Completed")+COUNTIF(AK88,"Completed"))</f>
        <v/>
      </c>
      <c r="J88" s="31" t="str">
        <f aca="false">IF($C88="","",7-(COUNTIF(M88,"NA")+COUNTIF(Q88,"NA")+COUNTIF(U88,"NA")+COUNTIF(Y88,"NA")+COUNTIF(AC88,"NA")+COUNTIF(AG88,"NA")+COUNTIF(AK88,"NA")))</f>
        <v/>
      </c>
      <c r="K88" s="34" t="str">
        <f aca="false">IFERROR(I88/J88,"")</f>
        <v/>
      </c>
      <c r="L88" s="29"/>
      <c r="M88" s="35"/>
      <c r="N88" s="36"/>
      <c r="O88" s="36"/>
      <c r="P88" s="29"/>
      <c r="Q88" s="35"/>
      <c r="R88" s="36"/>
      <c r="S88" s="36"/>
      <c r="T88" s="29"/>
      <c r="U88" s="35"/>
      <c r="V88" s="36"/>
      <c r="W88" s="36"/>
      <c r="X88" s="29"/>
      <c r="Y88" s="35"/>
      <c r="Z88" s="36"/>
      <c r="AA88" s="36"/>
      <c r="AB88" s="29"/>
      <c r="AC88" s="35"/>
      <c r="AD88" s="36"/>
      <c r="AE88" s="36"/>
      <c r="AF88" s="29"/>
      <c r="AG88" s="35"/>
      <c r="AH88" s="36"/>
      <c r="AI88" s="36"/>
      <c r="AJ88" s="29"/>
      <c r="AK88" s="35"/>
      <c r="AL88" s="36"/>
      <c r="AM88" s="36"/>
      <c r="AN88" s="29"/>
      <c r="AO88" s="29"/>
      <c r="AP88" s="29"/>
      <c r="AQ88" s="37"/>
      <c r="AR88" s="39" t="str">
        <f aca="false">IF(AN88&lt;&gt;"Yes","",IF(AO88="","SELECT RE-ENTRY STAGE","MOVE TO ACTIVE at "&amp;AO88))</f>
        <v/>
      </c>
      <c r="AS88" s="40" t="str">
        <f aca="false">IF(AN88="Yes",COUNTIF($AN$6:AN88,"Yes"),"")</f>
        <v/>
      </c>
      <c r="AT88" s="29"/>
      <c r="AU88" s="38" t="str">
        <f aca="false">IF($C88="","",IF(OR(F88="Completed",F88="Cancelled"),"",IF(AND(OR(F88="On Hold",ISNUMBER(VALUE(LEFT(H88,2)))),AT88=""),"Reason not given","")))</f>
        <v/>
      </c>
      <c r="AV88" s="30"/>
      <c r="AW88" s="30"/>
    </row>
    <row r="89" customFormat="false" ht="19.5" hidden="false" customHeight="true" outlineLevel="0" collapsed="false">
      <c r="A89" s="28" t="str">
        <f aca="false">IF($C89="","",COUNTA($C$6:$C89))</f>
        <v/>
      </c>
      <c r="B89" s="29"/>
      <c r="C89" s="30"/>
      <c r="D89" s="29"/>
      <c r="E89" s="31" t="str">
        <f aca="false">IF($C89="","",IF(NOT(OR(M89="Completed",M89="NA",M89="Cancelled")),"S1 Schematic",IF(NOT(OR(Q89="Completed",Q89="NA",Q89="Cancelled")),"S2 PCB Layout",IF(NOT(OR(U89="Completed",U89="NA",U89="Cancelled")),"S3 SI &amp; PI",IF(NOT(OR(Y89="Completed",Y89="NA",Y89="Cancelled")),"S4 Bare-PCB Fab",IF(NOT(OR(AC89="Completed",AC89="NA",AC89="Cancelled")),"S5 Assembly",IF(NOT(OR(AG89="Completed",AG89="NA",AG89="Cancelled")),"S6 Bring-up",IF(NOT(OR(AK89="Completed",AK89="NA",AK89="Cancelled")),"S7 BOM Procurement","All Stages Closed"))))))))</f>
        <v/>
      </c>
      <c r="F89" s="32" t="str">
        <f aca="false">IF($C89="","",IF(COUNTIF(M89,"Cancelled")+COUNTIF(Q89,"Cancelled")+COUNTIF(U89,"Cancelled")+COUNTIF(Y89,"Cancelled")+COUNTIF(AC89,"Cancelled")+COUNTIF(AG89,"Cancelled")+COUNTIF(AK89,"Cancelled")&gt;0,"Cancelled",IF(E89="All Stages Closed","Completed",IF(E89="S1 Schematic",M89,IF(E89="S2 PCB Layout",Q89,IF(E89="S3 SI &amp; PI",U89,IF(E89="S4 Bare-PCB Fab",Y89,IF(E89="S5 Assembly",AC89,IF(E89="S6 Bring-up",AG89,AK89)))))))))</f>
        <v/>
      </c>
      <c r="G89" s="33" t="str">
        <f aca="false">IF($C89="","",IF(E89="All Stages Closed","",IF(E89="S1 Schematic",IF(N89="","Not added",N89),IF(E89="S2 PCB Layout",IF(R89="","Not added",R89),IF(E89="S3 SI &amp; PI",IF(V89="","Not added",V89),IF(E89="S4 Bare-PCB Fab",IF(Z89="","Not added",Z89),IF(E89="S5 Assembly",IF(AD89="","Not added",AD89),IF(E89="S6 Bring-up",IF(AH89="","Not added",AH89),IF(AL89="","Not added",AL89)))))))))</f>
        <v/>
      </c>
      <c r="H89" s="32" t="str">
        <f aca="true">IF($C89="","",IF(OR(F89="Completed",F89="Cancelled"),"",IF(NOT(ISNUMBER(G89)),"No date set",IF(TODAY()&gt;G89,TODAY()-G89&amp;" days late",G89-TODAY()&amp;" days left"))))</f>
        <v/>
      </c>
      <c r="I89" s="31" t="str">
        <f aca="false">IF($C89="","",COUNTIF(M89,"Completed")+COUNTIF(Q89,"Completed")+COUNTIF(U89,"Completed")+COUNTIF(Y89,"Completed")+COUNTIF(AC89,"Completed")+COUNTIF(AG89,"Completed")+COUNTIF(AK89,"Completed"))</f>
        <v/>
      </c>
      <c r="J89" s="31" t="str">
        <f aca="false">IF($C89="","",7-(COUNTIF(M89,"NA")+COUNTIF(Q89,"NA")+COUNTIF(U89,"NA")+COUNTIF(Y89,"NA")+COUNTIF(AC89,"NA")+COUNTIF(AG89,"NA")+COUNTIF(AK89,"NA")))</f>
        <v/>
      </c>
      <c r="K89" s="34" t="str">
        <f aca="false">IFERROR(I89/J89,"")</f>
        <v/>
      </c>
      <c r="L89" s="29"/>
      <c r="M89" s="35"/>
      <c r="N89" s="36"/>
      <c r="O89" s="36"/>
      <c r="P89" s="29"/>
      <c r="Q89" s="35"/>
      <c r="R89" s="36"/>
      <c r="S89" s="36"/>
      <c r="T89" s="29"/>
      <c r="U89" s="35"/>
      <c r="V89" s="36"/>
      <c r="W89" s="36"/>
      <c r="X89" s="29"/>
      <c r="Y89" s="35"/>
      <c r="Z89" s="36"/>
      <c r="AA89" s="36"/>
      <c r="AB89" s="29"/>
      <c r="AC89" s="35"/>
      <c r="AD89" s="36"/>
      <c r="AE89" s="36"/>
      <c r="AF89" s="29"/>
      <c r="AG89" s="35"/>
      <c r="AH89" s="36"/>
      <c r="AI89" s="36"/>
      <c r="AJ89" s="29"/>
      <c r="AK89" s="35"/>
      <c r="AL89" s="36"/>
      <c r="AM89" s="36"/>
      <c r="AN89" s="29"/>
      <c r="AO89" s="29"/>
      <c r="AP89" s="29"/>
      <c r="AQ89" s="37"/>
      <c r="AR89" s="39" t="str">
        <f aca="false">IF(AN89&lt;&gt;"Yes","",IF(AO89="","SELECT RE-ENTRY STAGE","MOVE TO ACTIVE at "&amp;AO89))</f>
        <v/>
      </c>
      <c r="AS89" s="40" t="str">
        <f aca="false">IF(AN89="Yes",COUNTIF($AN$6:AN89,"Yes"),"")</f>
        <v/>
      </c>
      <c r="AT89" s="29"/>
      <c r="AU89" s="38" t="str">
        <f aca="false">IF($C89="","",IF(OR(F89="Completed",F89="Cancelled"),"",IF(AND(OR(F89="On Hold",ISNUMBER(VALUE(LEFT(H89,2)))),AT89=""),"Reason not given","")))</f>
        <v/>
      </c>
      <c r="AV89" s="30"/>
      <c r="AW89" s="30"/>
    </row>
    <row r="90" customFormat="false" ht="19.5" hidden="false" customHeight="true" outlineLevel="0" collapsed="false">
      <c r="A90" s="28" t="str">
        <f aca="false">IF($C90="","",COUNTA($C$6:$C90))</f>
        <v/>
      </c>
      <c r="B90" s="29"/>
      <c r="C90" s="30"/>
      <c r="D90" s="29"/>
      <c r="E90" s="31" t="str">
        <f aca="false">IF($C90="","",IF(NOT(OR(M90="Completed",M90="NA",M90="Cancelled")),"S1 Schematic",IF(NOT(OR(Q90="Completed",Q90="NA",Q90="Cancelled")),"S2 PCB Layout",IF(NOT(OR(U90="Completed",U90="NA",U90="Cancelled")),"S3 SI &amp; PI",IF(NOT(OR(Y90="Completed",Y90="NA",Y90="Cancelled")),"S4 Bare-PCB Fab",IF(NOT(OR(AC90="Completed",AC90="NA",AC90="Cancelled")),"S5 Assembly",IF(NOT(OR(AG90="Completed",AG90="NA",AG90="Cancelled")),"S6 Bring-up",IF(NOT(OR(AK90="Completed",AK90="NA",AK90="Cancelled")),"S7 BOM Procurement","All Stages Closed"))))))))</f>
        <v/>
      </c>
      <c r="F90" s="32" t="str">
        <f aca="false">IF($C90="","",IF(COUNTIF(M90,"Cancelled")+COUNTIF(Q90,"Cancelled")+COUNTIF(U90,"Cancelled")+COUNTIF(Y90,"Cancelled")+COUNTIF(AC90,"Cancelled")+COUNTIF(AG90,"Cancelled")+COUNTIF(AK90,"Cancelled")&gt;0,"Cancelled",IF(E90="All Stages Closed","Completed",IF(E90="S1 Schematic",M90,IF(E90="S2 PCB Layout",Q90,IF(E90="S3 SI &amp; PI",U90,IF(E90="S4 Bare-PCB Fab",Y90,IF(E90="S5 Assembly",AC90,IF(E90="S6 Bring-up",AG90,AK90)))))))))</f>
        <v/>
      </c>
      <c r="G90" s="33" t="str">
        <f aca="false">IF($C90="","",IF(E90="All Stages Closed","",IF(E90="S1 Schematic",IF(N90="","Not added",N90),IF(E90="S2 PCB Layout",IF(R90="","Not added",R90),IF(E90="S3 SI &amp; PI",IF(V90="","Not added",V90),IF(E90="S4 Bare-PCB Fab",IF(Z90="","Not added",Z90),IF(E90="S5 Assembly",IF(AD90="","Not added",AD90),IF(E90="S6 Bring-up",IF(AH90="","Not added",AH90),IF(AL90="","Not added",AL90)))))))))</f>
        <v/>
      </c>
      <c r="H90" s="32" t="str">
        <f aca="true">IF($C90="","",IF(OR(F90="Completed",F90="Cancelled"),"",IF(NOT(ISNUMBER(G90)),"No date set",IF(TODAY()&gt;G90,TODAY()-G90&amp;" days late",G90-TODAY()&amp;" days left"))))</f>
        <v/>
      </c>
      <c r="I90" s="31" t="str">
        <f aca="false">IF($C90="","",COUNTIF(M90,"Completed")+COUNTIF(Q90,"Completed")+COUNTIF(U90,"Completed")+COUNTIF(Y90,"Completed")+COUNTIF(AC90,"Completed")+COUNTIF(AG90,"Completed")+COUNTIF(AK90,"Completed"))</f>
        <v/>
      </c>
      <c r="J90" s="31" t="str">
        <f aca="false">IF($C90="","",7-(COUNTIF(M90,"NA")+COUNTIF(Q90,"NA")+COUNTIF(U90,"NA")+COUNTIF(Y90,"NA")+COUNTIF(AC90,"NA")+COUNTIF(AG90,"NA")+COUNTIF(AK90,"NA")))</f>
        <v/>
      </c>
      <c r="K90" s="34" t="str">
        <f aca="false">IFERROR(I90/J90,"")</f>
        <v/>
      </c>
      <c r="L90" s="29"/>
      <c r="M90" s="35"/>
      <c r="N90" s="36"/>
      <c r="O90" s="36"/>
      <c r="P90" s="29"/>
      <c r="Q90" s="35"/>
      <c r="R90" s="36"/>
      <c r="S90" s="36"/>
      <c r="T90" s="29"/>
      <c r="U90" s="35"/>
      <c r="V90" s="36"/>
      <c r="W90" s="36"/>
      <c r="X90" s="29"/>
      <c r="Y90" s="35"/>
      <c r="Z90" s="36"/>
      <c r="AA90" s="36"/>
      <c r="AB90" s="29"/>
      <c r="AC90" s="35"/>
      <c r="AD90" s="36"/>
      <c r="AE90" s="36"/>
      <c r="AF90" s="29"/>
      <c r="AG90" s="35"/>
      <c r="AH90" s="36"/>
      <c r="AI90" s="36"/>
      <c r="AJ90" s="29"/>
      <c r="AK90" s="35"/>
      <c r="AL90" s="36"/>
      <c r="AM90" s="36"/>
      <c r="AN90" s="29"/>
      <c r="AO90" s="29"/>
      <c r="AP90" s="29"/>
      <c r="AQ90" s="37"/>
      <c r="AR90" s="39" t="str">
        <f aca="false">IF(AN90&lt;&gt;"Yes","",IF(AO90="","SELECT RE-ENTRY STAGE","MOVE TO ACTIVE at "&amp;AO90))</f>
        <v/>
      </c>
      <c r="AS90" s="40" t="str">
        <f aca="false">IF(AN90="Yes",COUNTIF($AN$6:AN90,"Yes"),"")</f>
        <v/>
      </c>
      <c r="AT90" s="29"/>
      <c r="AU90" s="38" t="str">
        <f aca="false">IF($C90="","",IF(OR(F90="Completed",F90="Cancelled"),"",IF(AND(OR(F90="On Hold",ISNUMBER(VALUE(LEFT(H90,2)))),AT90=""),"Reason not given","")))</f>
        <v/>
      </c>
      <c r="AV90" s="30"/>
      <c r="AW90" s="30"/>
    </row>
    <row r="91" customFormat="false" ht="19.5" hidden="false" customHeight="true" outlineLevel="0" collapsed="false">
      <c r="A91" s="28" t="str">
        <f aca="false">IF($C91="","",COUNTA($C$6:$C91))</f>
        <v/>
      </c>
      <c r="B91" s="29"/>
      <c r="C91" s="30"/>
      <c r="D91" s="29"/>
      <c r="E91" s="31" t="str">
        <f aca="false">IF($C91="","",IF(NOT(OR(M91="Completed",M91="NA",M91="Cancelled")),"S1 Schematic",IF(NOT(OR(Q91="Completed",Q91="NA",Q91="Cancelled")),"S2 PCB Layout",IF(NOT(OR(U91="Completed",U91="NA",U91="Cancelled")),"S3 SI &amp; PI",IF(NOT(OR(Y91="Completed",Y91="NA",Y91="Cancelled")),"S4 Bare-PCB Fab",IF(NOT(OR(AC91="Completed",AC91="NA",AC91="Cancelled")),"S5 Assembly",IF(NOT(OR(AG91="Completed",AG91="NA",AG91="Cancelled")),"S6 Bring-up",IF(NOT(OR(AK91="Completed",AK91="NA",AK91="Cancelled")),"S7 BOM Procurement","All Stages Closed"))))))))</f>
        <v/>
      </c>
      <c r="F91" s="32" t="str">
        <f aca="false">IF($C91="","",IF(COUNTIF(M91,"Cancelled")+COUNTIF(Q91,"Cancelled")+COUNTIF(U91,"Cancelled")+COUNTIF(Y91,"Cancelled")+COUNTIF(AC91,"Cancelled")+COUNTIF(AG91,"Cancelled")+COUNTIF(AK91,"Cancelled")&gt;0,"Cancelled",IF(E91="All Stages Closed","Completed",IF(E91="S1 Schematic",M91,IF(E91="S2 PCB Layout",Q91,IF(E91="S3 SI &amp; PI",U91,IF(E91="S4 Bare-PCB Fab",Y91,IF(E91="S5 Assembly",AC91,IF(E91="S6 Bring-up",AG91,AK91)))))))))</f>
        <v/>
      </c>
      <c r="G91" s="33" t="str">
        <f aca="false">IF($C91="","",IF(E91="All Stages Closed","",IF(E91="S1 Schematic",IF(N91="","Not added",N91),IF(E91="S2 PCB Layout",IF(R91="","Not added",R91),IF(E91="S3 SI &amp; PI",IF(V91="","Not added",V91),IF(E91="S4 Bare-PCB Fab",IF(Z91="","Not added",Z91),IF(E91="S5 Assembly",IF(AD91="","Not added",AD91),IF(E91="S6 Bring-up",IF(AH91="","Not added",AH91),IF(AL91="","Not added",AL91)))))))))</f>
        <v/>
      </c>
      <c r="H91" s="32" t="str">
        <f aca="true">IF($C91="","",IF(OR(F91="Completed",F91="Cancelled"),"",IF(NOT(ISNUMBER(G91)),"No date set",IF(TODAY()&gt;G91,TODAY()-G91&amp;" days late",G91-TODAY()&amp;" days left"))))</f>
        <v/>
      </c>
      <c r="I91" s="31" t="str">
        <f aca="false">IF($C91="","",COUNTIF(M91,"Completed")+COUNTIF(Q91,"Completed")+COUNTIF(U91,"Completed")+COUNTIF(Y91,"Completed")+COUNTIF(AC91,"Completed")+COUNTIF(AG91,"Completed")+COUNTIF(AK91,"Completed"))</f>
        <v/>
      </c>
      <c r="J91" s="31" t="str">
        <f aca="false">IF($C91="","",7-(COUNTIF(M91,"NA")+COUNTIF(Q91,"NA")+COUNTIF(U91,"NA")+COUNTIF(Y91,"NA")+COUNTIF(AC91,"NA")+COUNTIF(AG91,"NA")+COUNTIF(AK91,"NA")))</f>
        <v/>
      </c>
      <c r="K91" s="34" t="str">
        <f aca="false">IFERROR(I91/J91,"")</f>
        <v/>
      </c>
      <c r="L91" s="29"/>
      <c r="M91" s="35"/>
      <c r="N91" s="36"/>
      <c r="O91" s="36"/>
      <c r="P91" s="29"/>
      <c r="Q91" s="35"/>
      <c r="R91" s="36"/>
      <c r="S91" s="36"/>
      <c r="T91" s="29"/>
      <c r="U91" s="35"/>
      <c r="V91" s="36"/>
      <c r="W91" s="36"/>
      <c r="X91" s="29"/>
      <c r="Y91" s="35"/>
      <c r="Z91" s="36"/>
      <c r="AA91" s="36"/>
      <c r="AB91" s="29"/>
      <c r="AC91" s="35"/>
      <c r="AD91" s="36"/>
      <c r="AE91" s="36"/>
      <c r="AF91" s="29"/>
      <c r="AG91" s="35"/>
      <c r="AH91" s="36"/>
      <c r="AI91" s="36"/>
      <c r="AJ91" s="29"/>
      <c r="AK91" s="35"/>
      <c r="AL91" s="36"/>
      <c r="AM91" s="36"/>
      <c r="AN91" s="29"/>
      <c r="AO91" s="29"/>
      <c r="AP91" s="29"/>
      <c r="AQ91" s="37"/>
      <c r="AR91" s="39" t="str">
        <f aca="false">IF(AN91&lt;&gt;"Yes","",IF(AO91="","SELECT RE-ENTRY STAGE","MOVE TO ACTIVE at "&amp;AO91))</f>
        <v/>
      </c>
      <c r="AS91" s="40" t="str">
        <f aca="false">IF(AN91="Yes",COUNTIF($AN$6:AN91,"Yes"),"")</f>
        <v/>
      </c>
      <c r="AT91" s="29"/>
      <c r="AU91" s="38" t="str">
        <f aca="false">IF($C91="","",IF(OR(F91="Completed",F91="Cancelled"),"",IF(AND(OR(F91="On Hold",ISNUMBER(VALUE(LEFT(H91,2)))),AT91=""),"Reason not given","")))</f>
        <v/>
      </c>
      <c r="AV91" s="30"/>
      <c r="AW91" s="30"/>
    </row>
    <row r="92" customFormat="false" ht="19.5" hidden="false" customHeight="true" outlineLevel="0" collapsed="false">
      <c r="A92" s="28" t="str">
        <f aca="false">IF($C92="","",COUNTA($C$6:$C92))</f>
        <v/>
      </c>
      <c r="B92" s="29"/>
      <c r="C92" s="30"/>
      <c r="D92" s="29"/>
      <c r="E92" s="31" t="str">
        <f aca="false">IF($C92="","",IF(NOT(OR(M92="Completed",M92="NA",M92="Cancelled")),"S1 Schematic",IF(NOT(OR(Q92="Completed",Q92="NA",Q92="Cancelled")),"S2 PCB Layout",IF(NOT(OR(U92="Completed",U92="NA",U92="Cancelled")),"S3 SI &amp; PI",IF(NOT(OR(Y92="Completed",Y92="NA",Y92="Cancelled")),"S4 Bare-PCB Fab",IF(NOT(OR(AC92="Completed",AC92="NA",AC92="Cancelled")),"S5 Assembly",IF(NOT(OR(AG92="Completed",AG92="NA",AG92="Cancelled")),"S6 Bring-up",IF(NOT(OR(AK92="Completed",AK92="NA",AK92="Cancelled")),"S7 BOM Procurement","All Stages Closed"))))))))</f>
        <v/>
      </c>
      <c r="F92" s="32" t="str">
        <f aca="false">IF($C92="","",IF(COUNTIF(M92,"Cancelled")+COUNTIF(Q92,"Cancelled")+COUNTIF(U92,"Cancelled")+COUNTIF(Y92,"Cancelled")+COUNTIF(AC92,"Cancelled")+COUNTIF(AG92,"Cancelled")+COUNTIF(AK92,"Cancelled")&gt;0,"Cancelled",IF(E92="All Stages Closed","Completed",IF(E92="S1 Schematic",M92,IF(E92="S2 PCB Layout",Q92,IF(E92="S3 SI &amp; PI",U92,IF(E92="S4 Bare-PCB Fab",Y92,IF(E92="S5 Assembly",AC92,IF(E92="S6 Bring-up",AG92,AK92)))))))))</f>
        <v/>
      </c>
      <c r="G92" s="33" t="str">
        <f aca="false">IF($C92="","",IF(E92="All Stages Closed","",IF(E92="S1 Schematic",IF(N92="","Not added",N92),IF(E92="S2 PCB Layout",IF(R92="","Not added",R92),IF(E92="S3 SI &amp; PI",IF(V92="","Not added",V92),IF(E92="S4 Bare-PCB Fab",IF(Z92="","Not added",Z92),IF(E92="S5 Assembly",IF(AD92="","Not added",AD92),IF(E92="S6 Bring-up",IF(AH92="","Not added",AH92),IF(AL92="","Not added",AL92)))))))))</f>
        <v/>
      </c>
      <c r="H92" s="32" t="str">
        <f aca="true">IF($C92="","",IF(OR(F92="Completed",F92="Cancelled"),"",IF(NOT(ISNUMBER(G92)),"No date set",IF(TODAY()&gt;G92,TODAY()-G92&amp;" days late",G92-TODAY()&amp;" days left"))))</f>
        <v/>
      </c>
      <c r="I92" s="31" t="str">
        <f aca="false">IF($C92="","",COUNTIF(M92,"Completed")+COUNTIF(Q92,"Completed")+COUNTIF(U92,"Completed")+COUNTIF(Y92,"Completed")+COUNTIF(AC92,"Completed")+COUNTIF(AG92,"Completed")+COUNTIF(AK92,"Completed"))</f>
        <v/>
      </c>
      <c r="J92" s="31" t="str">
        <f aca="false">IF($C92="","",7-(COUNTIF(M92,"NA")+COUNTIF(Q92,"NA")+COUNTIF(U92,"NA")+COUNTIF(Y92,"NA")+COUNTIF(AC92,"NA")+COUNTIF(AG92,"NA")+COUNTIF(AK92,"NA")))</f>
        <v/>
      </c>
      <c r="K92" s="34" t="str">
        <f aca="false">IFERROR(I92/J92,"")</f>
        <v/>
      </c>
      <c r="L92" s="29"/>
      <c r="M92" s="35"/>
      <c r="N92" s="36"/>
      <c r="O92" s="36"/>
      <c r="P92" s="29"/>
      <c r="Q92" s="35"/>
      <c r="R92" s="36"/>
      <c r="S92" s="36"/>
      <c r="T92" s="29"/>
      <c r="U92" s="35"/>
      <c r="V92" s="36"/>
      <c r="W92" s="36"/>
      <c r="X92" s="29"/>
      <c r="Y92" s="35"/>
      <c r="Z92" s="36"/>
      <c r="AA92" s="36"/>
      <c r="AB92" s="29"/>
      <c r="AC92" s="35"/>
      <c r="AD92" s="36"/>
      <c r="AE92" s="36"/>
      <c r="AF92" s="29"/>
      <c r="AG92" s="35"/>
      <c r="AH92" s="36"/>
      <c r="AI92" s="36"/>
      <c r="AJ92" s="29"/>
      <c r="AK92" s="35"/>
      <c r="AL92" s="36"/>
      <c r="AM92" s="36"/>
      <c r="AN92" s="29"/>
      <c r="AO92" s="29"/>
      <c r="AP92" s="29"/>
      <c r="AQ92" s="37"/>
      <c r="AR92" s="39" t="str">
        <f aca="false">IF(AN92&lt;&gt;"Yes","",IF(AO92="","SELECT RE-ENTRY STAGE","MOVE TO ACTIVE at "&amp;AO92))</f>
        <v/>
      </c>
      <c r="AS92" s="40" t="str">
        <f aca="false">IF(AN92="Yes",COUNTIF($AN$6:AN92,"Yes"),"")</f>
        <v/>
      </c>
      <c r="AT92" s="29"/>
      <c r="AU92" s="38" t="str">
        <f aca="false">IF($C92="","",IF(OR(F92="Completed",F92="Cancelled"),"",IF(AND(OR(F92="On Hold",ISNUMBER(VALUE(LEFT(H92,2)))),AT92=""),"Reason not given","")))</f>
        <v/>
      </c>
      <c r="AV92" s="30"/>
      <c r="AW92" s="30"/>
    </row>
    <row r="93" customFormat="false" ht="19.5" hidden="false" customHeight="true" outlineLevel="0" collapsed="false">
      <c r="A93" s="28" t="str">
        <f aca="false">IF($C93="","",COUNTA($C$6:$C93))</f>
        <v/>
      </c>
      <c r="B93" s="29"/>
      <c r="C93" s="30"/>
      <c r="D93" s="29"/>
      <c r="E93" s="31" t="str">
        <f aca="false">IF($C93="","",IF(NOT(OR(M93="Completed",M93="NA",M93="Cancelled")),"S1 Schematic",IF(NOT(OR(Q93="Completed",Q93="NA",Q93="Cancelled")),"S2 PCB Layout",IF(NOT(OR(U93="Completed",U93="NA",U93="Cancelled")),"S3 SI &amp; PI",IF(NOT(OR(Y93="Completed",Y93="NA",Y93="Cancelled")),"S4 Bare-PCB Fab",IF(NOT(OR(AC93="Completed",AC93="NA",AC93="Cancelled")),"S5 Assembly",IF(NOT(OR(AG93="Completed",AG93="NA",AG93="Cancelled")),"S6 Bring-up",IF(NOT(OR(AK93="Completed",AK93="NA",AK93="Cancelled")),"S7 BOM Procurement","All Stages Closed"))))))))</f>
        <v/>
      </c>
      <c r="F93" s="32" t="str">
        <f aca="false">IF($C93="","",IF(COUNTIF(M93,"Cancelled")+COUNTIF(Q93,"Cancelled")+COUNTIF(U93,"Cancelled")+COUNTIF(Y93,"Cancelled")+COUNTIF(AC93,"Cancelled")+COUNTIF(AG93,"Cancelled")+COUNTIF(AK93,"Cancelled")&gt;0,"Cancelled",IF(E93="All Stages Closed","Completed",IF(E93="S1 Schematic",M93,IF(E93="S2 PCB Layout",Q93,IF(E93="S3 SI &amp; PI",U93,IF(E93="S4 Bare-PCB Fab",Y93,IF(E93="S5 Assembly",AC93,IF(E93="S6 Bring-up",AG93,AK93)))))))))</f>
        <v/>
      </c>
      <c r="G93" s="33" t="str">
        <f aca="false">IF($C93="","",IF(E93="All Stages Closed","",IF(E93="S1 Schematic",IF(N93="","Not added",N93),IF(E93="S2 PCB Layout",IF(R93="","Not added",R93),IF(E93="S3 SI &amp; PI",IF(V93="","Not added",V93),IF(E93="S4 Bare-PCB Fab",IF(Z93="","Not added",Z93),IF(E93="S5 Assembly",IF(AD93="","Not added",AD93),IF(E93="S6 Bring-up",IF(AH93="","Not added",AH93),IF(AL93="","Not added",AL93)))))))))</f>
        <v/>
      </c>
      <c r="H93" s="32" t="str">
        <f aca="true">IF($C93="","",IF(OR(F93="Completed",F93="Cancelled"),"",IF(NOT(ISNUMBER(G93)),"No date set",IF(TODAY()&gt;G93,TODAY()-G93&amp;" days late",G93-TODAY()&amp;" days left"))))</f>
        <v/>
      </c>
      <c r="I93" s="31" t="str">
        <f aca="false">IF($C93="","",COUNTIF(M93,"Completed")+COUNTIF(Q93,"Completed")+COUNTIF(U93,"Completed")+COUNTIF(Y93,"Completed")+COUNTIF(AC93,"Completed")+COUNTIF(AG93,"Completed")+COUNTIF(AK93,"Completed"))</f>
        <v/>
      </c>
      <c r="J93" s="31" t="str">
        <f aca="false">IF($C93="","",7-(COUNTIF(M93,"NA")+COUNTIF(Q93,"NA")+COUNTIF(U93,"NA")+COUNTIF(Y93,"NA")+COUNTIF(AC93,"NA")+COUNTIF(AG93,"NA")+COUNTIF(AK93,"NA")))</f>
        <v/>
      </c>
      <c r="K93" s="34" t="str">
        <f aca="false">IFERROR(I93/J93,"")</f>
        <v/>
      </c>
      <c r="L93" s="29"/>
      <c r="M93" s="35"/>
      <c r="N93" s="36"/>
      <c r="O93" s="36"/>
      <c r="P93" s="29"/>
      <c r="Q93" s="35"/>
      <c r="R93" s="36"/>
      <c r="S93" s="36"/>
      <c r="T93" s="29"/>
      <c r="U93" s="35"/>
      <c r="V93" s="36"/>
      <c r="W93" s="36"/>
      <c r="X93" s="29"/>
      <c r="Y93" s="35"/>
      <c r="Z93" s="36"/>
      <c r="AA93" s="36"/>
      <c r="AB93" s="29"/>
      <c r="AC93" s="35"/>
      <c r="AD93" s="36"/>
      <c r="AE93" s="36"/>
      <c r="AF93" s="29"/>
      <c r="AG93" s="35"/>
      <c r="AH93" s="36"/>
      <c r="AI93" s="36"/>
      <c r="AJ93" s="29"/>
      <c r="AK93" s="35"/>
      <c r="AL93" s="36"/>
      <c r="AM93" s="36"/>
      <c r="AN93" s="29"/>
      <c r="AO93" s="29"/>
      <c r="AP93" s="29"/>
      <c r="AQ93" s="37"/>
      <c r="AR93" s="39" t="str">
        <f aca="false">IF(AN93&lt;&gt;"Yes","",IF(AO93="","SELECT RE-ENTRY STAGE","MOVE TO ACTIVE at "&amp;AO93))</f>
        <v/>
      </c>
      <c r="AS93" s="40" t="str">
        <f aca="false">IF(AN93="Yes",COUNTIF($AN$6:AN93,"Yes"),"")</f>
        <v/>
      </c>
      <c r="AT93" s="29"/>
      <c r="AU93" s="38" t="str">
        <f aca="false">IF($C93="","",IF(OR(F93="Completed",F93="Cancelled"),"",IF(AND(OR(F93="On Hold",ISNUMBER(VALUE(LEFT(H93,2)))),AT93=""),"Reason not given","")))</f>
        <v/>
      </c>
      <c r="AV93" s="30"/>
      <c r="AW93" s="30"/>
    </row>
    <row r="94" customFormat="false" ht="19.5" hidden="false" customHeight="true" outlineLevel="0" collapsed="false">
      <c r="A94" s="28" t="str">
        <f aca="false">IF($C94="","",COUNTA($C$6:$C94))</f>
        <v/>
      </c>
      <c r="B94" s="29"/>
      <c r="C94" s="30"/>
      <c r="D94" s="29"/>
      <c r="E94" s="31" t="str">
        <f aca="false">IF($C94="","",IF(NOT(OR(M94="Completed",M94="NA",M94="Cancelled")),"S1 Schematic",IF(NOT(OR(Q94="Completed",Q94="NA",Q94="Cancelled")),"S2 PCB Layout",IF(NOT(OR(U94="Completed",U94="NA",U94="Cancelled")),"S3 SI &amp; PI",IF(NOT(OR(Y94="Completed",Y94="NA",Y94="Cancelled")),"S4 Bare-PCB Fab",IF(NOT(OR(AC94="Completed",AC94="NA",AC94="Cancelled")),"S5 Assembly",IF(NOT(OR(AG94="Completed",AG94="NA",AG94="Cancelled")),"S6 Bring-up",IF(NOT(OR(AK94="Completed",AK94="NA",AK94="Cancelled")),"S7 BOM Procurement","All Stages Closed"))))))))</f>
        <v/>
      </c>
      <c r="F94" s="32" t="str">
        <f aca="false">IF($C94="","",IF(COUNTIF(M94,"Cancelled")+COUNTIF(Q94,"Cancelled")+COUNTIF(U94,"Cancelled")+COUNTIF(Y94,"Cancelled")+COUNTIF(AC94,"Cancelled")+COUNTIF(AG94,"Cancelled")+COUNTIF(AK94,"Cancelled")&gt;0,"Cancelled",IF(E94="All Stages Closed","Completed",IF(E94="S1 Schematic",M94,IF(E94="S2 PCB Layout",Q94,IF(E94="S3 SI &amp; PI",U94,IF(E94="S4 Bare-PCB Fab",Y94,IF(E94="S5 Assembly",AC94,IF(E94="S6 Bring-up",AG94,AK94)))))))))</f>
        <v/>
      </c>
      <c r="G94" s="33" t="str">
        <f aca="false">IF($C94="","",IF(E94="All Stages Closed","",IF(E94="S1 Schematic",IF(N94="","Not added",N94),IF(E94="S2 PCB Layout",IF(R94="","Not added",R94),IF(E94="S3 SI &amp; PI",IF(V94="","Not added",V94),IF(E94="S4 Bare-PCB Fab",IF(Z94="","Not added",Z94),IF(E94="S5 Assembly",IF(AD94="","Not added",AD94),IF(E94="S6 Bring-up",IF(AH94="","Not added",AH94),IF(AL94="","Not added",AL94)))))))))</f>
        <v/>
      </c>
      <c r="H94" s="32" t="str">
        <f aca="true">IF($C94="","",IF(OR(F94="Completed",F94="Cancelled"),"",IF(NOT(ISNUMBER(G94)),"No date set",IF(TODAY()&gt;G94,TODAY()-G94&amp;" days late",G94-TODAY()&amp;" days left"))))</f>
        <v/>
      </c>
      <c r="I94" s="31" t="str">
        <f aca="false">IF($C94="","",COUNTIF(M94,"Completed")+COUNTIF(Q94,"Completed")+COUNTIF(U94,"Completed")+COUNTIF(Y94,"Completed")+COUNTIF(AC94,"Completed")+COUNTIF(AG94,"Completed")+COUNTIF(AK94,"Completed"))</f>
        <v/>
      </c>
      <c r="J94" s="31" t="str">
        <f aca="false">IF($C94="","",7-(COUNTIF(M94,"NA")+COUNTIF(Q94,"NA")+COUNTIF(U94,"NA")+COUNTIF(Y94,"NA")+COUNTIF(AC94,"NA")+COUNTIF(AG94,"NA")+COUNTIF(AK94,"NA")))</f>
        <v/>
      </c>
      <c r="K94" s="34" t="str">
        <f aca="false">IFERROR(I94/J94,"")</f>
        <v/>
      </c>
      <c r="L94" s="29"/>
      <c r="M94" s="35"/>
      <c r="N94" s="36"/>
      <c r="O94" s="36"/>
      <c r="P94" s="29"/>
      <c r="Q94" s="35"/>
      <c r="R94" s="36"/>
      <c r="S94" s="36"/>
      <c r="T94" s="29"/>
      <c r="U94" s="35"/>
      <c r="V94" s="36"/>
      <c r="W94" s="36"/>
      <c r="X94" s="29"/>
      <c r="Y94" s="35"/>
      <c r="Z94" s="36"/>
      <c r="AA94" s="36"/>
      <c r="AB94" s="29"/>
      <c r="AC94" s="35"/>
      <c r="AD94" s="36"/>
      <c r="AE94" s="36"/>
      <c r="AF94" s="29"/>
      <c r="AG94" s="35"/>
      <c r="AH94" s="36"/>
      <c r="AI94" s="36"/>
      <c r="AJ94" s="29"/>
      <c r="AK94" s="35"/>
      <c r="AL94" s="36"/>
      <c r="AM94" s="36"/>
      <c r="AN94" s="29"/>
      <c r="AO94" s="29"/>
      <c r="AP94" s="29"/>
      <c r="AQ94" s="37"/>
      <c r="AR94" s="39" t="str">
        <f aca="false">IF(AN94&lt;&gt;"Yes","",IF(AO94="","SELECT RE-ENTRY STAGE","MOVE TO ACTIVE at "&amp;AO94))</f>
        <v/>
      </c>
      <c r="AS94" s="40" t="str">
        <f aca="false">IF(AN94="Yes",COUNTIF($AN$6:AN94,"Yes"),"")</f>
        <v/>
      </c>
      <c r="AT94" s="29"/>
      <c r="AU94" s="38" t="str">
        <f aca="false">IF($C94="","",IF(OR(F94="Completed",F94="Cancelled"),"",IF(AND(OR(F94="On Hold",ISNUMBER(VALUE(LEFT(H94,2)))),AT94=""),"Reason not given","")))</f>
        <v/>
      </c>
      <c r="AV94" s="30"/>
      <c r="AW94" s="30"/>
    </row>
    <row r="95" customFormat="false" ht="19.5" hidden="false" customHeight="true" outlineLevel="0" collapsed="false">
      <c r="A95" s="28" t="str">
        <f aca="false">IF($C95="","",COUNTA($C$6:$C95))</f>
        <v/>
      </c>
      <c r="B95" s="29"/>
      <c r="C95" s="30"/>
      <c r="D95" s="29"/>
      <c r="E95" s="31" t="str">
        <f aca="false">IF($C95="","",IF(NOT(OR(M95="Completed",M95="NA",M95="Cancelled")),"S1 Schematic",IF(NOT(OR(Q95="Completed",Q95="NA",Q95="Cancelled")),"S2 PCB Layout",IF(NOT(OR(U95="Completed",U95="NA",U95="Cancelled")),"S3 SI &amp; PI",IF(NOT(OR(Y95="Completed",Y95="NA",Y95="Cancelled")),"S4 Bare-PCB Fab",IF(NOT(OR(AC95="Completed",AC95="NA",AC95="Cancelled")),"S5 Assembly",IF(NOT(OR(AG95="Completed",AG95="NA",AG95="Cancelled")),"S6 Bring-up",IF(NOT(OR(AK95="Completed",AK95="NA",AK95="Cancelled")),"S7 BOM Procurement","All Stages Closed"))))))))</f>
        <v/>
      </c>
      <c r="F95" s="32" t="str">
        <f aca="false">IF($C95="","",IF(COUNTIF(M95,"Cancelled")+COUNTIF(Q95,"Cancelled")+COUNTIF(U95,"Cancelled")+COUNTIF(Y95,"Cancelled")+COUNTIF(AC95,"Cancelled")+COUNTIF(AG95,"Cancelled")+COUNTIF(AK95,"Cancelled")&gt;0,"Cancelled",IF(E95="All Stages Closed","Completed",IF(E95="S1 Schematic",M95,IF(E95="S2 PCB Layout",Q95,IF(E95="S3 SI &amp; PI",U95,IF(E95="S4 Bare-PCB Fab",Y95,IF(E95="S5 Assembly",AC95,IF(E95="S6 Bring-up",AG95,AK95)))))))))</f>
        <v/>
      </c>
      <c r="G95" s="33" t="str">
        <f aca="false">IF($C95="","",IF(E95="All Stages Closed","",IF(E95="S1 Schematic",IF(N95="","Not added",N95),IF(E95="S2 PCB Layout",IF(R95="","Not added",R95),IF(E95="S3 SI &amp; PI",IF(V95="","Not added",V95),IF(E95="S4 Bare-PCB Fab",IF(Z95="","Not added",Z95),IF(E95="S5 Assembly",IF(AD95="","Not added",AD95),IF(E95="S6 Bring-up",IF(AH95="","Not added",AH95),IF(AL95="","Not added",AL95)))))))))</f>
        <v/>
      </c>
      <c r="H95" s="32" t="str">
        <f aca="true">IF($C95="","",IF(OR(F95="Completed",F95="Cancelled"),"",IF(NOT(ISNUMBER(G95)),"No date set",IF(TODAY()&gt;G95,TODAY()-G95&amp;" days late",G95-TODAY()&amp;" days left"))))</f>
        <v/>
      </c>
      <c r="I95" s="31" t="str">
        <f aca="false">IF($C95="","",COUNTIF(M95,"Completed")+COUNTIF(Q95,"Completed")+COUNTIF(U95,"Completed")+COUNTIF(Y95,"Completed")+COUNTIF(AC95,"Completed")+COUNTIF(AG95,"Completed")+COUNTIF(AK95,"Completed"))</f>
        <v/>
      </c>
      <c r="J95" s="31" t="str">
        <f aca="false">IF($C95="","",7-(COUNTIF(M95,"NA")+COUNTIF(Q95,"NA")+COUNTIF(U95,"NA")+COUNTIF(Y95,"NA")+COUNTIF(AC95,"NA")+COUNTIF(AG95,"NA")+COUNTIF(AK95,"NA")))</f>
        <v/>
      </c>
      <c r="K95" s="34" t="str">
        <f aca="false">IFERROR(I95/J95,"")</f>
        <v/>
      </c>
      <c r="L95" s="29"/>
      <c r="M95" s="35"/>
      <c r="N95" s="36"/>
      <c r="O95" s="36"/>
      <c r="P95" s="29"/>
      <c r="Q95" s="35"/>
      <c r="R95" s="36"/>
      <c r="S95" s="36"/>
      <c r="T95" s="29"/>
      <c r="U95" s="35"/>
      <c r="V95" s="36"/>
      <c r="W95" s="36"/>
      <c r="X95" s="29"/>
      <c r="Y95" s="35"/>
      <c r="Z95" s="36"/>
      <c r="AA95" s="36"/>
      <c r="AB95" s="29"/>
      <c r="AC95" s="35"/>
      <c r="AD95" s="36"/>
      <c r="AE95" s="36"/>
      <c r="AF95" s="29"/>
      <c r="AG95" s="35"/>
      <c r="AH95" s="36"/>
      <c r="AI95" s="36"/>
      <c r="AJ95" s="29"/>
      <c r="AK95" s="35"/>
      <c r="AL95" s="36"/>
      <c r="AM95" s="36"/>
      <c r="AN95" s="29"/>
      <c r="AO95" s="29"/>
      <c r="AP95" s="29"/>
      <c r="AQ95" s="37"/>
      <c r="AR95" s="39" t="str">
        <f aca="false">IF(AN95&lt;&gt;"Yes","",IF(AO95="","SELECT RE-ENTRY STAGE","MOVE TO ACTIVE at "&amp;AO95))</f>
        <v/>
      </c>
      <c r="AS95" s="40" t="str">
        <f aca="false">IF(AN95="Yes",COUNTIF($AN$6:AN95,"Yes"),"")</f>
        <v/>
      </c>
      <c r="AT95" s="29"/>
      <c r="AU95" s="38" t="str">
        <f aca="false">IF($C95="","",IF(OR(F95="Completed",F95="Cancelled"),"",IF(AND(OR(F95="On Hold",ISNUMBER(VALUE(LEFT(H95,2)))),AT95=""),"Reason not given","")))</f>
        <v/>
      </c>
      <c r="AV95" s="30"/>
      <c r="AW95" s="30"/>
    </row>
    <row r="96" customFormat="false" ht="19.5" hidden="false" customHeight="true" outlineLevel="0" collapsed="false">
      <c r="A96" s="28" t="str">
        <f aca="false">IF($C96="","",COUNTA($C$6:$C96))</f>
        <v/>
      </c>
      <c r="B96" s="29"/>
      <c r="C96" s="30"/>
      <c r="D96" s="29"/>
      <c r="E96" s="31" t="str">
        <f aca="false">IF($C96="","",IF(NOT(OR(M96="Completed",M96="NA",M96="Cancelled")),"S1 Schematic",IF(NOT(OR(Q96="Completed",Q96="NA",Q96="Cancelled")),"S2 PCB Layout",IF(NOT(OR(U96="Completed",U96="NA",U96="Cancelled")),"S3 SI &amp; PI",IF(NOT(OR(Y96="Completed",Y96="NA",Y96="Cancelled")),"S4 Bare-PCB Fab",IF(NOT(OR(AC96="Completed",AC96="NA",AC96="Cancelled")),"S5 Assembly",IF(NOT(OR(AG96="Completed",AG96="NA",AG96="Cancelled")),"S6 Bring-up",IF(NOT(OR(AK96="Completed",AK96="NA",AK96="Cancelled")),"S7 BOM Procurement","All Stages Closed"))))))))</f>
        <v/>
      </c>
      <c r="F96" s="32" t="str">
        <f aca="false">IF($C96="","",IF(COUNTIF(M96,"Cancelled")+COUNTIF(Q96,"Cancelled")+COUNTIF(U96,"Cancelled")+COUNTIF(Y96,"Cancelled")+COUNTIF(AC96,"Cancelled")+COUNTIF(AG96,"Cancelled")+COUNTIF(AK96,"Cancelled")&gt;0,"Cancelled",IF(E96="All Stages Closed","Completed",IF(E96="S1 Schematic",M96,IF(E96="S2 PCB Layout",Q96,IF(E96="S3 SI &amp; PI",U96,IF(E96="S4 Bare-PCB Fab",Y96,IF(E96="S5 Assembly",AC96,IF(E96="S6 Bring-up",AG96,AK96)))))))))</f>
        <v/>
      </c>
      <c r="G96" s="33" t="str">
        <f aca="false">IF($C96="","",IF(E96="All Stages Closed","",IF(E96="S1 Schematic",IF(N96="","Not added",N96),IF(E96="S2 PCB Layout",IF(R96="","Not added",R96),IF(E96="S3 SI &amp; PI",IF(V96="","Not added",V96),IF(E96="S4 Bare-PCB Fab",IF(Z96="","Not added",Z96),IF(E96="S5 Assembly",IF(AD96="","Not added",AD96),IF(E96="S6 Bring-up",IF(AH96="","Not added",AH96),IF(AL96="","Not added",AL96)))))))))</f>
        <v/>
      </c>
      <c r="H96" s="32" t="str">
        <f aca="true">IF($C96="","",IF(OR(F96="Completed",F96="Cancelled"),"",IF(NOT(ISNUMBER(G96)),"No date set",IF(TODAY()&gt;G96,TODAY()-G96&amp;" days late",G96-TODAY()&amp;" days left"))))</f>
        <v/>
      </c>
      <c r="I96" s="31" t="str">
        <f aca="false">IF($C96="","",COUNTIF(M96,"Completed")+COUNTIF(Q96,"Completed")+COUNTIF(U96,"Completed")+COUNTIF(Y96,"Completed")+COUNTIF(AC96,"Completed")+COUNTIF(AG96,"Completed")+COUNTIF(AK96,"Completed"))</f>
        <v/>
      </c>
      <c r="J96" s="31" t="str">
        <f aca="false">IF($C96="","",7-(COUNTIF(M96,"NA")+COUNTIF(Q96,"NA")+COUNTIF(U96,"NA")+COUNTIF(Y96,"NA")+COUNTIF(AC96,"NA")+COUNTIF(AG96,"NA")+COUNTIF(AK96,"NA")))</f>
        <v/>
      </c>
      <c r="K96" s="34" t="str">
        <f aca="false">IFERROR(I96/J96,"")</f>
        <v/>
      </c>
      <c r="L96" s="29"/>
      <c r="M96" s="35"/>
      <c r="N96" s="36"/>
      <c r="O96" s="36"/>
      <c r="P96" s="29"/>
      <c r="Q96" s="35"/>
      <c r="R96" s="36"/>
      <c r="S96" s="36"/>
      <c r="T96" s="29"/>
      <c r="U96" s="35"/>
      <c r="V96" s="36"/>
      <c r="W96" s="36"/>
      <c r="X96" s="29"/>
      <c r="Y96" s="35"/>
      <c r="Z96" s="36"/>
      <c r="AA96" s="36"/>
      <c r="AB96" s="29"/>
      <c r="AC96" s="35"/>
      <c r="AD96" s="36"/>
      <c r="AE96" s="36"/>
      <c r="AF96" s="29"/>
      <c r="AG96" s="35"/>
      <c r="AH96" s="36"/>
      <c r="AI96" s="36"/>
      <c r="AJ96" s="29"/>
      <c r="AK96" s="35"/>
      <c r="AL96" s="36"/>
      <c r="AM96" s="36"/>
      <c r="AN96" s="29"/>
      <c r="AO96" s="29"/>
      <c r="AP96" s="29"/>
      <c r="AQ96" s="37"/>
      <c r="AR96" s="39" t="str">
        <f aca="false">IF(AN96&lt;&gt;"Yes","",IF(AO96="","SELECT RE-ENTRY STAGE","MOVE TO ACTIVE at "&amp;AO96))</f>
        <v/>
      </c>
      <c r="AS96" s="40" t="str">
        <f aca="false">IF(AN96="Yes",COUNTIF($AN$6:AN96,"Yes"),"")</f>
        <v/>
      </c>
      <c r="AT96" s="29"/>
      <c r="AU96" s="38" t="str">
        <f aca="false">IF($C96="","",IF(OR(F96="Completed",F96="Cancelled"),"",IF(AND(OR(F96="On Hold",ISNUMBER(VALUE(LEFT(H96,2)))),AT96=""),"Reason not given","")))</f>
        <v/>
      </c>
      <c r="AV96" s="30"/>
      <c r="AW96" s="30"/>
    </row>
    <row r="97" customFormat="false" ht="19.5" hidden="false" customHeight="true" outlineLevel="0" collapsed="false">
      <c r="A97" s="28" t="str">
        <f aca="false">IF($C97="","",COUNTA($C$6:$C97))</f>
        <v/>
      </c>
      <c r="B97" s="29"/>
      <c r="C97" s="30"/>
      <c r="D97" s="29"/>
      <c r="E97" s="31" t="str">
        <f aca="false">IF($C97="","",IF(NOT(OR(M97="Completed",M97="NA",M97="Cancelled")),"S1 Schematic",IF(NOT(OR(Q97="Completed",Q97="NA",Q97="Cancelled")),"S2 PCB Layout",IF(NOT(OR(U97="Completed",U97="NA",U97="Cancelled")),"S3 SI &amp; PI",IF(NOT(OR(Y97="Completed",Y97="NA",Y97="Cancelled")),"S4 Bare-PCB Fab",IF(NOT(OR(AC97="Completed",AC97="NA",AC97="Cancelled")),"S5 Assembly",IF(NOT(OR(AG97="Completed",AG97="NA",AG97="Cancelled")),"S6 Bring-up",IF(NOT(OR(AK97="Completed",AK97="NA",AK97="Cancelled")),"S7 BOM Procurement","All Stages Closed"))))))))</f>
        <v/>
      </c>
      <c r="F97" s="32" t="str">
        <f aca="false">IF($C97="","",IF(COUNTIF(M97,"Cancelled")+COUNTIF(Q97,"Cancelled")+COUNTIF(U97,"Cancelled")+COUNTIF(Y97,"Cancelled")+COUNTIF(AC97,"Cancelled")+COUNTIF(AG97,"Cancelled")+COUNTIF(AK97,"Cancelled")&gt;0,"Cancelled",IF(E97="All Stages Closed","Completed",IF(E97="S1 Schematic",M97,IF(E97="S2 PCB Layout",Q97,IF(E97="S3 SI &amp; PI",U97,IF(E97="S4 Bare-PCB Fab",Y97,IF(E97="S5 Assembly",AC97,IF(E97="S6 Bring-up",AG97,AK97)))))))))</f>
        <v/>
      </c>
      <c r="G97" s="33" t="str">
        <f aca="false">IF($C97="","",IF(E97="All Stages Closed","",IF(E97="S1 Schematic",IF(N97="","Not added",N97),IF(E97="S2 PCB Layout",IF(R97="","Not added",R97),IF(E97="S3 SI &amp; PI",IF(V97="","Not added",V97),IF(E97="S4 Bare-PCB Fab",IF(Z97="","Not added",Z97),IF(E97="S5 Assembly",IF(AD97="","Not added",AD97),IF(E97="S6 Bring-up",IF(AH97="","Not added",AH97),IF(AL97="","Not added",AL97)))))))))</f>
        <v/>
      </c>
      <c r="H97" s="32" t="str">
        <f aca="true">IF($C97="","",IF(OR(F97="Completed",F97="Cancelled"),"",IF(NOT(ISNUMBER(G97)),"No date set",IF(TODAY()&gt;G97,TODAY()-G97&amp;" days late",G97-TODAY()&amp;" days left"))))</f>
        <v/>
      </c>
      <c r="I97" s="31" t="str">
        <f aca="false">IF($C97="","",COUNTIF(M97,"Completed")+COUNTIF(Q97,"Completed")+COUNTIF(U97,"Completed")+COUNTIF(Y97,"Completed")+COUNTIF(AC97,"Completed")+COUNTIF(AG97,"Completed")+COUNTIF(AK97,"Completed"))</f>
        <v/>
      </c>
      <c r="J97" s="31" t="str">
        <f aca="false">IF($C97="","",7-(COUNTIF(M97,"NA")+COUNTIF(Q97,"NA")+COUNTIF(U97,"NA")+COUNTIF(Y97,"NA")+COUNTIF(AC97,"NA")+COUNTIF(AG97,"NA")+COUNTIF(AK97,"NA")))</f>
        <v/>
      </c>
      <c r="K97" s="34" t="str">
        <f aca="false">IFERROR(I97/J97,"")</f>
        <v/>
      </c>
      <c r="L97" s="29"/>
      <c r="M97" s="35"/>
      <c r="N97" s="36"/>
      <c r="O97" s="36"/>
      <c r="P97" s="29"/>
      <c r="Q97" s="35"/>
      <c r="R97" s="36"/>
      <c r="S97" s="36"/>
      <c r="T97" s="29"/>
      <c r="U97" s="35"/>
      <c r="V97" s="36"/>
      <c r="W97" s="36"/>
      <c r="X97" s="29"/>
      <c r="Y97" s="35"/>
      <c r="Z97" s="36"/>
      <c r="AA97" s="36"/>
      <c r="AB97" s="29"/>
      <c r="AC97" s="35"/>
      <c r="AD97" s="36"/>
      <c r="AE97" s="36"/>
      <c r="AF97" s="29"/>
      <c r="AG97" s="35"/>
      <c r="AH97" s="36"/>
      <c r="AI97" s="36"/>
      <c r="AJ97" s="29"/>
      <c r="AK97" s="35"/>
      <c r="AL97" s="36"/>
      <c r="AM97" s="36"/>
      <c r="AN97" s="29"/>
      <c r="AO97" s="29"/>
      <c r="AP97" s="29"/>
      <c r="AQ97" s="37"/>
      <c r="AR97" s="39" t="str">
        <f aca="false">IF(AN97&lt;&gt;"Yes","",IF(AO97="","SELECT RE-ENTRY STAGE","MOVE TO ACTIVE at "&amp;AO97))</f>
        <v/>
      </c>
      <c r="AS97" s="40" t="str">
        <f aca="false">IF(AN97="Yes",COUNTIF($AN$6:AN97,"Yes"),"")</f>
        <v/>
      </c>
      <c r="AT97" s="29"/>
      <c r="AU97" s="38" t="str">
        <f aca="false">IF($C97="","",IF(OR(F97="Completed",F97="Cancelled"),"",IF(AND(OR(F97="On Hold",ISNUMBER(VALUE(LEFT(H97,2)))),AT97=""),"Reason not given","")))</f>
        <v/>
      </c>
      <c r="AV97" s="30"/>
      <c r="AW97" s="30"/>
    </row>
    <row r="98" customFormat="false" ht="19.5" hidden="false" customHeight="true" outlineLevel="0" collapsed="false">
      <c r="A98" s="28" t="str">
        <f aca="false">IF($C98="","",COUNTA($C$6:$C98))</f>
        <v/>
      </c>
      <c r="B98" s="29"/>
      <c r="C98" s="30"/>
      <c r="D98" s="29"/>
      <c r="E98" s="31" t="str">
        <f aca="false">IF($C98="","",IF(NOT(OR(M98="Completed",M98="NA",M98="Cancelled")),"S1 Schematic",IF(NOT(OR(Q98="Completed",Q98="NA",Q98="Cancelled")),"S2 PCB Layout",IF(NOT(OR(U98="Completed",U98="NA",U98="Cancelled")),"S3 SI &amp; PI",IF(NOT(OR(Y98="Completed",Y98="NA",Y98="Cancelled")),"S4 Bare-PCB Fab",IF(NOT(OR(AC98="Completed",AC98="NA",AC98="Cancelled")),"S5 Assembly",IF(NOT(OR(AG98="Completed",AG98="NA",AG98="Cancelled")),"S6 Bring-up",IF(NOT(OR(AK98="Completed",AK98="NA",AK98="Cancelled")),"S7 BOM Procurement","All Stages Closed"))))))))</f>
        <v/>
      </c>
      <c r="F98" s="32" t="str">
        <f aca="false">IF($C98="","",IF(COUNTIF(M98,"Cancelled")+COUNTIF(Q98,"Cancelled")+COUNTIF(U98,"Cancelled")+COUNTIF(Y98,"Cancelled")+COUNTIF(AC98,"Cancelled")+COUNTIF(AG98,"Cancelled")+COUNTIF(AK98,"Cancelled")&gt;0,"Cancelled",IF(E98="All Stages Closed","Completed",IF(E98="S1 Schematic",M98,IF(E98="S2 PCB Layout",Q98,IF(E98="S3 SI &amp; PI",U98,IF(E98="S4 Bare-PCB Fab",Y98,IF(E98="S5 Assembly",AC98,IF(E98="S6 Bring-up",AG98,AK98)))))))))</f>
        <v/>
      </c>
      <c r="G98" s="33" t="str">
        <f aca="false">IF($C98="","",IF(E98="All Stages Closed","",IF(E98="S1 Schematic",IF(N98="","Not added",N98),IF(E98="S2 PCB Layout",IF(R98="","Not added",R98),IF(E98="S3 SI &amp; PI",IF(V98="","Not added",V98),IF(E98="S4 Bare-PCB Fab",IF(Z98="","Not added",Z98),IF(E98="S5 Assembly",IF(AD98="","Not added",AD98),IF(E98="S6 Bring-up",IF(AH98="","Not added",AH98),IF(AL98="","Not added",AL98)))))))))</f>
        <v/>
      </c>
      <c r="H98" s="32" t="str">
        <f aca="true">IF($C98="","",IF(OR(F98="Completed",F98="Cancelled"),"",IF(NOT(ISNUMBER(G98)),"No date set",IF(TODAY()&gt;G98,TODAY()-G98&amp;" days late",G98-TODAY()&amp;" days left"))))</f>
        <v/>
      </c>
      <c r="I98" s="31" t="str">
        <f aca="false">IF($C98="","",COUNTIF(M98,"Completed")+COUNTIF(Q98,"Completed")+COUNTIF(U98,"Completed")+COUNTIF(Y98,"Completed")+COUNTIF(AC98,"Completed")+COUNTIF(AG98,"Completed")+COUNTIF(AK98,"Completed"))</f>
        <v/>
      </c>
      <c r="J98" s="31" t="str">
        <f aca="false">IF($C98="","",7-(COUNTIF(M98,"NA")+COUNTIF(Q98,"NA")+COUNTIF(U98,"NA")+COUNTIF(Y98,"NA")+COUNTIF(AC98,"NA")+COUNTIF(AG98,"NA")+COUNTIF(AK98,"NA")))</f>
        <v/>
      </c>
      <c r="K98" s="34" t="str">
        <f aca="false">IFERROR(I98/J98,"")</f>
        <v/>
      </c>
      <c r="L98" s="29"/>
      <c r="M98" s="35"/>
      <c r="N98" s="36"/>
      <c r="O98" s="36"/>
      <c r="P98" s="29"/>
      <c r="Q98" s="35"/>
      <c r="R98" s="36"/>
      <c r="S98" s="36"/>
      <c r="T98" s="29"/>
      <c r="U98" s="35"/>
      <c r="V98" s="36"/>
      <c r="W98" s="36"/>
      <c r="X98" s="29"/>
      <c r="Y98" s="35"/>
      <c r="Z98" s="36"/>
      <c r="AA98" s="36"/>
      <c r="AB98" s="29"/>
      <c r="AC98" s="35"/>
      <c r="AD98" s="36"/>
      <c r="AE98" s="36"/>
      <c r="AF98" s="29"/>
      <c r="AG98" s="35"/>
      <c r="AH98" s="36"/>
      <c r="AI98" s="36"/>
      <c r="AJ98" s="29"/>
      <c r="AK98" s="35"/>
      <c r="AL98" s="36"/>
      <c r="AM98" s="36"/>
      <c r="AN98" s="29"/>
      <c r="AO98" s="29"/>
      <c r="AP98" s="29"/>
      <c r="AQ98" s="37"/>
      <c r="AR98" s="39" t="str">
        <f aca="false">IF(AN98&lt;&gt;"Yes","",IF(AO98="","SELECT RE-ENTRY STAGE","MOVE TO ACTIVE at "&amp;AO98))</f>
        <v/>
      </c>
      <c r="AS98" s="40" t="str">
        <f aca="false">IF(AN98="Yes",COUNTIF($AN$6:AN98,"Yes"),"")</f>
        <v/>
      </c>
      <c r="AT98" s="29"/>
      <c r="AU98" s="38" t="str">
        <f aca="false">IF($C98="","",IF(OR(F98="Completed",F98="Cancelled"),"",IF(AND(OR(F98="On Hold",ISNUMBER(VALUE(LEFT(H98,2)))),AT98=""),"Reason not given","")))</f>
        <v/>
      </c>
      <c r="AV98" s="30"/>
      <c r="AW98" s="30"/>
    </row>
    <row r="99" customFormat="false" ht="19.5" hidden="false" customHeight="true" outlineLevel="0" collapsed="false">
      <c r="A99" s="28" t="str">
        <f aca="false">IF($C99="","",COUNTA($C$6:$C99))</f>
        <v/>
      </c>
      <c r="B99" s="29"/>
      <c r="C99" s="30"/>
      <c r="D99" s="29"/>
      <c r="E99" s="31" t="str">
        <f aca="false">IF($C99="","",IF(NOT(OR(M99="Completed",M99="NA",M99="Cancelled")),"S1 Schematic",IF(NOT(OR(Q99="Completed",Q99="NA",Q99="Cancelled")),"S2 PCB Layout",IF(NOT(OR(U99="Completed",U99="NA",U99="Cancelled")),"S3 SI &amp; PI",IF(NOT(OR(Y99="Completed",Y99="NA",Y99="Cancelled")),"S4 Bare-PCB Fab",IF(NOT(OR(AC99="Completed",AC99="NA",AC99="Cancelled")),"S5 Assembly",IF(NOT(OR(AG99="Completed",AG99="NA",AG99="Cancelled")),"S6 Bring-up",IF(NOT(OR(AK99="Completed",AK99="NA",AK99="Cancelled")),"S7 BOM Procurement","All Stages Closed"))))))))</f>
        <v/>
      </c>
      <c r="F99" s="32" t="str">
        <f aca="false">IF($C99="","",IF(COUNTIF(M99,"Cancelled")+COUNTIF(Q99,"Cancelled")+COUNTIF(U99,"Cancelled")+COUNTIF(Y99,"Cancelled")+COUNTIF(AC99,"Cancelled")+COUNTIF(AG99,"Cancelled")+COUNTIF(AK99,"Cancelled")&gt;0,"Cancelled",IF(E99="All Stages Closed","Completed",IF(E99="S1 Schematic",M99,IF(E99="S2 PCB Layout",Q99,IF(E99="S3 SI &amp; PI",U99,IF(E99="S4 Bare-PCB Fab",Y99,IF(E99="S5 Assembly",AC99,IF(E99="S6 Bring-up",AG99,AK99)))))))))</f>
        <v/>
      </c>
      <c r="G99" s="33" t="str">
        <f aca="false">IF($C99="","",IF(E99="All Stages Closed","",IF(E99="S1 Schematic",IF(N99="","Not added",N99),IF(E99="S2 PCB Layout",IF(R99="","Not added",R99),IF(E99="S3 SI &amp; PI",IF(V99="","Not added",V99),IF(E99="S4 Bare-PCB Fab",IF(Z99="","Not added",Z99),IF(E99="S5 Assembly",IF(AD99="","Not added",AD99),IF(E99="S6 Bring-up",IF(AH99="","Not added",AH99),IF(AL99="","Not added",AL99)))))))))</f>
        <v/>
      </c>
      <c r="H99" s="32" t="str">
        <f aca="true">IF($C99="","",IF(OR(F99="Completed",F99="Cancelled"),"",IF(NOT(ISNUMBER(G99)),"No date set",IF(TODAY()&gt;G99,TODAY()-G99&amp;" days late",G99-TODAY()&amp;" days left"))))</f>
        <v/>
      </c>
      <c r="I99" s="31" t="str">
        <f aca="false">IF($C99="","",COUNTIF(M99,"Completed")+COUNTIF(Q99,"Completed")+COUNTIF(U99,"Completed")+COUNTIF(Y99,"Completed")+COUNTIF(AC99,"Completed")+COUNTIF(AG99,"Completed")+COUNTIF(AK99,"Completed"))</f>
        <v/>
      </c>
      <c r="J99" s="31" t="str">
        <f aca="false">IF($C99="","",7-(COUNTIF(M99,"NA")+COUNTIF(Q99,"NA")+COUNTIF(U99,"NA")+COUNTIF(Y99,"NA")+COUNTIF(AC99,"NA")+COUNTIF(AG99,"NA")+COUNTIF(AK99,"NA")))</f>
        <v/>
      </c>
      <c r="K99" s="34" t="str">
        <f aca="false">IFERROR(I99/J99,"")</f>
        <v/>
      </c>
      <c r="L99" s="29"/>
      <c r="M99" s="35"/>
      <c r="N99" s="36"/>
      <c r="O99" s="36"/>
      <c r="P99" s="29"/>
      <c r="Q99" s="35"/>
      <c r="R99" s="36"/>
      <c r="S99" s="36"/>
      <c r="T99" s="29"/>
      <c r="U99" s="35"/>
      <c r="V99" s="36"/>
      <c r="W99" s="36"/>
      <c r="X99" s="29"/>
      <c r="Y99" s="35"/>
      <c r="Z99" s="36"/>
      <c r="AA99" s="36"/>
      <c r="AB99" s="29"/>
      <c r="AC99" s="35"/>
      <c r="AD99" s="36"/>
      <c r="AE99" s="36"/>
      <c r="AF99" s="29"/>
      <c r="AG99" s="35"/>
      <c r="AH99" s="36"/>
      <c r="AI99" s="36"/>
      <c r="AJ99" s="29"/>
      <c r="AK99" s="35"/>
      <c r="AL99" s="36"/>
      <c r="AM99" s="36"/>
      <c r="AN99" s="29"/>
      <c r="AO99" s="29"/>
      <c r="AP99" s="29"/>
      <c r="AQ99" s="37"/>
      <c r="AR99" s="39" t="str">
        <f aca="false">IF(AN99&lt;&gt;"Yes","",IF(AO99="","SELECT RE-ENTRY STAGE","MOVE TO ACTIVE at "&amp;AO99))</f>
        <v/>
      </c>
      <c r="AS99" s="40" t="str">
        <f aca="false">IF(AN99="Yes",COUNTIF($AN$6:AN99,"Yes"),"")</f>
        <v/>
      </c>
      <c r="AT99" s="29"/>
      <c r="AU99" s="38" t="str">
        <f aca="false">IF($C99="","",IF(OR(F99="Completed",F99="Cancelled"),"",IF(AND(OR(F99="On Hold",ISNUMBER(VALUE(LEFT(H99,2)))),AT99=""),"Reason not given","")))</f>
        <v/>
      </c>
      <c r="AV99" s="30"/>
      <c r="AW99" s="30"/>
    </row>
    <row r="100" customFormat="false" ht="19.5" hidden="false" customHeight="true" outlineLevel="0" collapsed="false">
      <c r="A100" s="28" t="str">
        <f aca="false">IF($C100="","",COUNTA($C$6:$C100))</f>
        <v/>
      </c>
      <c r="B100" s="29"/>
      <c r="C100" s="30"/>
      <c r="D100" s="29"/>
      <c r="E100" s="31" t="str">
        <f aca="false">IF($C100="","",IF(NOT(OR(M100="Completed",M100="NA",M100="Cancelled")),"S1 Schematic",IF(NOT(OR(Q100="Completed",Q100="NA",Q100="Cancelled")),"S2 PCB Layout",IF(NOT(OR(U100="Completed",U100="NA",U100="Cancelled")),"S3 SI &amp; PI",IF(NOT(OR(Y100="Completed",Y100="NA",Y100="Cancelled")),"S4 Bare-PCB Fab",IF(NOT(OR(AC100="Completed",AC100="NA",AC100="Cancelled")),"S5 Assembly",IF(NOT(OR(AG100="Completed",AG100="NA",AG100="Cancelled")),"S6 Bring-up",IF(NOT(OR(AK100="Completed",AK100="NA",AK100="Cancelled")),"S7 BOM Procurement","All Stages Closed"))))))))</f>
        <v/>
      </c>
      <c r="F100" s="32" t="str">
        <f aca="false">IF($C100="","",IF(COUNTIF(M100,"Cancelled")+COUNTIF(Q100,"Cancelled")+COUNTIF(U100,"Cancelled")+COUNTIF(Y100,"Cancelled")+COUNTIF(AC100,"Cancelled")+COUNTIF(AG100,"Cancelled")+COUNTIF(AK100,"Cancelled")&gt;0,"Cancelled",IF(E100="All Stages Closed","Completed",IF(E100="S1 Schematic",M100,IF(E100="S2 PCB Layout",Q100,IF(E100="S3 SI &amp; PI",U100,IF(E100="S4 Bare-PCB Fab",Y100,IF(E100="S5 Assembly",AC100,IF(E100="S6 Bring-up",AG100,AK100)))))))))</f>
        <v/>
      </c>
      <c r="G100" s="33" t="str">
        <f aca="false">IF($C100="","",IF(E100="All Stages Closed","",IF(E100="S1 Schematic",IF(N100="","Not added",N100),IF(E100="S2 PCB Layout",IF(R100="","Not added",R100),IF(E100="S3 SI &amp; PI",IF(V100="","Not added",V100),IF(E100="S4 Bare-PCB Fab",IF(Z100="","Not added",Z100),IF(E100="S5 Assembly",IF(AD100="","Not added",AD100),IF(E100="S6 Bring-up",IF(AH100="","Not added",AH100),IF(AL100="","Not added",AL100)))))))))</f>
        <v/>
      </c>
      <c r="H100" s="32" t="str">
        <f aca="true">IF($C100="","",IF(OR(F100="Completed",F100="Cancelled"),"",IF(NOT(ISNUMBER(G100)),"No date set",IF(TODAY()&gt;G100,TODAY()-G100&amp;" days late",G100-TODAY()&amp;" days left"))))</f>
        <v/>
      </c>
      <c r="I100" s="31" t="str">
        <f aca="false">IF($C100="","",COUNTIF(M100,"Completed")+COUNTIF(Q100,"Completed")+COUNTIF(U100,"Completed")+COUNTIF(Y100,"Completed")+COUNTIF(AC100,"Completed")+COUNTIF(AG100,"Completed")+COUNTIF(AK100,"Completed"))</f>
        <v/>
      </c>
      <c r="J100" s="31" t="str">
        <f aca="false">IF($C100="","",7-(COUNTIF(M100,"NA")+COUNTIF(Q100,"NA")+COUNTIF(U100,"NA")+COUNTIF(Y100,"NA")+COUNTIF(AC100,"NA")+COUNTIF(AG100,"NA")+COUNTIF(AK100,"NA")))</f>
        <v/>
      </c>
      <c r="K100" s="34" t="str">
        <f aca="false">IFERROR(I100/J100,"")</f>
        <v/>
      </c>
      <c r="L100" s="29"/>
      <c r="M100" s="35"/>
      <c r="N100" s="36"/>
      <c r="O100" s="36"/>
      <c r="P100" s="29"/>
      <c r="Q100" s="35"/>
      <c r="R100" s="36"/>
      <c r="S100" s="36"/>
      <c r="T100" s="29"/>
      <c r="U100" s="35"/>
      <c r="V100" s="36"/>
      <c r="W100" s="36"/>
      <c r="X100" s="29"/>
      <c r="Y100" s="35"/>
      <c r="Z100" s="36"/>
      <c r="AA100" s="36"/>
      <c r="AB100" s="29"/>
      <c r="AC100" s="35"/>
      <c r="AD100" s="36"/>
      <c r="AE100" s="36"/>
      <c r="AF100" s="29"/>
      <c r="AG100" s="35"/>
      <c r="AH100" s="36"/>
      <c r="AI100" s="36"/>
      <c r="AJ100" s="29"/>
      <c r="AK100" s="35"/>
      <c r="AL100" s="36"/>
      <c r="AM100" s="36"/>
      <c r="AN100" s="29"/>
      <c r="AO100" s="29"/>
      <c r="AP100" s="29"/>
      <c r="AQ100" s="37"/>
      <c r="AR100" s="39" t="str">
        <f aca="false">IF(AN100&lt;&gt;"Yes","",IF(AO100="","SELECT RE-ENTRY STAGE","MOVE TO ACTIVE at "&amp;AO100))</f>
        <v/>
      </c>
      <c r="AS100" s="40" t="str">
        <f aca="false">IF(AN100="Yes",COUNTIF($AN$6:AN100,"Yes"),"")</f>
        <v/>
      </c>
      <c r="AT100" s="29"/>
      <c r="AU100" s="38" t="str">
        <f aca="false">IF($C100="","",IF(OR(F100="Completed",F100="Cancelled"),"",IF(AND(OR(F100="On Hold",ISNUMBER(VALUE(LEFT(H100,2)))),AT100=""),"Reason not given","")))</f>
        <v/>
      </c>
      <c r="AV100" s="30"/>
      <c r="AW100" s="30"/>
    </row>
    <row r="101" customFormat="false" ht="19.5" hidden="false" customHeight="true" outlineLevel="0" collapsed="false">
      <c r="A101" s="28" t="str">
        <f aca="false">IF($C101="","",COUNTA($C$6:$C101))</f>
        <v/>
      </c>
      <c r="B101" s="29"/>
      <c r="C101" s="30"/>
      <c r="D101" s="29"/>
      <c r="E101" s="31" t="str">
        <f aca="false">IF($C101="","",IF(NOT(OR(M101="Completed",M101="NA",M101="Cancelled")),"S1 Schematic",IF(NOT(OR(Q101="Completed",Q101="NA",Q101="Cancelled")),"S2 PCB Layout",IF(NOT(OR(U101="Completed",U101="NA",U101="Cancelled")),"S3 SI &amp; PI",IF(NOT(OR(Y101="Completed",Y101="NA",Y101="Cancelled")),"S4 Bare-PCB Fab",IF(NOT(OR(AC101="Completed",AC101="NA",AC101="Cancelled")),"S5 Assembly",IF(NOT(OR(AG101="Completed",AG101="NA",AG101="Cancelled")),"S6 Bring-up",IF(NOT(OR(AK101="Completed",AK101="NA",AK101="Cancelled")),"S7 BOM Procurement","All Stages Closed"))))))))</f>
        <v/>
      </c>
      <c r="F101" s="32" t="str">
        <f aca="false">IF($C101="","",IF(COUNTIF(M101,"Cancelled")+COUNTIF(Q101,"Cancelled")+COUNTIF(U101,"Cancelled")+COUNTIF(Y101,"Cancelled")+COUNTIF(AC101,"Cancelled")+COUNTIF(AG101,"Cancelled")+COUNTIF(AK101,"Cancelled")&gt;0,"Cancelled",IF(E101="All Stages Closed","Completed",IF(E101="S1 Schematic",M101,IF(E101="S2 PCB Layout",Q101,IF(E101="S3 SI &amp; PI",U101,IF(E101="S4 Bare-PCB Fab",Y101,IF(E101="S5 Assembly",AC101,IF(E101="S6 Bring-up",AG101,AK101)))))))))</f>
        <v/>
      </c>
      <c r="G101" s="33" t="str">
        <f aca="false">IF($C101="","",IF(E101="All Stages Closed","",IF(E101="S1 Schematic",IF(N101="","Not added",N101),IF(E101="S2 PCB Layout",IF(R101="","Not added",R101),IF(E101="S3 SI &amp; PI",IF(V101="","Not added",V101),IF(E101="S4 Bare-PCB Fab",IF(Z101="","Not added",Z101),IF(E101="S5 Assembly",IF(AD101="","Not added",AD101),IF(E101="S6 Bring-up",IF(AH101="","Not added",AH101),IF(AL101="","Not added",AL101)))))))))</f>
        <v/>
      </c>
      <c r="H101" s="32" t="str">
        <f aca="true">IF($C101="","",IF(OR(F101="Completed",F101="Cancelled"),"",IF(NOT(ISNUMBER(G101)),"No date set",IF(TODAY()&gt;G101,TODAY()-G101&amp;" days late",G101-TODAY()&amp;" days left"))))</f>
        <v/>
      </c>
      <c r="I101" s="31" t="str">
        <f aca="false">IF($C101="","",COUNTIF(M101,"Completed")+COUNTIF(Q101,"Completed")+COUNTIF(U101,"Completed")+COUNTIF(Y101,"Completed")+COUNTIF(AC101,"Completed")+COUNTIF(AG101,"Completed")+COUNTIF(AK101,"Completed"))</f>
        <v/>
      </c>
      <c r="J101" s="31" t="str">
        <f aca="false">IF($C101="","",7-(COUNTIF(M101,"NA")+COUNTIF(Q101,"NA")+COUNTIF(U101,"NA")+COUNTIF(Y101,"NA")+COUNTIF(AC101,"NA")+COUNTIF(AG101,"NA")+COUNTIF(AK101,"NA")))</f>
        <v/>
      </c>
      <c r="K101" s="34" t="str">
        <f aca="false">IFERROR(I101/J101,"")</f>
        <v/>
      </c>
      <c r="L101" s="29"/>
      <c r="M101" s="35"/>
      <c r="N101" s="36"/>
      <c r="O101" s="36"/>
      <c r="P101" s="29"/>
      <c r="Q101" s="35"/>
      <c r="R101" s="36"/>
      <c r="S101" s="36"/>
      <c r="T101" s="29"/>
      <c r="U101" s="35"/>
      <c r="V101" s="36"/>
      <c r="W101" s="36"/>
      <c r="X101" s="29"/>
      <c r="Y101" s="35"/>
      <c r="Z101" s="36"/>
      <c r="AA101" s="36"/>
      <c r="AB101" s="29"/>
      <c r="AC101" s="35"/>
      <c r="AD101" s="36"/>
      <c r="AE101" s="36"/>
      <c r="AF101" s="29"/>
      <c r="AG101" s="35"/>
      <c r="AH101" s="36"/>
      <c r="AI101" s="36"/>
      <c r="AJ101" s="29"/>
      <c r="AK101" s="35"/>
      <c r="AL101" s="36"/>
      <c r="AM101" s="36"/>
      <c r="AN101" s="29"/>
      <c r="AO101" s="29"/>
      <c r="AP101" s="29"/>
      <c r="AQ101" s="37"/>
      <c r="AR101" s="39" t="str">
        <f aca="false">IF(AN101&lt;&gt;"Yes","",IF(AO101="","SELECT RE-ENTRY STAGE","MOVE TO ACTIVE at "&amp;AO101))</f>
        <v/>
      </c>
      <c r="AS101" s="40" t="str">
        <f aca="false">IF(AN101="Yes",COUNTIF($AN$6:AN101,"Yes"),"")</f>
        <v/>
      </c>
      <c r="AT101" s="29"/>
      <c r="AU101" s="38" t="str">
        <f aca="false">IF($C101="","",IF(OR(F101="Completed",F101="Cancelled"),"",IF(AND(OR(F101="On Hold",ISNUMBER(VALUE(LEFT(H101,2)))),AT101=""),"Reason not given","")))</f>
        <v/>
      </c>
      <c r="AV101" s="30"/>
      <c r="AW101" s="30"/>
    </row>
    <row r="102" customFormat="false" ht="19.5" hidden="false" customHeight="true" outlineLevel="0" collapsed="false">
      <c r="A102" s="28" t="str">
        <f aca="false">IF($C102="","",COUNTA($C$6:$C102))</f>
        <v/>
      </c>
      <c r="B102" s="29"/>
      <c r="C102" s="30"/>
      <c r="D102" s="29"/>
      <c r="E102" s="31" t="str">
        <f aca="false">IF($C102="","",IF(NOT(OR(M102="Completed",M102="NA",M102="Cancelled")),"S1 Schematic",IF(NOT(OR(Q102="Completed",Q102="NA",Q102="Cancelled")),"S2 PCB Layout",IF(NOT(OR(U102="Completed",U102="NA",U102="Cancelled")),"S3 SI &amp; PI",IF(NOT(OR(Y102="Completed",Y102="NA",Y102="Cancelled")),"S4 Bare-PCB Fab",IF(NOT(OR(AC102="Completed",AC102="NA",AC102="Cancelled")),"S5 Assembly",IF(NOT(OR(AG102="Completed",AG102="NA",AG102="Cancelled")),"S6 Bring-up",IF(NOT(OR(AK102="Completed",AK102="NA",AK102="Cancelled")),"S7 BOM Procurement","All Stages Closed"))))))))</f>
        <v/>
      </c>
      <c r="F102" s="32" t="str">
        <f aca="false">IF($C102="","",IF(COUNTIF(M102,"Cancelled")+COUNTIF(Q102,"Cancelled")+COUNTIF(U102,"Cancelled")+COUNTIF(Y102,"Cancelled")+COUNTIF(AC102,"Cancelled")+COUNTIF(AG102,"Cancelled")+COUNTIF(AK102,"Cancelled")&gt;0,"Cancelled",IF(E102="All Stages Closed","Completed",IF(E102="S1 Schematic",M102,IF(E102="S2 PCB Layout",Q102,IF(E102="S3 SI &amp; PI",U102,IF(E102="S4 Bare-PCB Fab",Y102,IF(E102="S5 Assembly",AC102,IF(E102="S6 Bring-up",AG102,AK102)))))))))</f>
        <v/>
      </c>
      <c r="G102" s="33" t="str">
        <f aca="false">IF($C102="","",IF(E102="All Stages Closed","",IF(E102="S1 Schematic",IF(N102="","Not added",N102),IF(E102="S2 PCB Layout",IF(R102="","Not added",R102),IF(E102="S3 SI &amp; PI",IF(V102="","Not added",V102),IF(E102="S4 Bare-PCB Fab",IF(Z102="","Not added",Z102),IF(E102="S5 Assembly",IF(AD102="","Not added",AD102),IF(E102="S6 Bring-up",IF(AH102="","Not added",AH102),IF(AL102="","Not added",AL102)))))))))</f>
        <v/>
      </c>
      <c r="H102" s="32" t="str">
        <f aca="true">IF($C102="","",IF(OR(F102="Completed",F102="Cancelled"),"",IF(NOT(ISNUMBER(G102)),"No date set",IF(TODAY()&gt;G102,TODAY()-G102&amp;" days late",G102-TODAY()&amp;" days left"))))</f>
        <v/>
      </c>
      <c r="I102" s="31" t="str">
        <f aca="false">IF($C102="","",COUNTIF(M102,"Completed")+COUNTIF(Q102,"Completed")+COUNTIF(U102,"Completed")+COUNTIF(Y102,"Completed")+COUNTIF(AC102,"Completed")+COUNTIF(AG102,"Completed")+COUNTIF(AK102,"Completed"))</f>
        <v/>
      </c>
      <c r="J102" s="31" t="str">
        <f aca="false">IF($C102="","",7-(COUNTIF(M102,"NA")+COUNTIF(Q102,"NA")+COUNTIF(U102,"NA")+COUNTIF(Y102,"NA")+COUNTIF(AC102,"NA")+COUNTIF(AG102,"NA")+COUNTIF(AK102,"NA")))</f>
        <v/>
      </c>
      <c r="K102" s="34" t="str">
        <f aca="false">IFERROR(I102/J102,"")</f>
        <v/>
      </c>
      <c r="L102" s="29"/>
      <c r="M102" s="35"/>
      <c r="N102" s="36"/>
      <c r="O102" s="36"/>
      <c r="P102" s="29"/>
      <c r="Q102" s="35"/>
      <c r="R102" s="36"/>
      <c r="S102" s="36"/>
      <c r="T102" s="29"/>
      <c r="U102" s="35"/>
      <c r="V102" s="36"/>
      <c r="W102" s="36"/>
      <c r="X102" s="29"/>
      <c r="Y102" s="35"/>
      <c r="Z102" s="36"/>
      <c r="AA102" s="36"/>
      <c r="AB102" s="29"/>
      <c r="AC102" s="35"/>
      <c r="AD102" s="36"/>
      <c r="AE102" s="36"/>
      <c r="AF102" s="29"/>
      <c r="AG102" s="35"/>
      <c r="AH102" s="36"/>
      <c r="AI102" s="36"/>
      <c r="AJ102" s="29"/>
      <c r="AK102" s="35"/>
      <c r="AL102" s="36"/>
      <c r="AM102" s="36"/>
      <c r="AN102" s="29"/>
      <c r="AO102" s="29"/>
      <c r="AP102" s="29"/>
      <c r="AQ102" s="37"/>
      <c r="AR102" s="39" t="str">
        <f aca="false">IF(AN102&lt;&gt;"Yes","",IF(AO102="","SELECT RE-ENTRY STAGE","MOVE TO ACTIVE at "&amp;AO102))</f>
        <v/>
      </c>
      <c r="AS102" s="40" t="str">
        <f aca="false">IF(AN102="Yes",COUNTIF($AN$6:AN102,"Yes"),"")</f>
        <v/>
      </c>
      <c r="AT102" s="29"/>
      <c r="AU102" s="38" t="str">
        <f aca="false">IF($C102="","",IF(OR(F102="Completed",F102="Cancelled"),"",IF(AND(OR(F102="On Hold",ISNUMBER(VALUE(LEFT(H102,2)))),AT102=""),"Reason not given","")))</f>
        <v/>
      </c>
      <c r="AV102" s="30"/>
      <c r="AW102" s="30"/>
    </row>
    <row r="103" customFormat="false" ht="19.5" hidden="false" customHeight="true" outlineLevel="0" collapsed="false">
      <c r="A103" s="28" t="str">
        <f aca="false">IF($C103="","",COUNTA($C$6:$C103))</f>
        <v/>
      </c>
      <c r="B103" s="29"/>
      <c r="C103" s="30"/>
      <c r="D103" s="29"/>
      <c r="E103" s="31" t="str">
        <f aca="false">IF($C103="","",IF(NOT(OR(M103="Completed",M103="NA",M103="Cancelled")),"S1 Schematic",IF(NOT(OR(Q103="Completed",Q103="NA",Q103="Cancelled")),"S2 PCB Layout",IF(NOT(OR(U103="Completed",U103="NA",U103="Cancelled")),"S3 SI &amp; PI",IF(NOT(OR(Y103="Completed",Y103="NA",Y103="Cancelled")),"S4 Bare-PCB Fab",IF(NOT(OR(AC103="Completed",AC103="NA",AC103="Cancelled")),"S5 Assembly",IF(NOT(OR(AG103="Completed",AG103="NA",AG103="Cancelled")),"S6 Bring-up",IF(NOT(OR(AK103="Completed",AK103="NA",AK103="Cancelled")),"S7 BOM Procurement","All Stages Closed"))))))))</f>
        <v/>
      </c>
      <c r="F103" s="32" t="str">
        <f aca="false">IF($C103="","",IF(COUNTIF(M103,"Cancelled")+COUNTIF(Q103,"Cancelled")+COUNTIF(U103,"Cancelled")+COUNTIF(Y103,"Cancelled")+COUNTIF(AC103,"Cancelled")+COUNTIF(AG103,"Cancelled")+COUNTIF(AK103,"Cancelled")&gt;0,"Cancelled",IF(E103="All Stages Closed","Completed",IF(E103="S1 Schematic",M103,IF(E103="S2 PCB Layout",Q103,IF(E103="S3 SI &amp; PI",U103,IF(E103="S4 Bare-PCB Fab",Y103,IF(E103="S5 Assembly",AC103,IF(E103="S6 Bring-up",AG103,AK103)))))))))</f>
        <v/>
      </c>
      <c r="G103" s="33" t="str">
        <f aca="false">IF($C103="","",IF(E103="All Stages Closed","",IF(E103="S1 Schematic",IF(N103="","Not added",N103),IF(E103="S2 PCB Layout",IF(R103="","Not added",R103),IF(E103="S3 SI &amp; PI",IF(V103="","Not added",V103),IF(E103="S4 Bare-PCB Fab",IF(Z103="","Not added",Z103),IF(E103="S5 Assembly",IF(AD103="","Not added",AD103),IF(E103="S6 Bring-up",IF(AH103="","Not added",AH103),IF(AL103="","Not added",AL103)))))))))</f>
        <v/>
      </c>
      <c r="H103" s="32" t="str">
        <f aca="true">IF($C103="","",IF(OR(F103="Completed",F103="Cancelled"),"",IF(NOT(ISNUMBER(G103)),"No date set",IF(TODAY()&gt;G103,TODAY()-G103&amp;" days late",G103-TODAY()&amp;" days left"))))</f>
        <v/>
      </c>
      <c r="I103" s="31" t="str">
        <f aca="false">IF($C103="","",COUNTIF(M103,"Completed")+COUNTIF(Q103,"Completed")+COUNTIF(U103,"Completed")+COUNTIF(Y103,"Completed")+COUNTIF(AC103,"Completed")+COUNTIF(AG103,"Completed")+COUNTIF(AK103,"Completed"))</f>
        <v/>
      </c>
      <c r="J103" s="31" t="str">
        <f aca="false">IF($C103="","",7-(COUNTIF(M103,"NA")+COUNTIF(Q103,"NA")+COUNTIF(U103,"NA")+COUNTIF(Y103,"NA")+COUNTIF(AC103,"NA")+COUNTIF(AG103,"NA")+COUNTIF(AK103,"NA")))</f>
        <v/>
      </c>
      <c r="K103" s="34" t="str">
        <f aca="false">IFERROR(I103/J103,"")</f>
        <v/>
      </c>
      <c r="L103" s="29"/>
      <c r="M103" s="35"/>
      <c r="N103" s="36"/>
      <c r="O103" s="36"/>
      <c r="P103" s="29"/>
      <c r="Q103" s="35"/>
      <c r="R103" s="36"/>
      <c r="S103" s="36"/>
      <c r="T103" s="29"/>
      <c r="U103" s="35"/>
      <c r="V103" s="36"/>
      <c r="W103" s="36"/>
      <c r="X103" s="29"/>
      <c r="Y103" s="35"/>
      <c r="Z103" s="36"/>
      <c r="AA103" s="36"/>
      <c r="AB103" s="29"/>
      <c r="AC103" s="35"/>
      <c r="AD103" s="36"/>
      <c r="AE103" s="36"/>
      <c r="AF103" s="29"/>
      <c r="AG103" s="35"/>
      <c r="AH103" s="36"/>
      <c r="AI103" s="36"/>
      <c r="AJ103" s="29"/>
      <c r="AK103" s="35"/>
      <c r="AL103" s="36"/>
      <c r="AM103" s="36"/>
      <c r="AN103" s="29"/>
      <c r="AO103" s="29"/>
      <c r="AP103" s="29"/>
      <c r="AQ103" s="37"/>
      <c r="AR103" s="39" t="str">
        <f aca="false">IF(AN103&lt;&gt;"Yes","",IF(AO103="","SELECT RE-ENTRY STAGE","MOVE TO ACTIVE at "&amp;AO103))</f>
        <v/>
      </c>
      <c r="AS103" s="40" t="str">
        <f aca="false">IF(AN103="Yes",COUNTIF($AN$6:AN103,"Yes"),"")</f>
        <v/>
      </c>
      <c r="AT103" s="29"/>
      <c r="AU103" s="38" t="str">
        <f aca="false">IF($C103="","",IF(OR(F103="Completed",F103="Cancelled"),"",IF(AND(OR(F103="On Hold",ISNUMBER(VALUE(LEFT(H103,2)))),AT103=""),"Reason not given","")))</f>
        <v/>
      </c>
      <c r="AV103" s="30"/>
      <c r="AW103" s="30"/>
    </row>
    <row r="104" customFormat="false" ht="19.5" hidden="false" customHeight="true" outlineLevel="0" collapsed="false">
      <c r="A104" s="28" t="str">
        <f aca="false">IF($C104="","",COUNTA($C$6:$C104))</f>
        <v/>
      </c>
      <c r="B104" s="29"/>
      <c r="C104" s="30"/>
      <c r="D104" s="29"/>
      <c r="E104" s="31" t="str">
        <f aca="false">IF($C104="","",IF(NOT(OR(M104="Completed",M104="NA",M104="Cancelled")),"S1 Schematic",IF(NOT(OR(Q104="Completed",Q104="NA",Q104="Cancelled")),"S2 PCB Layout",IF(NOT(OR(U104="Completed",U104="NA",U104="Cancelled")),"S3 SI &amp; PI",IF(NOT(OR(Y104="Completed",Y104="NA",Y104="Cancelled")),"S4 Bare-PCB Fab",IF(NOT(OR(AC104="Completed",AC104="NA",AC104="Cancelled")),"S5 Assembly",IF(NOT(OR(AG104="Completed",AG104="NA",AG104="Cancelled")),"S6 Bring-up",IF(NOT(OR(AK104="Completed",AK104="NA",AK104="Cancelled")),"S7 BOM Procurement","All Stages Closed"))))))))</f>
        <v/>
      </c>
      <c r="F104" s="32" t="str">
        <f aca="false">IF($C104="","",IF(COUNTIF(M104,"Cancelled")+COUNTIF(Q104,"Cancelled")+COUNTIF(U104,"Cancelled")+COUNTIF(Y104,"Cancelled")+COUNTIF(AC104,"Cancelled")+COUNTIF(AG104,"Cancelled")+COUNTIF(AK104,"Cancelled")&gt;0,"Cancelled",IF(E104="All Stages Closed","Completed",IF(E104="S1 Schematic",M104,IF(E104="S2 PCB Layout",Q104,IF(E104="S3 SI &amp; PI",U104,IF(E104="S4 Bare-PCB Fab",Y104,IF(E104="S5 Assembly",AC104,IF(E104="S6 Bring-up",AG104,AK104)))))))))</f>
        <v/>
      </c>
      <c r="G104" s="33" t="str">
        <f aca="false">IF($C104="","",IF(E104="All Stages Closed","",IF(E104="S1 Schematic",IF(N104="","Not added",N104),IF(E104="S2 PCB Layout",IF(R104="","Not added",R104),IF(E104="S3 SI &amp; PI",IF(V104="","Not added",V104),IF(E104="S4 Bare-PCB Fab",IF(Z104="","Not added",Z104),IF(E104="S5 Assembly",IF(AD104="","Not added",AD104),IF(E104="S6 Bring-up",IF(AH104="","Not added",AH104),IF(AL104="","Not added",AL104)))))))))</f>
        <v/>
      </c>
      <c r="H104" s="32" t="str">
        <f aca="true">IF($C104="","",IF(OR(F104="Completed",F104="Cancelled"),"",IF(NOT(ISNUMBER(G104)),"No date set",IF(TODAY()&gt;G104,TODAY()-G104&amp;" days late",G104-TODAY()&amp;" days left"))))</f>
        <v/>
      </c>
      <c r="I104" s="31" t="str">
        <f aca="false">IF($C104="","",COUNTIF(M104,"Completed")+COUNTIF(Q104,"Completed")+COUNTIF(U104,"Completed")+COUNTIF(Y104,"Completed")+COUNTIF(AC104,"Completed")+COUNTIF(AG104,"Completed")+COUNTIF(AK104,"Completed"))</f>
        <v/>
      </c>
      <c r="J104" s="31" t="str">
        <f aca="false">IF($C104="","",7-(COUNTIF(M104,"NA")+COUNTIF(Q104,"NA")+COUNTIF(U104,"NA")+COUNTIF(Y104,"NA")+COUNTIF(AC104,"NA")+COUNTIF(AG104,"NA")+COUNTIF(AK104,"NA")))</f>
        <v/>
      </c>
      <c r="K104" s="34" t="str">
        <f aca="false">IFERROR(I104/J104,"")</f>
        <v/>
      </c>
      <c r="L104" s="29"/>
      <c r="M104" s="35"/>
      <c r="N104" s="36"/>
      <c r="O104" s="36"/>
      <c r="P104" s="29"/>
      <c r="Q104" s="35"/>
      <c r="R104" s="36"/>
      <c r="S104" s="36"/>
      <c r="T104" s="29"/>
      <c r="U104" s="35"/>
      <c r="V104" s="36"/>
      <c r="W104" s="36"/>
      <c r="X104" s="29"/>
      <c r="Y104" s="35"/>
      <c r="Z104" s="36"/>
      <c r="AA104" s="36"/>
      <c r="AB104" s="29"/>
      <c r="AC104" s="35"/>
      <c r="AD104" s="36"/>
      <c r="AE104" s="36"/>
      <c r="AF104" s="29"/>
      <c r="AG104" s="35"/>
      <c r="AH104" s="36"/>
      <c r="AI104" s="36"/>
      <c r="AJ104" s="29"/>
      <c r="AK104" s="35"/>
      <c r="AL104" s="36"/>
      <c r="AM104" s="36"/>
      <c r="AN104" s="29"/>
      <c r="AO104" s="29"/>
      <c r="AP104" s="29"/>
      <c r="AQ104" s="37"/>
      <c r="AR104" s="39" t="str">
        <f aca="false">IF(AN104&lt;&gt;"Yes","",IF(AO104="","SELECT RE-ENTRY STAGE","MOVE TO ACTIVE at "&amp;AO104))</f>
        <v/>
      </c>
      <c r="AS104" s="40" t="str">
        <f aca="false">IF(AN104="Yes",COUNTIF($AN$6:AN104,"Yes"),"")</f>
        <v/>
      </c>
      <c r="AT104" s="29"/>
      <c r="AU104" s="38" t="str">
        <f aca="false">IF($C104="","",IF(OR(F104="Completed",F104="Cancelled"),"",IF(AND(OR(F104="On Hold",ISNUMBER(VALUE(LEFT(H104,2)))),AT104=""),"Reason not given","")))</f>
        <v/>
      </c>
      <c r="AV104" s="30"/>
      <c r="AW104" s="30"/>
    </row>
    <row r="105" customFormat="false" ht="19.5" hidden="false" customHeight="true" outlineLevel="0" collapsed="false">
      <c r="A105" s="28" t="str">
        <f aca="false">IF($C105="","",COUNTA($C$6:$C105))</f>
        <v/>
      </c>
      <c r="B105" s="29"/>
      <c r="C105" s="30"/>
      <c r="D105" s="29"/>
      <c r="E105" s="31" t="str">
        <f aca="false">IF($C105="","",IF(NOT(OR(M105="Completed",M105="NA",M105="Cancelled")),"S1 Schematic",IF(NOT(OR(Q105="Completed",Q105="NA",Q105="Cancelled")),"S2 PCB Layout",IF(NOT(OR(U105="Completed",U105="NA",U105="Cancelled")),"S3 SI &amp; PI",IF(NOT(OR(Y105="Completed",Y105="NA",Y105="Cancelled")),"S4 Bare-PCB Fab",IF(NOT(OR(AC105="Completed",AC105="NA",AC105="Cancelled")),"S5 Assembly",IF(NOT(OR(AG105="Completed",AG105="NA",AG105="Cancelled")),"S6 Bring-up",IF(NOT(OR(AK105="Completed",AK105="NA",AK105="Cancelled")),"S7 BOM Procurement","All Stages Closed"))))))))</f>
        <v/>
      </c>
      <c r="F105" s="32" t="str">
        <f aca="false">IF($C105="","",IF(COUNTIF(M105,"Cancelled")+COUNTIF(Q105,"Cancelled")+COUNTIF(U105,"Cancelled")+COUNTIF(Y105,"Cancelled")+COUNTIF(AC105,"Cancelled")+COUNTIF(AG105,"Cancelled")+COUNTIF(AK105,"Cancelled")&gt;0,"Cancelled",IF(E105="All Stages Closed","Completed",IF(E105="S1 Schematic",M105,IF(E105="S2 PCB Layout",Q105,IF(E105="S3 SI &amp; PI",U105,IF(E105="S4 Bare-PCB Fab",Y105,IF(E105="S5 Assembly",AC105,IF(E105="S6 Bring-up",AG105,AK105)))))))))</f>
        <v/>
      </c>
      <c r="G105" s="33" t="str">
        <f aca="false">IF($C105="","",IF(E105="All Stages Closed","",IF(E105="S1 Schematic",IF(N105="","Not added",N105),IF(E105="S2 PCB Layout",IF(R105="","Not added",R105),IF(E105="S3 SI &amp; PI",IF(V105="","Not added",V105),IF(E105="S4 Bare-PCB Fab",IF(Z105="","Not added",Z105),IF(E105="S5 Assembly",IF(AD105="","Not added",AD105),IF(E105="S6 Bring-up",IF(AH105="","Not added",AH105),IF(AL105="","Not added",AL105)))))))))</f>
        <v/>
      </c>
      <c r="H105" s="32" t="str">
        <f aca="true">IF($C105="","",IF(OR(F105="Completed",F105="Cancelled"),"",IF(NOT(ISNUMBER(G105)),"No date set",IF(TODAY()&gt;G105,TODAY()-G105&amp;" days late",G105-TODAY()&amp;" days left"))))</f>
        <v/>
      </c>
      <c r="I105" s="31" t="str">
        <f aca="false">IF($C105="","",COUNTIF(M105,"Completed")+COUNTIF(Q105,"Completed")+COUNTIF(U105,"Completed")+COUNTIF(Y105,"Completed")+COUNTIF(AC105,"Completed")+COUNTIF(AG105,"Completed")+COUNTIF(AK105,"Completed"))</f>
        <v/>
      </c>
      <c r="J105" s="31" t="str">
        <f aca="false">IF($C105="","",7-(COUNTIF(M105,"NA")+COUNTIF(Q105,"NA")+COUNTIF(U105,"NA")+COUNTIF(Y105,"NA")+COUNTIF(AC105,"NA")+COUNTIF(AG105,"NA")+COUNTIF(AK105,"NA")))</f>
        <v/>
      </c>
      <c r="K105" s="34" t="str">
        <f aca="false">IFERROR(I105/J105,"")</f>
        <v/>
      </c>
      <c r="L105" s="29"/>
      <c r="M105" s="35"/>
      <c r="N105" s="36"/>
      <c r="O105" s="36"/>
      <c r="P105" s="29"/>
      <c r="Q105" s="35"/>
      <c r="R105" s="36"/>
      <c r="S105" s="36"/>
      <c r="T105" s="29"/>
      <c r="U105" s="35"/>
      <c r="V105" s="36"/>
      <c r="W105" s="36"/>
      <c r="X105" s="29"/>
      <c r="Y105" s="35"/>
      <c r="Z105" s="36"/>
      <c r="AA105" s="36"/>
      <c r="AB105" s="29"/>
      <c r="AC105" s="35"/>
      <c r="AD105" s="36"/>
      <c r="AE105" s="36"/>
      <c r="AF105" s="29"/>
      <c r="AG105" s="35"/>
      <c r="AH105" s="36"/>
      <c r="AI105" s="36"/>
      <c r="AJ105" s="29"/>
      <c r="AK105" s="35"/>
      <c r="AL105" s="36"/>
      <c r="AM105" s="36"/>
      <c r="AN105" s="29"/>
      <c r="AO105" s="29"/>
      <c r="AP105" s="29"/>
      <c r="AQ105" s="37"/>
      <c r="AR105" s="39" t="str">
        <f aca="false">IF(AN105&lt;&gt;"Yes","",IF(AO105="","SELECT RE-ENTRY STAGE","MOVE TO ACTIVE at "&amp;AO105))</f>
        <v/>
      </c>
      <c r="AS105" s="40" t="str">
        <f aca="false">IF(AN105="Yes",COUNTIF($AN$6:AN105,"Yes"),"")</f>
        <v/>
      </c>
      <c r="AT105" s="29"/>
      <c r="AU105" s="38" t="str">
        <f aca="false">IF($C105="","",IF(OR(F105="Completed",F105="Cancelled"),"",IF(AND(OR(F105="On Hold",ISNUMBER(VALUE(LEFT(H105,2)))),AT105=""),"Reason not given","")))</f>
        <v/>
      </c>
      <c r="AV105" s="30"/>
      <c r="AW105" s="30"/>
    </row>
    <row r="106" customFormat="false" ht="19.5" hidden="false" customHeight="true" outlineLevel="0" collapsed="false">
      <c r="A106" s="28" t="str">
        <f aca="false">IF($C106="","",COUNTA($C$6:$C106))</f>
        <v/>
      </c>
      <c r="B106" s="29"/>
      <c r="C106" s="30"/>
      <c r="D106" s="29"/>
      <c r="E106" s="31" t="str">
        <f aca="false">IF($C106="","",IF(NOT(OR(M106="Completed",M106="NA",M106="Cancelled")),"S1 Schematic",IF(NOT(OR(Q106="Completed",Q106="NA",Q106="Cancelled")),"S2 PCB Layout",IF(NOT(OR(U106="Completed",U106="NA",U106="Cancelled")),"S3 SI &amp; PI",IF(NOT(OR(Y106="Completed",Y106="NA",Y106="Cancelled")),"S4 Bare-PCB Fab",IF(NOT(OR(AC106="Completed",AC106="NA",AC106="Cancelled")),"S5 Assembly",IF(NOT(OR(AG106="Completed",AG106="NA",AG106="Cancelled")),"S6 Bring-up",IF(NOT(OR(AK106="Completed",AK106="NA",AK106="Cancelled")),"S7 BOM Procurement","All Stages Closed"))))))))</f>
        <v/>
      </c>
      <c r="F106" s="32" t="str">
        <f aca="false">IF($C106="","",IF(COUNTIF(M106,"Cancelled")+COUNTIF(Q106,"Cancelled")+COUNTIF(U106,"Cancelled")+COUNTIF(Y106,"Cancelled")+COUNTIF(AC106,"Cancelled")+COUNTIF(AG106,"Cancelled")+COUNTIF(AK106,"Cancelled")&gt;0,"Cancelled",IF(E106="All Stages Closed","Completed",IF(E106="S1 Schematic",M106,IF(E106="S2 PCB Layout",Q106,IF(E106="S3 SI &amp; PI",U106,IF(E106="S4 Bare-PCB Fab",Y106,IF(E106="S5 Assembly",AC106,IF(E106="S6 Bring-up",AG106,AK106)))))))))</f>
        <v/>
      </c>
      <c r="G106" s="33" t="str">
        <f aca="false">IF($C106="","",IF(E106="All Stages Closed","",IF(E106="S1 Schematic",IF(N106="","Not added",N106),IF(E106="S2 PCB Layout",IF(R106="","Not added",R106),IF(E106="S3 SI &amp; PI",IF(V106="","Not added",V106),IF(E106="S4 Bare-PCB Fab",IF(Z106="","Not added",Z106),IF(E106="S5 Assembly",IF(AD106="","Not added",AD106),IF(E106="S6 Bring-up",IF(AH106="","Not added",AH106),IF(AL106="","Not added",AL106)))))))))</f>
        <v/>
      </c>
      <c r="H106" s="32" t="str">
        <f aca="true">IF($C106="","",IF(OR(F106="Completed",F106="Cancelled"),"",IF(NOT(ISNUMBER(G106)),"No date set",IF(TODAY()&gt;G106,TODAY()-G106&amp;" days late",G106-TODAY()&amp;" days left"))))</f>
        <v/>
      </c>
      <c r="I106" s="31" t="str">
        <f aca="false">IF($C106="","",COUNTIF(M106,"Completed")+COUNTIF(Q106,"Completed")+COUNTIF(U106,"Completed")+COUNTIF(Y106,"Completed")+COUNTIF(AC106,"Completed")+COUNTIF(AG106,"Completed")+COUNTIF(AK106,"Completed"))</f>
        <v/>
      </c>
      <c r="J106" s="31" t="str">
        <f aca="false">IF($C106="","",7-(COUNTIF(M106,"NA")+COUNTIF(Q106,"NA")+COUNTIF(U106,"NA")+COUNTIF(Y106,"NA")+COUNTIF(AC106,"NA")+COUNTIF(AG106,"NA")+COUNTIF(AK106,"NA")))</f>
        <v/>
      </c>
      <c r="K106" s="34" t="str">
        <f aca="false">IFERROR(I106/J106,"")</f>
        <v/>
      </c>
      <c r="L106" s="29"/>
      <c r="M106" s="35"/>
      <c r="N106" s="36"/>
      <c r="O106" s="36"/>
      <c r="P106" s="29"/>
      <c r="Q106" s="35"/>
      <c r="R106" s="36"/>
      <c r="S106" s="36"/>
      <c r="T106" s="29"/>
      <c r="U106" s="35"/>
      <c r="V106" s="36"/>
      <c r="W106" s="36"/>
      <c r="X106" s="29"/>
      <c r="Y106" s="35"/>
      <c r="Z106" s="36"/>
      <c r="AA106" s="36"/>
      <c r="AB106" s="29"/>
      <c r="AC106" s="35"/>
      <c r="AD106" s="36"/>
      <c r="AE106" s="36"/>
      <c r="AF106" s="29"/>
      <c r="AG106" s="35"/>
      <c r="AH106" s="36"/>
      <c r="AI106" s="36"/>
      <c r="AJ106" s="29"/>
      <c r="AK106" s="35"/>
      <c r="AL106" s="36"/>
      <c r="AM106" s="36"/>
      <c r="AN106" s="29"/>
      <c r="AO106" s="29"/>
      <c r="AP106" s="29"/>
      <c r="AQ106" s="37"/>
      <c r="AR106" s="39" t="str">
        <f aca="false">IF(AN106&lt;&gt;"Yes","",IF(AO106="","SELECT RE-ENTRY STAGE","MOVE TO ACTIVE at "&amp;AO106))</f>
        <v/>
      </c>
      <c r="AS106" s="40" t="str">
        <f aca="false">IF(AN106="Yes",COUNTIF($AN$6:AN106,"Yes"),"")</f>
        <v/>
      </c>
      <c r="AT106" s="29"/>
      <c r="AU106" s="38" t="str">
        <f aca="false">IF($C106="","",IF(OR(F106="Completed",F106="Cancelled"),"",IF(AND(OR(F106="On Hold",ISNUMBER(VALUE(LEFT(H106,2)))),AT106=""),"Reason not given","")))</f>
        <v/>
      </c>
      <c r="AV106" s="30"/>
      <c r="AW106" s="30"/>
    </row>
    <row r="107" customFormat="false" ht="19.5" hidden="false" customHeight="true" outlineLevel="0" collapsed="false">
      <c r="A107" s="28" t="str">
        <f aca="false">IF($C107="","",COUNTA($C$6:$C107))</f>
        <v/>
      </c>
      <c r="B107" s="29"/>
      <c r="C107" s="30"/>
      <c r="D107" s="29"/>
      <c r="E107" s="31" t="str">
        <f aca="false">IF($C107="","",IF(NOT(OR(M107="Completed",M107="NA",M107="Cancelled")),"S1 Schematic",IF(NOT(OR(Q107="Completed",Q107="NA",Q107="Cancelled")),"S2 PCB Layout",IF(NOT(OR(U107="Completed",U107="NA",U107="Cancelled")),"S3 SI &amp; PI",IF(NOT(OR(Y107="Completed",Y107="NA",Y107="Cancelled")),"S4 Bare-PCB Fab",IF(NOT(OR(AC107="Completed",AC107="NA",AC107="Cancelled")),"S5 Assembly",IF(NOT(OR(AG107="Completed",AG107="NA",AG107="Cancelled")),"S6 Bring-up",IF(NOT(OR(AK107="Completed",AK107="NA",AK107="Cancelled")),"S7 BOM Procurement","All Stages Closed"))))))))</f>
        <v/>
      </c>
      <c r="F107" s="32" t="str">
        <f aca="false">IF($C107="","",IF(COUNTIF(M107,"Cancelled")+COUNTIF(Q107,"Cancelled")+COUNTIF(U107,"Cancelled")+COUNTIF(Y107,"Cancelled")+COUNTIF(AC107,"Cancelled")+COUNTIF(AG107,"Cancelled")+COUNTIF(AK107,"Cancelled")&gt;0,"Cancelled",IF(E107="All Stages Closed","Completed",IF(E107="S1 Schematic",M107,IF(E107="S2 PCB Layout",Q107,IF(E107="S3 SI &amp; PI",U107,IF(E107="S4 Bare-PCB Fab",Y107,IF(E107="S5 Assembly",AC107,IF(E107="S6 Bring-up",AG107,AK107)))))))))</f>
        <v/>
      </c>
      <c r="G107" s="33" t="str">
        <f aca="false">IF($C107="","",IF(E107="All Stages Closed","",IF(E107="S1 Schematic",IF(N107="","Not added",N107),IF(E107="S2 PCB Layout",IF(R107="","Not added",R107),IF(E107="S3 SI &amp; PI",IF(V107="","Not added",V107),IF(E107="S4 Bare-PCB Fab",IF(Z107="","Not added",Z107),IF(E107="S5 Assembly",IF(AD107="","Not added",AD107),IF(E107="S6 Bring-up",IF(AH107="","Not added",AH107),IF(AL107="","Not added",AL107)))))))))</f>
        <v/>
      </c>
      <c r="H107" s="32" t="str">
        <f aca="true">IF($C107="","",IF(OR(F107="Completed",F107="Cancelled"),"",IF(NOT(ISNUMBER(G107)),"No date set",IF(TODAY()&gt;G107,TODAY()-G107&amp;" days late",G107-TODAY()&amp;" days left"))))</f>
        <v/>
      </c>
      <c r="I107" s="31" t="str">
        <f aca="false">IF($C107="","",COUNTIF(M107,"Completed")+COUNTIF(Q107,"Completed")+COUNTIF(U107,"Completed")+COUNTIF(Y107,"Completed")+COUNTIF(AC107,"Completed")+COUNTIF(AG107,"Completed")+COUNTIF(AK107,"Completed"))</f>
        <v/>
      </c>
      <c r="J107" s="31" t="str">
        <f aca="false">IF($C107="","",7-(COUNTIF(M107,"NA")+COUNTIF(Q107,"NA")+COUNTIF(U107,"NA")+COUNTIF(Y107,"NA")+COUNTIF(AC107,"NA")+COUNTIF(AG107,"NA")+COUNTIF(AK107,"NA")))</f>
        <v/>
      </c>
      <c r="K107" s="34" t="str">
        <f aca="false">IFERROR(I107/J107,"")</f>
        <v/>
      </c>
      <c r="L107" s="29"/>
      <c r="M107" s="35"/>
      <c r="N107" s="36"/>
      <c r="O107" s="36"/>
      <c r="P107" s="29"/>
      <c r="Q107" s="35"/>
      <c r="R107" s="36"/>
      <c r="S107" s="36"/>
      <c r="T107" s="29"/>
      <c r="U107" s="35"/>
      <c r="V107" s="36"/>
      <c r="W107" s="36"/>
      <c r="X107" s="29"/>
      <c r="Y107" s="35"/>
      <c r="Z107" s="36"/>
      <c r="AA107" s="36"/>
      <c r="AB107" s="29"/>
      <c r="AC107" s="35"/>
      <c r="AD107" s="36"/>
      <c r="AE107" s="36"/>
      <c r="AF107" s="29"/>
      <c r="AG107" s="35"/>
      <c r="AH107" s="36"/>
      <c r="AI107" s="36"/>
      <c r="AJ107" s="29"/>
      <c r="AK107" s="35"/>
      <c r="AL107" s="36"/>
      <c r="AM107" s="36"/>
      <c r="AN107" s="29"/>
      <c r="AO107" s="29"/>
      <c r="AP107" s="29"/>
      <c r="AQ107" s="37"/>
      <c r="AR107" s="39" t="str">
        <f aca="false">IF(AN107&lt;&gt;"Yes","",IF(AO107="","SELECT RE-ENTRY STAGE","MOVE TO ACTIVE at "&amp;AO107))</f>
        <v/>
      </c>
      <c r="AS107" s="40" t="str">
        <f aca="false">IF(AN107="Yes",COUNTIF($AN$6:AN107,"Yes"),"")</f>
        <v/>
      </c>
      <c r="AT107" s="29"/>
      <c r="AU107" s="38" t="str">
        <f aca="false">IF($C107="","",IF(OR(F107="Completed",F107="Cancelled"),"",IF(AND(OR(F107="On Hold",ISNUMBER(VALUE(LEFT(H107,2)))),AT107=""),"Reason not given","")))</f>
        <v/>
      </c>
      <c r="AV107" s="30"/>
      <c r="AW107" s="30"/>
    </row>
    <row r="108" customFormat="false" ht="19.5" hidden="false" customHeight="true" outlineLevel="0" collapsed="false">
      <c r="A108" s="28" t="str">
        <f aca="false">IF($C108="","",COUNTA($C$6:$C108))</f>
        <v/>
      </c>
      <c r="B108" s="29"/>
      <c r="C108" s="30"/>
      <c r="D108" s="29"/>
      <c r="E108" s="31" t="str">
        <f aca="false">IF($C108="","",IF(NOT(OR(M108="Completed",M108="NA",M108="Cancelled")),"S1 Schematic",IF(NOT(OR(Q108="Completed",Q108="NA",Q108="Cancelled")),"S2 PCB Layout",IF(NOT(OR(U108="Completed",U108="NA",U108="Cancelled")),"S3 SI &amp; PI",IF(NOT(OR(Y108="Completed",Y108="NA",Y108="Cancelled")),"S4 Bare-PCB Fab",IF(NOT(OR(AC108="Completed",AC108="NA",AC108="Cancelled")),"S5 Assembly",IF(NOT(OR(AG108="Completed",AG108="NA",AG108="Cancelled")),"S6 Bring-up",IF(NOT(OR(AK108="Completed",AK108="NA",AK108="Cancelled")),"S7 BOM Procurement","All Stages Closed"))))))))</f>
        <v/>
      </c>
      <c r="F108" s="32" t="str">
        <f aca="false">IF($C108="","",IF(COUNTIF(M108,"Cancelled")+COUNTIF(Q108,"Cancelled")+COUNTIF(U108,"Cancelled")+COUNTIF(Y108,"Cancelled")+COUNTIF(AC108,"Cancelled")+COUNTIF(AG108,"Cancelled")+COUNTIF(AK108,"Cancelled")&gt;0,"Cancelled",IF(E108="All Stages Closed","Completed",IF(E108="S1 Schematic",M108,IF(E108="S2 PCB Layout",Q108,IF(E108="S3 SI &amp; PI",U108,IF(E108="S4 Bare-PCB Fab",Y108,IF(E108="S5 Assembly",AC108,IF(E108="S6 Bring-up",AG108,AK108)))))))))</f>
        <v/>
      </c>
      <c r="G108" s="33" t="str">
        <f aca="false">IF($C108="","",IF(E108="All Stages Closed","",IF(E108="S1 Schematic",IF(N108="","Not added",N108),IF(E108="S2 PCB Layout",IF(R108="","Not added",R108),IF(E108="S3 SI &amp; PI",IF(V108="","Not added",V108),IF(E108="S4 Bare-PCB Fab",IF(Z108="","Not added",Z108),IF(E108="S5 Assembly",IF(AD108="","Not added",AD108),IF(E108="S6 Bring-up",IF(AH108="","Not added",AH108),IF(AL108="","Not added",AL108)))))))))</f>
        <v/>
      </c>
      <c r="H108" s="32" t="str">
        <f aca="true">IF($C108="","",IF(OR(F108="Completed",F108="Cancelled"),"",IF(NOT(ISNUMBER(G108)),"No date set",IF(TODAY()&gt;G108,TODAY()-G108&amp;" days late",G108-TODAY()&amp;" days left"))))</f>
        <v/>
      </c>
      <c r="I108" s="31" t="str">
        <f aca="false">IF($C108="","",COUNTIF(M108,"Completed")+COUNTIF(Q108,"Completed")+COUNTIF(U108,"Completed")+COUNTIF(Y108,"Completed")+COUNTIF(AC108,"Completed")+COUNTIF(AG108,"Completed")+COUNTIF(AK108,"Completed"))</f>
        <v/>
      </c>
      <c r="J108" s="31" t="str">
        <f aca="false">IF($C108="","",7-(COUNTIF(M108,"NA")+COUNTIF(Q108,"NA")+COUNTIF(U108,"NA")+COUNTIF(Y108,"NA")+COUNTIF(AC108,"NA")+COUNTIF(AG108,"NA")+COUNTIF(AK108,"NA")))</f>
        <v/>
      </c>
      <c r="K108" s="34" t="str">
        <f aca="false">IFERROR(I108/J108,"")</f>
        <v/>
      </c>
      <c r="L108" s="29"/>
      <c r="M108" s="35"/>
      <c r="N108" s="36"/>
      <c r="O108" s="36"/>
      <c r="P108" s="29"/>
      <c r="Q108" s="35"/>
      <c r="R108" s="36"/>
      <c r="S108" s="36"/>
      <c r="T108" s="29"/>
      <c r="U108" s="35"/>
      <c r="V108" s="36"/>
      <c r="W108" s="36"/>
      <c r="X108" s="29"/>
      <c r="Y108" s="35"/>
      <c r="Z108" s="36"/>
      <c r="AA108" s="36"/>
      <c r="AB108" s="29"/>
      <c r="AC108" s="35"/>
      <c r="AD108" s="36"/>
      <c r="AE108" s="36"/>
      <c r="AF108" s="29"/>
      <c r="AG108" s="35"/>
      <c r="AH108" s="36"/>
      <c r="AI108" s="36"/>
      <c r="AJ108" s="29"/>
      <c r="AK108" s="35"/>
      <c r="AL108" s="36"/>
      <c r="AM108" s="36"/>
      <c r="AN108" s="29"/>
      <c r="AO108" s="29"/>
      <c r="AP108" s="29"/>
      <c r="AQ108" s="37"/>
      <c r="AR108" s="39" t="str">
        <f aca="false">IF(AN108&lt;&gt;"Yes","",IF(AO108="","SELECT RE-ENTRY STAGE","MOVE TO ACTIVE at "&amp;AO108))</f>
        <v/>
      </c>
      <c r="AS108" s="40" t="str">
        <f aca="false">IF(AN108="Yes",COUNTIF($AN$6:AN108,"Yes"),"")</f>
        <v/>
      </c>
      <c r="AT108" s="29"/>
      <c r="AU108" s="38" t="str">
        <f aca="false">IF($C108="","",IF(OR(F108="Completed",F108="Cancelled"),"",IF(AND(OR(F108="On Hold",ISNUMBER(VALUE(LEFT(H108,2)))),AT108=""),"Reason not given","")))</f>
        <v/>
      </c>
      <c r="AV108" s="30"/>
      <c r="AW108" s="30"/>
    </row>
    <row r="109" customFormat="false" ht="19.5" hidden="false" customHeight="true" outlineLevel="0" collapsed="false">
      <c r="A109" s="28" t="str">
        <f aca="false">IF($C109="","",COUNTA($C$6:$C109))</f>
        <v/>
      </c>
      <c r="B109" s="29"/>
      <c r="C109" s="30"/>
      <c r="D109" s="29"/>
      <c r="E109" s="31" t="str">
        <f aca="false">IF($C109="","",IF(NOT(OR(M109="Completed",M109="NA",M109="Cancelled")),"S1 Schematic",IF(NOT(OR(Q109="Completed",Q109="NA",Q109="Cancelled")),"S2 PCB Layout",IF(NOT(OR(U109="Completed",U109="NA",U109="Cancelled")),"S3 SI &amp; PI",IF(NOT(OR(Y109="Completed",Y109="NA",Y109="Cancelled")),"S4 Bare-PCB Fab",IF(NOT(OR(AC109="Completed",AC109="NA",AC109="Cancelled")),"S5 Assembly",IF(NOT(OR(AG109="Completed",AG109="NA",AG109="Cancelled")),"S6 Bring-up",IF(NOT(OR(AK109="Completed",AK109="NA",AK109="Cancelled")),"S7 BOM Procurement","All Stages Closed"))))))))</f>
        <v/>
      </c>
      <c r="F109" s="32" t="str">
        <f aca="false">IF($C109="","",IF(COUNTIF(M109,"Cancelled")+COUNTIF(Q109,"Cancelled")+COUNTIF(U109,"Cancelled")+COUNTIF(Y109,"Cancelled")+COUNTIF(AC109,"Cancelled")+COUNTIF(AG109,"Cancelled")+COUNTIF(AK109,"Cancelled")&gt;0,"Cancelled",IF(E109="All Stages Closed","Completed",IF(E109="S1 Schematic",M109,IF(E109="S2 PCB Layout",Q109,IF(E109="S3 SI &amp; PI",U109,IF(E109="S4 Bare-PCB Fab",Y109,IF(E109="S5 Assembly",AC109,IF(E109="S6 Bring-up",AG109,AK109)))))))))</f>
        <v/>
      </c>
      <c r="G109" s="33" t="str">
        <f aca="false">IF($C109="","",IF(E109="All Stages Closed","",IF(E109="S1 Schematic",IF(N109="","Not added",N109),IF(E109="S2 PCB Layout",IF(R109="","Not added",R109),IF(E109="S3 SI &amp; PI",IF(V109="","Not added",V109),IF(E109="S4 Bare-PCB Fab",IF(Z109="","Not added",Z109),IF(E109="S5 Assembly",IF(AD109="","Not added",AD109),IF(E109="S6 Bring-up",IF(AH109="","Not added",AH109),IF(AL109="","Not added",AL109)))))))))</f>
        <v/>
      </c>
      <c r="H109" s="32" t="str">
        <f aca="true">IF($C109="","",IF(OR(F109="Completed",F109="Cancelled"),"",IF(NOT(ISNUMBER(G109)),"No date set",IF(TODAY()&gt;G109,TODAY()-G109&amp;" days late",G109-TODAY()&amp;" days left"))))</f>
        <v/>
      </c>
      <c r="I109" s="31" t="str">
        <f aca="false">IF($C109="","",COUNTIF(M109,"Completed")+COUNTIF(Q109,"Completed")+COUNTIF(U109,"Completed")+COUNTIF(Y109,"Completed")+COUNTIF(AC109,"Completed")+COUNTIF(AG109,"Completed")+COUNTIF(AK109,"Completed"))</f>
        <v/>
      </c>
      <c r="J109" s="31" t="str">
        <f aca="false">IF($C109="","",7-(COUNTIF(M109,"NA")+COUNTIF(Q109,"NA")+COUNTIF(U109,"NA")+COUNTIF(Y109,"NA")+COUNTIF(AC109,"NA")+COUNTIF(AG109,"NA")+COUNTIF(AK109,"NA")))</f>
        <v/>
      </c>
      <c r="K109" s="34" t="str">
        <f aca="false">IFERROR(I109/J109,"")</f>
        <v/>
      </c>
      <c r="L109" s="29"/>
      <c r="M109" s="35"/>
      <c r="N109" s="36"/>
      <c r="O109" s="36"/>
      <c r="P109" s="29"/>
      <c r="Q109" s="35"/>
      <c r="R109" s="36"/>
      <c r="S109" s="36"/>
      <c r="T109" s="29"/>
      <c r="U109" s="35"/>
      <c r="V109" s="36"/>
      <c r="W109" s="36"/>
      <c r="X109" s="29"/>
      <c r="Y109" s="35"/>
      <c r="Z109" s="36"/>
      <c r="AA109" s="36"/>
      <c r="AB109" s="29"/>
      <c r="AC109" s="35"/>
      <c r="AD109" s="36"/>
      <c r="AE109" s="36"/>
      <c r="AF109" s="29"/>
      <c r="AG109" s="35"/>
      <c r="AH109" s="36"/>
      <c r="AI109" s="36"/>
      <c r="AJ109" s="29"/>
      <c r="AK109" s="35"/>
      <c r="AL109" s="36"/>
      <c r="AM109" s="36"/>
      <c r="AN109" s="29"/>
      <c r="AO109" s="29"/>
      <c r="AP109" s="29"/>
      <c r="AQ109" s="37"/>
      <c r="AR109" s="39" t="str">
        <f aca="false">IF(AN109&lt;&gt;"Yes","",IF(AO109="","SELECT RE-ENTRY STAGE","MOVE TO ACTIVE at "&amp;AO109))</f>
        <v/>
      </c>
      <c r="AS109" s="40" t="str">
        <f aca="false">IF(AN109="Yes",COUNTIF($AN$6:AN109,"Yes"),"")</f>
        <v/>
      </c>
      <c r="AT109" s="29"/>
      <c r="AU109" s="38" t="str">
        <f aca="false">IF($C109="","",IF(OR(F109="Completed",F109="Cancelled"),"",IF(AND(OR(F109="On Hold",ISNUMBER(VALUE(LEFT(H109,2)))),AT109=""),"Reason not given","")))</f>
        <v/>
      </c>
      <c r="AV109" s="30"/>
      <c r="AW109" s="30"/>
    </row>
    <row r="110" customFormat="false" ht="19.5" hidden="false" customHeight="true" outlineLevel="0" collapsed="false">
      <c r="A110" s="28" t="str">
        <f aca="false">IF($C110="","",COUNTA($C$6:$C110))</f>
        <v/>
      </c>
      <c r="B110" s="29"/>
      <c r="C110" s="30"/>
      <c r="D110" s="29"/>
      <c r="E110" s="31" t="str">
        <f aca="false">IF($C110="","",IF(NOT(OR(M110="Completed",M110="NA",M110="Cancelled")),"S1 Schematic",IF(NOT(OR(Q110="Completed",Q110="NA",Q110="Cancelled")),"S2 PCB Layout",IF(NOT(OR(U110="Completed",U110="NA",U110="Cancelled")),"S3 SI &amp; PI",IF(NOT(OR(Y110="Completed",Y110="NA",Y110="Cancelled")),"S4 Bare-PCB Fab",IF(NOT(OR(AC110="Completed",AC110="NA",AC110="Cancelled")),"S5 Assembly",IF(NOT(OR(AG110="Completed",AG110="NA",AG110="Cancelled")),"S6 Bring-up",IF(NOT(OR(AK110="Completed",AK110="NA",AK110="Cancelled")),"S7 BOM Procurement","All Stages Closed"))))))))</f>
        <v/>
      </c>
      <c r="F110" s="32" t="str">
        <f aca="false">IF($C110="","",IF(COUNTIF(M110,"Cancelled")+COUNTIF(Q110,"Cancelled")+COUNTIF(U110,"Cancelled")+COUNTIF(Y110,"Cancelled")+COUNTIF(AC110,"Cancelled")+COUNTIF(AG110,"Cancelled")+COUNTIF(AK110,"Cancelled")&gt;0,"Cancelled",IF(E110="All Stages Closed","Completed",IF(E110="S1 Schematic",M110,IF(E110="S2 PCB Layout",Q110,IF(E110="S3 SI &amp; PI",U110,IF(E110="S4 Bare-PCB Fab",Y110,IF(E110="S5 Assembly",AC110,IF(E110="S6 Bring-up",AG110,AK110)))))))))</f>
        <v/>
      </c>
      <c r="G110" s="33" t="str">
        <f aca="false">IF($C110="","",IF(E110="All Stages Closed","",IF(E110="S1 Schematic",IF(N110="","Not added",N110),IF(E110="S2 PCB Layout",IF(R110="","Not added",R110),IF(E110="S3 SI &amp; PI",IF(V110="","Not added",V110),IF(E110="S4 Bare-PCB Fab",IF(Z110="","Not added",Z110),IF(E110="S5 Assembly",IF(AD110="","Not added",AD110),IF(E110="S6 Bring-up",IF(AH110="","Not added",AH110),IF(AL110="","Not added",AL110)))))))))</f>
        <v/>
      </c>
      <c r="H110" s="32" t="str">
        <f aca="true">IF($C110="","",IF(OR(F110="Completed",F110="Cancelled"),"",IF(NOT(ISNUMBER(G110)),"No date set",IF(TODAY()&gt;G110,TODAY()-G110&amp;" days late",G110-TODAY()&amp;" days left"))))</f>
        <v/>
      </c>
      <c r="I110" s="31" t="str">
        <f aca="false">IF($C110="","",COUNTIF(M110,"Completed")+COUNTIF(Q110,"Completed")+COUNTIF(U110,"Completed")+COUNTIF(Y110,"Completed")+COUNTIF(AC110,"Completed")+COUNTIF(AG110,"Completed")+COUNTIF(AK110,"Completed"))</f>
        <v/>
      </c>
      <c r="J110" s="31" t="str">
        <f aca="false">IF($C110="","",7-(COUNTIF(M110,"NA")+COUNTIF(Q110,"NA")+COUNTIF(U110,"NA")+COUNTIF(Y110,"NA")+COUNTIF(AC110,"NA")+COUNTIF(AG110,"NA")+COUNTIF(AK110,"NA")))</f>
        <v/>
      </c>
      <c r="K110" s="34" t="str">
        <f aca="false">IFERROR(I110/J110,"")</f>
        <v/>
      </c>
      <c r="L110" s="29"/>
      <c r="M110" s="35"/>
      <c r="N110" s="36"/>
      <c r="O110" s="36"/>
      <c r="P110" s="29"/>
      <c r="Q110" s="35"/>
      <c r="R110" s="36"/>
      <c r="S110" s="36"/>
      <c r="T110" s="29"/>
      <c r="U110" s="35"/>
      <c r="V110" s="36"/>
      <c r="W110" s="36"/>
      <c r="X110" s="29"/>
      <c r="Y110" s="35"/>
      <c r="Z110" s="36"/>
      <c r="AA110" s="36"/>
      <c r="AB110" s="29"/>
      <c r="AC110" s="35"/>
      <c r="AD110" s="36"/>
      <c r="AE110" s="36"/>
      <c r="AF110" s="29"/>
      <c r="AG110" s="35"/>
      <c r="AH110" s="36"/>
      <c r="AI110" s="36"/>
      <c r="AJ110" s="29"/>
      <c r="AK110" s="35"/>
      <c r="AL110" s="36"/>
      <c r="AM110" s="36"/>
      <c r="AN110" s="29"/>
      <c r="AO110" s="29"/>
      <c r="AP110" s="29"/>
      <c r="AQ110" s="37"/>
      <c r="AR110" s="39" t="str">
        <f aca="false">IF(AN110&lt;&gt;"Yes","",IF(AO110="","SELECT RE-ENTRY STAGE","MOVE TO ACTIVE at "&amp;AO110))</f>
        <v/>
      </c>
      <c r="AS110" s="40" t="str">
        <f aca="false">IF(AN110="Yes",COUNTIF($AN$6:AN110,"Yes"),"")</f>
        <v/>
      </c>
      <c r="AT110" s="29"/>
      <c r="AU110" s="38" t="str">
        <f aca="false">IF($C110="","",IF(OR(F110="Completed",F110="Cancelled"),"",IF(AND(OR(F110="On Hold",ISNUMBER(VALUE(LEFT(H110,2)))),AT110=""),"Reason not given","")))</f>
        <v/>
      </c>
      <c r="AV110" s="30"/>
      <c r="AW110" s="30"/>
    </row>
    <row r="111" customFormat="false" ht="19.5" hidden="false" customHeight="true" outlineLevel="0" collapsed="false">
      <c r="A111" s="28" t="str">
        <f aca="false">IF($C111="","",COUNTA($C$6:$C111))</f>
        <v/>
      </c>
      <c r="B111" s="29"/>
      <c r="C111" s="30"/>
      <c r="D111" s="29"/>
      <c r="E111" s="31" t="str">
        <f aca="false">IF($C111="","",IF(NOT(OR(M111="Completed",M111="NA",M111="Cancelled")),"S1 Schematic",IF(NOT(OR(Q111="Completed",Q111="NA",Q111="Cancelled")),"S2 PCB Layout",IF(NOT(OR(U111="Completed",U111="NA",U111="Cancelled")),"S3 SI &amp; PI",IF(NOT(OR(Y111="Completed",Y111="NA",Y111="Cancelled")),"S4 Bare-PCB Fab",IF(NOT(OR(AC111="Completed",AC111="NA",AC111="Cancelled")),"S5 Assembly",IF(NOT(OR(AG111="Completed",AG111="NA",AG111="Cancelled")),"S6 Bring-up",IF(NOT(OR(AK111="Completed",AK111="NA",AK111="Cancelled")),"S7 BOM Procurement","All Stages Closed"))))))))</f>
        <v/>
      </c>
      <c r="F111" s="32" t="str">
        <f aca="false">IF($C111="","",IF(COUNTIF(M111,"Cancelled")+COUNTIF(Q111,"Cancelled")+COUNTIF(U111,"Cancelled")+COUNTIF(Y111,"Cancelled")+COUNTIF(AC111,"Cancelled")+COUNTIF(AG111,"Cancelled")+COUNTIF(AK111,"Cancelled")&gt;0,"Cancelled",IF(E111="All Stages Closed","Completed",IF(E111="S1 Schematic",M111,IF(E111="S2 PCB Layout",Q111,IF(E111="S3 SI &amp; PI",U111,IF(E111="S4 Bare-PCB Fab",Y111,IF(E111="S5 Assembly",AC111,IF(E111="S6 Bring-up",AG111,AK111)))))))))</f>
        <v/>
      </c>
      <c r="G111" s="33" t="str">
        <f aca="false">IF($C111="","",IF(E111="All Stages Closed","",IF(E111="S1 Schematic",IF(N111="","Not added",N111),IF(E111="S2 PCB Layout",IF(R111="","Not added",R111),IF(E111="S3 SI &amp; PI",IF(V111="","Not added",V111),IF(E111="S4 Bare-PCB Fab",IF(Z111="","Not added",Z111),IF(E111="S5 Assembly",IF(AD111="","Not added",AD111),IF(E111="S6 Bring-up",IF(AH111="","Not added",AH111),IF(AL111="","Not added",AL111)))))))))</f>
        <v/>
      </c>
      <c r="H111" s="32" t="str">
        <f aca="true">IF($C111="","",IF(OR(F111="Completed",F111="Cancelled"),"",IF(NOT(ISNUMBER(G111)),"No date set",IF(TODAY()&gt;G111,TODAY()-G111&amp;" days late",G111-TODAY()&amp;" days left"))))</f>
        <v/>
      </c>
      <c r="I111" s="31" t="str">
        <f aca="false">IF($C111="","",COUNTIF(M111,"Completed")+COUNTIF(Q111,"Completed")+COUNTIF(U111,"Completed")+COUNTIF(Y111,"Completed")+COUNTIF(AC111,"Completed")+COUNTIF(AG111,"Completed")+COUNTIF(AK111,"Completed"))</f>
        <v/>
      </c>
      <c r="J111" s="31" t="str">
        <f aca="false">IF($C111="","",7-(COUNTIF(M111,"NA")+COUNTIF(Q111,"NA")+COUNTIF(U111,"NA")+COUNTIF(Y111,"NA")+COUNTIF(AC111,"NA")+COUNTIF(AG111,"NA")+COUNTIF(AK111,"NA")))</f>
        <v/>
      </c>
      <c r="K111" s="34" t="str">
        <f aca="false">IFERROR(I111/J111,"")</f>
        <v/>
      </c>
      <c r="L111" s="29"/>
      <c r="M111" s="35"/>
      <c r="N111" s="36"/>
      <c r="O111" s="36"/>
      <c r="P111" s="29"/>
      <c r="Q111" s="35"/>
      <c r="R111" s="36"/>
      <c r="S111" s="36"/>
      <c r="T111" s="29"/>
      <c r="U111" s="35"/>
      <c r="V111" s="36"/>
      <c r="W111" s="36"/>
      <c r="X111" s="29"/>
      <c r="Y111" s="35"/>
      <c r="Z111" s="36"/>
      <c r="AA111" s="36"/>
      <c r="AB111" s="29"/>
      <c r="AC111" s="35"/>
      <c r="AD111" s="36"/>
      <c r="AE111" s="36"/>
      <c r="AF111" s="29"/>
      <c r="AG111" s="35"/>
      <c r="AH111" s="36"/>
      <c r="AI111" s="36"/>
      <c r="AJ111" s="29"/>
      <c r="AK111" s="35"/>
      <c r="AL111" s="36"/>
      <c r="AM111" s="36"/>
      <c r="AN111" s="29"/>
      <c r="AO111" s="29"/>
      <c r="AP111" s="29"/>
      <c r="AQ111" s="37"/>
      <c r="AR111" s="39" t="str">
        <f aca="false">IF(AN111&lt;&gt;"Yes","",IF(AO111="","SELECT RE-ENTRY STAGE","MOVE TO ACTIVE at "&amp;AO111))</f>
        <v/>
      </c>
      <c r="AS111" s="40" t="str">
        <f aca="false">IF(AN111="Yes",COUNTIF($AN$6:AN111,"Yes"),"")</f>
        <v/>
      </c>
      <c r="AT111" s="29"/>
      <c r="AU111" s="38" t="str">
        <f aca="false">IF($C111="","",IF(OR(F111="Completed",F111="Cancelled"),"",IF(AND(OR(F111="On Hold",ISNUMBER(VALUE(LEFT(H111,2)))),AT111=""),"Reason not given","")))</f>
        <v/>
      </c>
      <c r="AV111" s="30"/>
      <c r="AW111" s="30"/>
    </row>
    <row r="112" customFormat="false" ht="19.5" hidden="false" customHeight="true" outlineLevel="0" collapsed="false">
      <c r="A112" s="28" t="str">
        <f aca="false">IF($C112="","",COUNTA($C$6:$C112))</f>
        <v/>
      </c>
      <c r="B112" s="29"/>
      <c r="C112" s="30"/>
      <c r="D112" s="29"/>
      <c r="E112" s="31" t="str">
        <f aca="false">IF($C112="","",IF(NOT(OR(M112="Completed",M112="NA",M112="Cancelled")),"S1 Schematic",IF(NOT(OR(Q112="Completed",Q112="NA",Q112="Cancelled")),"S2 PCB Layout",IF(NOT(OR(U112="Completed",U112="NA",U112="Cancelled")),"S3 SI &amp; PI",IF(NOT(OR(Y112="Completed",Y112="NA",Y112="Cancelled")),"S4 Bare-PCB Fab",IF(NOT(OR(AC112="Completed",AC112="NA",AC112="Cancelled")),"S5 Assembly",IF(NOT(OR(AG112="Completed",AG112="NA",AG112="Cancelled")),"S6 Bring-up",IF(NOT(OR(AK112="Completed",AK112="NA",AK112="Cancelled")),"S7 BOM Procurement","All Stages Closed"))))))))</f>
        <v/>
      </c>
      <c r="F112" s="32" t="str">
        <f aca="false">IF($C112="","",IF(COUNTIF(M112,"Cancelled")+COUNTIF(Q112,"Cancelled")+COUNTIF(U112,"Cancelled")+COUNTIF(Y112,"Cancelled")+COUNTIF(AC112,"Cancelled")+COUNTIF(AG112,"Cancelled")+COUNTIF(AK112,"Cancelled")&gt;0,"Cancelled",IF(E112="All Stages Closed","Completed",IF(E112="S1 Schematic",M112,IF(E112="S2 PCB Layout",Q112,IF(E112="S3 SI &amp; PI",U112,IF(E112="S4 Bare-PCB Fab",Y112,IF(E112="S5 Assembly",AC112,IF(E112="S6 Bring-up",AG112,AK112)))))))))</f>
        <v/>
      </c>
      <c r="G112" s="33" t="str">
        <f aca="false">IF($C112="","",IF(E112="All Stages Closed","",IF(E112="S1 Schematic",IF(N112="","Not added",N112),IF(E112="S2 PCB Layout",IF(R112="","Not added",R112),IF(E112="S3 SI &amp; PI",IF(V112="","Not added",V112),IF(E112="S4 Bare-PCB Fab",IF(Z112="","Not added",Z112),IF(E112="S5 Assembly",IF(AD112="","Not added",AD112),IF(E112="S6 Bring-up",IF(AH112="","Not added",AH112),IF(AL112="","Not added",AL112)))))))))</f>
        <v/>
      </c>
      <c r="H112" s="32" t="str">
        <f aca="true">IF($C112="","",IF(OR(F112="Completed",F112="Cancelled"),"",IF(NOT(ISNUMBER(G112)),"No date set",IF(TODAY()&gt;G112,TODAY()-G112&amp;" days late",G112-TODAY()&amp;" days left"))))</f>
        <v/>
      </c>
      <c r="I112" s="31" t="str">
        <f aca="false">IF($C112="","",COUNTIF(M112,"Completed")+COUNTIF(Q112,"Completed")+COUNTIF(U112,"Completed")+COUNTIF(Y112,"Completed")+COUNTIF(AC112,"Completed")+COUNTIF(AG112,"Completed")+COUNTIF(AK112,"Completed"))</f>
        <v/>
      </c>
      <c r="J112" s="31" t="str">
        <f aca="false">IF($C112="","",7-(COUNTIF(M112,"NA")+COUNTIF(Q112,"NA")+COUNTIF(U112,"NA")+COUNTIF(Y112,"NA")+COUNTIF(AC112,"NA")+COUNTIF(AG112,"NA")+COUNTIF(AK112,"NA")))</f>
        <v/>
      </c>
      <c r="K112" s="34" t="str">
        <f aca="false">IFERROR(I112/J112,"")</f>
        <v/>
      </c>
      <c r="L112" s="29"/>
      <c r="M112" s="35"/>
      <c r="N112" s="36"/>
      <c r="O112" s="36"/>
      <c r="P112" s="29"/>
      <c r="Q112" s="35"/>
      <c r="R112" s="36"/>
      <c r="S112" s="36"/>
      <c r="T112" s="29"/>
      <c r="U112" s="35"/>
      <c r="V112" s="36"/>
      <c r="W112" s="36"/>
      <c r="X112" s="29"/>
      <c r="Y112" s="35"/>
      <c r="Z112" s="36"/>
      <c r="AA112" s="36"/>
      <c r="AB112" s="29"/>
      <c r="AC112" s="35"/>
      <c r="AD112" s="36"/>
      <c r="AE112" s="36"/>
      <c r="AF112" s="29"/>
      <c r="AG112" s="35"/>
      <c r="AH112" s="36"/>
      <c r="AI112" s="36"/>
      <c r="AJ112" s="29"/>
      <c r="AK112" s="35"/>
      <c r="AL112" s="36"/>
      <c r="AM112" s="36"/>
      <c r="AN112" s="29"/>
      <c r="AO112" s="29"/>
      <c r="AP112" s="29"/>
      <c r="AQ112" s="37"/>
      <c r="AR112" s="39" t="str">
        <f aca="false">IF(AN112&lt;&gt;"Yes","",IF(AO112="","SELECT RE-ENTRY STAGE","MOVE TO ACTIVE at "&amp;AO112))</f>
        <v/>
      </c>
      <c r="AS112" s="40" t="str">
        <f aca="false">IF(AN112="Yes",COUNTIF($AN$6:AN112,"Yes"),"")</f>
        <v/>
      </c>
      <c r="AT112" s="29"/>
      <c r="AU112" s="38" t="str">
        <f aca="false">IF($C112="","",IF(OR(F112="Completed",F112="Cancelled"),"",IF(AND(OR(F112="On Hold",ISNUMBER(VALUE(LEFT(H112,2)))),AT112=""),"Reason not given","")))</f>
        <v/>
      </c>
      <c r="AV112" s="30"/>
      <c r="AW112" s="30"/>
    </row>
    <row r="113" customFormat="false" ht="19.5" hidden="false" customHeight="true" outlineLevel="0" collapsed="false">
      <c r="A113" s="28" t="str">
        <f aca="false">IF($C113="","",COUNTA($C$6:$C113))</f>
        <v/>
      </c>
      <c r="B113" s="29"/>
      <c r="C113" s="30"/>
      <c r="D113" s="29"/>
      <c r="E113" s="31" t="str">
        <f aca="false">IF($C113="","",IF(NOT(OR(M113="Completed",M113="NA",M113="Cancelled")),"S1 Schematic",IF(NOT(OR(Q113="Completed",Q113="NA",Q113="Cancelled")),"S2 PCB Layout",IF(NOT(OR(U113="Completed",U113="NA",U113="Cancelled")),"S3 SI &amp; PI",IF(NOT(OR(Y113="Completed",Y113="NA",Y113="Cancelled")),"S4 Bare-PCB Fab",IF(NOT(OR(AC113="Completed",AC113="NA",AC113="Cancelled")),"S5 Assembly",IF(NOT(OR(AG113="Completed",AG113="NA",AG113="Cancelled")),"S6 Bring-up",IF(NOT(OR(AK113="Completed",AK113="NA",AK113="Cancelled")),"S7 BOM Procurement","All Stages Closed"))))))))</f>
        <v/>
      </c>
      <c r="F113" s="32" t="str">
        <f aca="false">IF($C113="","",IF(COUNTIF(M113,"Cancelled")+COUNTIF(Q113,"Cancelled")+COUNTIF(U113,"Cancelled")+COUNTIF(Y113,"Cancelled")+COUNTIF(AC113,"Cancelled")+COUNTIF(AG113,"Cancelled")+COUNTIF(AK113,"Cancelled")&gt;0,"Cancelled",IF(E113="All Stages Closed","Completed",IF(E113="S1 Schematic",M113,IF(E113="S2 PCB Layout",Q113,IF(E113="S3 SI &amp; PI",U113,IF(E113="S4 Bare-PCB Fab",Y113,IF(E113="S5 Assembly",AC113,IF(E113="S6 Bring-up",AG113,AK113)))))))))</f>
        <v/>
      </c>
      <c r="G113" s="33" t="str">
        <f aca="false">IF($C113="","",IF(E113="All Stages Closed","",IF(E113="S1 Schematic",IF(N113="","Not added",N113),IF(E113="S2 PCB Layout",IF(R113="","Not added",R113),IF(E113="S3 SI &amp; PI",IF(V113="","Not added",V113),IF(E113="S4 Bare-PCB Fab",IF(Z113="","Not added",Z113),IF(E113="S5 Assembly",IF(AD113="","Not added",AD113),IF(E113="S6 Bring-up",IF(AH113="","Not added",AH113),IF(AL113="","Not added",AL113)))))))))</f>
        <v/>
      </c>
      <c r="H113" s="32" t="str">
        <f aca="true">IF($C113="","",IF(OR(F113="Completed",F113="Cancelled"),"",IF(NOT(ISNUMBER(G113)),"No date set",IF(TODAY()&gt;G113,TODAY()-G113&amp;" days late",G113-TODAY()&amp;" days left"))))</f>
        <v/>
      </c>
      <c r="I113" s="31" t="str">
        <f aca="false">IF($C113="","",COUNTIF(M113,"Completed")+COUNTIF(Q113,"Completed")+COUNTIF(U113,"Completed")+COUNTIF(Y113,"Completed")+COUNTIF(AC113,"Completed")+COUNTIF(AG113,"Completed")+COUNTIF(AK113,"Completed"))</f>
        <v/>
      </c>
      <c r="J113" s="31" t="str">
        <f aca="false">IF($C113="","",7-(COUNTIF(M113,"NA")+COUNTIF(Q113,"NA")+COUNTIF(U113,"NA")+COUNTIF(Y113,"NA")+COUNTIF(AC113,"NA")+COUNTIF(AG113,"NA")+COUNTIF(AK113,"NA")))</f>
        <v/>
      </c>
      <c r="K113" s="34" t="str">
        <f aca="false">IFERROR(I113/J113,"")</f>
        <v/>
      </c>
      <c r="L113" s="29"/>
      <c r="M113" s="35"/>
      <c r="N113" s="36"/>
      <c r="O113" s="36"/>
      <c r="P113" s="29"/>
      <c r="Q113" s="35"/>
      <c r="R113" s="36"/>
      <c r="S113" s="36"/>
      <c r="T113" s="29"/>
      <c r="U113" s="35"/>
      <c r="V113" s="36"/>
      <c r="W113" s="36"/>
      <c r="X113" s="29"/>
      <c r="Y113" s="35"/>
      <c r="Z113" s="36"/>
      <c r="AA113" s="36"/>
      <c r="AB113" s="29"/>
      <c r="AC113" s="35"/>
      <c r="AD113" s="36"/>
      <c r="AE113" s="36"/>
      <c r="AF113" s="29"/>
      <c r="AG113" s="35"/>
      <c r="AH113" s="36"/>
      <c r="AI113" s="36"/>
      <c r="AJ113" s="29"/>
      <c r="AK113" s="35"/>
      <c r="AL113" s="36"/>
      <c r="AM113" s="36"/>
      <c r="AN113" s="29"/>
      <c r="AO113" s="29"/>
      <c r="AP113" s="29"/>
      <c r="AQ113" s="37"/>
      <c r="AR113" s="39" t="str">
        <f aca="false">IF(AN113&lt;&gt;"Yes","",IF(AO113="","SELECT RE-ENTRY STAGE","MOVE TO ACTIVE at "&amp;AO113))</f>
        <v/>
      </c>
      <c r="AS113" s="40" t="str">
        <f aca="false">IF(AN113="Yes",COUNTIF($AN$6:AN113,"Yes"),"")</f>
        <v/>
      </c>
      <c r="AT113" s="29"/>
      <c r="AU113" s="38" t="str">
        <f aca="false">IF($C113="","",IF(OR(F113="Completed",F113="Cancelled"),"",IF(AND(OR(F113="On Hold",ISNUMBER(VALUE(LEFT(H113,2)))),AT113=""),"Reason not given","")))</f>
        <v/>
      </c>
      <c r="AV113" s="30"/>
      <c r="AW113" s="30"/>
    </row>
    <row r="114" customFormat="false" ht="19.5" hidden="false" customHeight="true" outlineLevel="0" collapsed="false">
      <c r="A114" s="28" t="str">
        <f aca="false">IF($C114="","",COUNTA($C$6:$C114))</f>
        <v/>
      </c>
      <c r="B114" s="29"/>
      <c r="C114" s="30"/>
      <c r="D114" s="29"/>
      <c r="E114" s="31" t="str">
        <f aca="false">IF($C114="","",IF(NOT(OR(M114="Completed",M114="NA",M114="Cancelled")),"S1 Schematic",IF(NOT(OR(Q114="Completed",Q114="NA",Q114="Cancelled")),"S2 PCB Layout",IF(NOT(OR(U114="Completed",U114="NA",U114="Cancelled")),"S3 SI &amp; PI",IF(NOT(OR(Y114="Completed",Y114="NA",Y114="Cancelled")),"S4 Bare-PCB Fab",IF(NOT(OR(AC114="Completed",AC114="NA",AC114="Cancelled")),"S5 Assembly",IF(NOT(OR(AG114="Completed",AG114="NA",AG114="Cancelled")),"S6 Bring-up",IF(NOT(OR(AK114="Completed",AK114="NA",AK114="Cancelled")),"S7 BOM Procurement","All Stages Closed"))))))))</f>
        <v/>
      </c>
      <c r="F114" s="32" t="str">
        <f aca="false">IF($C114="","",IF(COUNTIF(M114,"Cancelled")+COUNTIF(Q114,"Cancelled")+COUNTIF(U114,"Cancelled")+COUNTIF(Y114,"Cancelled")+COUNTIF(AC114,"Cancelled")+COUNTIF(AG114,"Cancelled")+COUNTIF(AK114,"Cancelled")&gt;0,"Cancelled",IF(E114="All Stages Closed","Completed",IF(E114="S1 Schematic",M114,IF(E114="S2 PCB Layout",Q114,IF(E114="S3 SI &amp; PI",U114,IF(E114="S4 Bare-PCB Fab",Y114,IF(E114="S5 Assembly",AC114,IF(E114="S6 Bring-up",AG114,AK114)))))))))</f>
        <v/>
      </c>
      <c r="G114" s="33" t="str">
        <f aca="false">IF($C114="","",IF(E114="All Stages Closed","",IF(E114="S1 Schematic",IF(N114="","Not added",N114),IF(E114="S2 PCB Layout",IF(R114="","Not added",R114),IF(E114="S3 SI &amp; PI",IF(V114="","Not added",V114),IF(E114="S4 Bare-PCB Fab",IF(Z114="","Not added",Z114),IF(E114="S5 Assembly",IF(AD114="","Not added",AD114),IF(E114="S6 Bring-up",IF(AH114="","Not added",AH114),IF(AL114="","Not added",AL114)))))))))</f>
        <v/>
      </c>
      <c r="H114" s="32" t="str">
        <f aca="true">IF($C114="","",IF(OR(F114="Completed",F114="Cancelled"),"",IF(NOT(ISNUMBER(G114)),"No date set",IF(TODAY()&gt;G114,TODAY()-G114&amp;" days late",G114-TODAY()&amp;" days left"))))</f>
        <v/>
      </c>
      <c r="I114" s="31" t="str">
        <f aca="false">IF($C114="","",COUNTIF(M114,"Completed")+COUNTIF(Q114,"Completed")+COUNTIF(U114,"Completed")+COUNTIF(Y114,"Completed")+COUNTIF(AC114,"Completed")+COUNTIF(AG114,"Completed")+COUNTIF(AK114,"Completed"))</f>
        <v/>
      </c>
      <c r="J114" s="31" t="str">
        <f aca="false">IF($C114="","",7-(COUNTIF(M114,"NA")+COUNTIF(Q114,"NA")+COUNTIF(U114,"NA")+COUNTIF(Y114,"NA")+COUNTIF(AC114,"NA")+COUNTIF(AG114,"NA")+COUNTIF(AK114,"NA")))</f>
        <v/>
      </c>
      <c r="K114" s="34" t="str">
        <f aca="false">IFERROR(I114/J114,"")</f>
        <v/>
      </c>
      <c r="L114" s="29"/>
      <c r="M114" s="35"/>
      <c r="N114" s="36"/>
      <c r="O114" s="36"/>
      <c r="P114" s="29"/>
      <c r="Q114" s="35"/>
      <c r="R114" s="36"/>
      <c r="S114" s="36"/>
      <c r="T114" s="29"/>
      <c r="U114" s="35"/>
      <c r="V114" s="36"/>
      <c r="W114" s="36"/>
      <c r="X114" s="29"/>
      <c r="Y114" s="35"/>
      <c r="Z114" s="36"/>
      <c r="AA114" s="36"/>
      <c r="AB114" s="29"/>
      <c r="AC114" s="35"/>
      <c r="AD114" s="36"/>
      <c r="AE114" s="36"/>
      <c r="AF114" s="29"/>
      <c r="AG114" s="35"/>
      <c r="AH114" s="36"/>
      <c r="AI114" s="36"/>
      <c r="AJ114" s="29"/>
      <c r="AK114" s="35"/>
      <c r="AL114" s="36"/>
      <c r="AM114" s="36"/>
      <c r="AN114" s="29"/>
      <c r="AO114" s="29"/>
      <c r="AP114" s="29"/>
      <c r="AQ114" s="37"/>
      <c r="AR114" s="39" t="str">
        <f aca="false">IF(AN114&lt;&gt;"Yes","",IF(AO114="","SELECT RE-ENTRY STAGE","MOVE TO ACTIVE at "&amp;AO114))</f>
        <v/>
      </c>
      <c r="AS114" s="40" t="str">
        <f aca="false">IF(AN114="Yes",COUNTIF($AN$6:AN114,"Yes"),"")</f>
        <v/>
      </c>
      <c r="AT114" s="29"/>
      <c r="AU114" s="38" t="str">
        <f aca="false">IF($C114="","",IF(OR(F114="Completed",F114="Cancelled"),"",IF(AND(OR(F114="On Hold",ISNUMBER(VALUE(LEFT(H114,2)))),AT114=""),"Reason not given","")))</f>
        <v/>
      </c>
      <c r="AV114" s="30"/>
      <c r="AW114" s="30"/>
    </row>
    <row r="115" customFormat="false" ht="19.5" hidden="false" customHeight="true" outlineLevel="0" collapsed="false">
      <c r="A115" s="28" t="str">
        <f aca="false">IF($C115="","",COUNTA($C$6:$C115))</f>
        <v/>
      </c>
      <c r="B115" s="29"/>
      <c r="C115" s="30"/>
      <c r="D115" s="29"/>
      <c r="E115" s="31" t="str">
        <f aca="false">IF($C115="","",IF(NOT(OR(M115="Completed",M115="NA",M115="Cancelled")),"S1 Schematic",IF(NOT(OR(Q115="Completed",Q115="NA",Q115="Cancelled")),"S2 PCB Layout",IF(NOT(OR(U115="Completed",U115="NA",U115="Cancelled")),"S3 SI &amp; PI",IF(NOT(OR(Y115="Completed",Y115="NA",Y115="Cancelled")),"S4 Bare-PCB Fab",IF(NOT(OR(AC115="Completed",AC115="NA",AC115="Cancelled")),"S5 Assembly",IF(NOT(OR(AG115="Completed",AG115="NA",AG115="Cancelled")),"S6 Bring-up",IF(NOT(OR(AK115="Completed",AK115="NA",AK115="Cancelled")),"S7 BOM Procurement","All Stages Closed"))))))))</f>
        <v/>
      </c>
      <c r="F115" s="32" t="str">
        <f aca="false">IF($C115="","",IF(COUNTIF(M115,"Cancelled")+COUNTIF(Q115,"Cancelled")+COUNTIF(U115,"Cancelled")+COUNTIF(Y115,"Cancelled")+COUNTIF(AC115,"Cancelled")+COUNTIF(AG115,"Cancelled")+COUNTIF(AK115,"Cancelled")&gt;0,"Cancelled",IF(E115="All Stages Closed","Completed",IF(E115="S1 Schematic",M115,IF(E115="S2 PCB Layout",Q115,IF(E115="S3 SI &amp; PI",U115,IF(E115="S4 Bare-PCB Fab",Y115,IF(E115="S5 Assembly",AC115,IF(E115="S6 Bring-up",AG115,AK115)))))))))</f>
        <v/>
      </c>
      <c r="G115" s="33" t="str">
        <f aca="false">IF($C115="","",IF(E115="All Stages Closed","",IF(E115="S1 Schematic",IF(N115="","Not added",N115),IF(E115="S2 PCB Layout",IF(R115="","Not added",R115),IF(E115="S3 SI &amp; PI",IF(V115="","Not added",V115),IF(E115="S4 Bare-PCB Fab",IF(Z115="","Not added",Z115),IF(E115="S5 Assembly",IF(AD115="","Not added",AD115),IF(E115="S6 Bring-up",IF(AH115="","Not added",AH115),IF(AL115="","Not added",AL115)))))))))</f>
        <v/>
      </c>
      <c r="H115" s="32" t="str">
        <f aca="true">IF($C115="","",IF(OR(F115="Completed",F115="Cancelled"),"",IF(NOT(ISNUMBER(G115)),"No date set",IF(TODAY()&gt;G115,TODAY()-G115&amp;" days late",G115-TODAY()&amp;" days left"))))</f>
        <v/>
      </c>
      <c r="I115" s="31" t="str">
        <f aca="false">IF($C115="","",COUNTIF(M115,"Completed")+COUNTIF(Q115,"Completed")+COUNTIF(U115,"Completed")+COUNTIF(Y115,"Completed")+COUNTIF(AC115,"Completed")+COUNTIF(AG115,"Completed")+COUNTIF(AK115,"Completed"))</f>
        <v/>
      </c>
      <c r="J115" s="31" t="str">
        <f aca="false">IF($C115="","",7-(COUNTIF(M115,"NA")+COUNTIF(Q115,"NA")+COUNTIF(U115,"NA")+COUNTIF(Y115,"NA")+COUNTIF(AC115,"NA")+COUNTIF(AG115,"NA")+COUNTIF(AK115,"NA")))</f>
        <v/>
      </c>
      <c r="K115" s="34" t="str">
        <f aca="false">IFERROR(I115/J115,"")</f>
        <v/>
      </c>
      <c r="L115" s="29"/>
      <c r="M115" s="35"/>
      <c r="N115" s="36"/>
      <c r="O115" s="36"/>
      <c r="P115" s="29"/>
      <c r="Q115" s="35"/>
      <c r="R115" s="36"/>
      <c r="S115" s="36"/>
      <c r="T115" s="29"/>
      <c r="U115" s="35"/>
      <c r="V115" s="36"/>
      <c r="W115" s="36"/>
      <c r="X115" s="29"/>
      <c r="Y115" s="35"/>
      <c r="Z115" s="36"/>
      <c r="AA115" s="36"/>
      <c r="AB115" s="29"/>
      <c r="AC115" s="35"/>
      <c r="AD115" s="36"/>
      <c r="AE115" s="36"/>
      <c r="AF115" s="29"/>
      <c r="AG115" s="35"/>
      <c r="AH115" s="36"/>
      <c r="AI115" s="36"/>
      <c r="AJ115" s="29"/>
      <c r="AK115" s="35"/>
      <c r="AL115" s="36"/>
      <c r="AM115" s="36"/>
      <c r="AN115" s="29"/>
      <c r="AO115" s="29"/>
      <c r="AP115" s="29"/>
      <c r="AQ115" s="37"/>
      <c r="AR115" s="39" t="str">
        <f aca="false">IF(AN115&lt;&gt;"Yes","",IF(AO115="","SELECT RE-ENTRY STAGE","MOVE TO ACTIVE at "&amp;AO115))</f>
        <v/>
      </c>
      <c r="AS115" s="40" t="str">
        <f aca="false">IF(AN115="Yes",COUNTIF($AN$6:AN115,"Yes"),"")</f>
        <v/>
      </c>
      <c r="AT115" s="29"/>
      <c r="AU115" s="38" t="str">
        <f aca="false">IF($C115="","",IF(OR(F115="Completed",F115="Cancelled"),"",IF(AND(OR(F115="On Hold",ISNUMBER(VALUE(LEFT(H115,2)))),AT115=""),"Reason not given","")))</f>
        <v/>
      </c>
      <c r="AV115" s="30"/>
      <c r="AW115" s="30"/>
    </row>
    <row r="116" customFormat="false" ht="19.5" hidden="false" customHeight="true" outlineLevel="0" collapsed="false">
      <c r="A116" s="28" t="str">
        <f aca="false">IF($C116="","",COUNTA($C$6:$C116))</f>
        <v/>
      </c>
      <c r="B116" s="29"/>
      <c r="C116" s="30"/>
      <c r="D116" s="29"/>
      <c r="E116" s="31" t="str">
        <f aca="false">IF($C116="","",IF(NOT(OR(M116="Completed",M116="NA",M116="Cancelled")),"S1 Schematic",IF(NOT(OR(Q116="Completed",Q116="NA",Q116="Cancelled")),"S2 PCB Layout",IF(NOT(OR(U116="Completed",U116="NA",U116="Cancelled")),"S3 SI &amp; PI",IF(NOT(OR(Y116="Completed",Y116="NA",Y116="Cancelled")),"S4 Bare-PCB Fab",IF(NOT(OR(AC116="Completed",AC116="NA",AC116="Cancelled")),"S5 Assembly",IF(NOT(OR(AG116="Completed",AG116="NA",AG116="Cancelled")),"S6 Bring-up",IF(NOT(OR(AK116="Completed",AK116="NA",AK116="Cancelled")),"S7 BOM Procurement","All Stages Closed"))))))))</f>
        <v/>
      </c>
      <c r="F116" s="32" t="str">
        <f aca="false">IF($C116="","",IF(COUNTIF(M116,"Cancelled")+COUNTIF(Q116,"Cancelled")+COUNTIF(U116,"Cancelled")+COUNTIF(Y116,"Cancelled")+COUNTIF(AC116,"Cancelled")+COUNTIF(AG116,"Cancelled")+COUNTIF(AK116,"Cancelled")&gt;0,"Cancelled",IF(E116="All Stages Closed","Completed",IF(E116="S1 Schematic",M116,IF(E116="S2 PCB Layout",Q116,IF(E116="S3 SI &amp; PI",U116,IF(E116="S4 Bare-PCB Fab",Y116,IF(E116="S5 Assembly",AC116,IF(E116="S6 Bring-up",AG116,AK116)))))))))</f>
        <v/>
      </c>
      <c r="G116" s="33" t="str">
        <f aca="false">IF($C116="","",IF(E116="All Stages Closed","",IF(E116="S1 Schematic",IF(N116="","Not added",N116),IF(E116="S2 PCB Layout",IF(R116="","Not added",R116),IF(E116="S3 SI &amp; PI",IF(V116="","Not added",V116),IF(E116="S4 Bare-PCB Fab",IF(Z116="","Not added",Z116),IF(E116="S5 Assembly",IF(AD116="","Not added",AD116),IF(E116="S6 Bring-up",IF(AH116="","Not added",AH116),IF(AL116="","Not added",AL116)))))))))</f>
        <v/>
      </c>
      <c r="H116" s="32" t="str">
        <f aca="true">IF($C116="","",IF(OR(F116="Completed",F116="Cancelled"),"",IF(NOT(ISNUMBER(G116)),"No date set",IF(TODAY()&gt;G116,TODAY()-G116&amp;" days late",G116-TODAY()&amp;" days left"))))</f>
        <v/>
      </c>
      <c r="I116" s="31" t="str">
        <f aca="false">IF($C116="","",COUNTIF(M116,"Completed")+COUNTIF(Q116,"Completed")+COUNTIF(U116,"Completed")+COUNTIF(Y116,"Completed")+COUNTIF(AC116,"Completed")+COUNTIF(AG116,"Completed")+COUNTIF(AK116,"Completed"))</f>
        <v/>
      </c>
      <c r="J116" s="31" t="str">
        <f aca="false">IF($C116="","",7-(COUNTIF(M116,"NA")+COUNTIF(Q116,"NA")+COUNTIF(U116,"NA")+COUNTIF(Y116,"NA")+COUNTIF(AC116,"NA")+COUNTIF(AG116,"NA")+COUNTIF(AK116,"NA")))</f>
        <v/>
      </c>
      <c r="K116" s="34" t="str">
        <f aca="false">IFERROR(I116/J116,"")</f>
        <v/>
      </c>
      <c r="L116" s="29"/>
      <c r="M116" s="35"/>
      <c r="N116" s="36"/>
      <c r="O116" s="36"/>
      <c r="P116" s="29"/>
      <c r="Q116" s="35"/>
      <c r="R116" s="36"/>
      <c r="S116" s="36"/>
      <c r="T116" s="29"/>
      <c r="U116" s="35"/>
      <c r="V116" s="36"/>
      <c r="W116" s="36"/>
      <c r="X116" s="29"/>
      <c r="Y116" s="35"/>
      <c r="Z116" s="36"/>
      <c r="AA116" s="36"/>
      <c r="AB116" s="29"/>
      <c r="AC116" s="35"/>
      <c r="AD116" s="36"/>
      <c r="AE116" s="36"/>
      <c r="AF116" s="29"/>
      <c r="AG116" s="35"/>
      <c r="AH116" s="36"/>
      <c r="AI116" s="36"/>
      <c r="AJ116" s="29"/>
      <c r="AK116" s="35"/>
      <c r="AL116" s="36"/>
      <c r="AM116" s="36"/>
      <c r="AN116" s="29"/>
      <c r="AO116" s="29"/>
      <c r="AP116" s="29"/>
      <c r="AQ116" s="37"/>
      <c r="AR116" s="39" t="str">
        <f aca="false">IF(AN116&lt;&gt;"Yes","",IF(AO116="","SELECT RE-ENTRY STAGE","MOVE TO ACTIVE at "&amp;AO116))</f>
        <v/>
      </c>
      <c r="AS116" s="40" t="str">
        <f aca="false">IF(AN116="Yes",COUNTIF($AN$6:AN116,"Yes"),"")</f>
        <v/>
      </c>
      <c r="AT116" s="29"/>
      <c r="AU116" s="38" t="str">
        <f aca="false">IF($C116="","",IF(OR(F116="Completed",F116="Cancelled"),"",IF(AND(OR(F116="On Hold",ISNUMBER(VALUE(LEFT(H116,2)))),AT116=""),"Reason not given","")))</f>
        <v/>
      </c>
      <c r="AV116" s="30"/>
      <c r="AW116" s="30"/>
    </row>
    <row r="117" customFormat="false" ht="19.5" hidden="false" customHeight="true" outlineLevel="0" collapsed="false">
      <c r="A117" s="28" t="str">
        <f aca="false">IF($C117="","",COUNTA($C$6:$C117))</f>
        <v/>
      </c>
      <c r="B117" s="29"/>
      <c r="C117" s="30"/>
      <c r="D117" s="29"/>
      <c r="E117" s="31" t="str">
        <f aca="false">IF($C117="","",IF(NOT(OR(M117="Completed",M117="NA",M117="Cancelled")),"S1 Schematic",IF(NOT(OR(Q117="Completed",Q117="NA",Q117="Cancelled")),"S2 PCB Layout",IF(NOT(OR(U117="Completed",U117="NA",U117="Cancelled")),"S3 SI &amp; PI",IF(NOT(OR(Y117="Completed",Y117="NA",Y117="Cancelled")),"S4 Bare-PCB Fab",IF(NOT(OR(AC117="Completed",AC117="NA",AC117="Cancelled")),"S5 Assembly",IF(NOT(OR(AG117="Completed",AG117="NA",AG117="Cancelled")),"S6 Bring-up",IF(NOT(OR(AK117="Completed",AK117="NA",AK117="Cancelled")),"S7 BOM Procurement","All Stages Closed"))))))))</f>
        <v/>
      </c>
      <c r="F117" s="32" t="str">
        <f aca="false">IF($C117="","",IF(COUNTIF(M117,"Cancelled")+COUNTIF(Q117,"Cancelled")+COUNTIF(U117,"Cancelled")+COUNTIF(Y117,"Cancelled")+COUNTIF(AC117,"Cancelled")+COUNTIF(AG117,"Cancelled")+COUNTIF(AK117,"Cancelled")&gt;0,"Cancelled",IF(E117="All Stages Closed","Completed",IF(E117="S1 Schematic",M117,IF(E117="S2 PCB Layout",Q117,IF(E117="S3 SI &amp; PI",U117,IF(E117="S4 Bare-PCB Fab",Y117,IF(E117="S5 Assembly",AC117,IF(E117="S6 Bring-up",AG117,AK117)))))))))</f>
        <v/>
      </c>
      <c r="G117" s="33" t="str">
        <f aca="false">IF($C117="","",IF(E117="All Stages Closed","",IF(E117="S1 Schematic",IF(N117="","Not added",N117),IF(E117="S2 PCB Layout",IF(R117="","Not added",R117),IF(E117="S3 SI &amp; PI",IF(V117="","Not added",V117),IF(E117="S4 Bare-PCB Fab",IF(Z117="","Not added",Z117),IF(E117="S5 Assembly",IF(AD117="","Not added",AD117),IF(E117="S6 Bring-up",IF(AH117="","Not added",AH117),IF(AL117="","Not added",AL117)))))))))</f>
        <v/>
      </c>
      <c r="H117" s="32" t="str">
        <f aca="true">IF($C117="","",IF(OR(F117="Completed",F117="Cancelled"),"",IF(NOT(ISNUMBER(G117)),"No date set",IF(TODAY()&gt;G117,TODAY()-G117&amp;" days late",G117-TODAY()&amp;" days left"))))</f>
        <v/>
      </c>
      <c r="I117" s="31" t="str">
        <f aca="false">IF($C117="","",COUNTIF(M117,"Completed")+COUNTIF(Q117,"Completed")+COUNTIF(U117,"Completed")+COUNTIF(Y117,"Completed")+COUNTIF(AC117,"Completed")+COUNTIF(AG117,"Completed")+COUNTIF(AK117,"Completed"))</f>
        <v/>
      </c>
      <c r="J117" s="31" t="str">
        <f aca="false">IF($C117="","",7-(COUNTIF(M117,"NA")+COUNTIF(Q117,"NA")+COUNTIF(U117,"NA")+COUNTIF(Y117,"NA")+COUNTIF(AC117,"NA")+COUNTIF(AG117,"NA")+COUNTIF(AK117,"NA")))</f>
        <v/>
      </c>
      <c r="K117" s="34" t="str">
        <f aca="false">IFERROR(I117/J117,"")</f>
        <v/>
      </c>
      <c r="L117" s="29"/>
      <c r="M117" s="35"/>
      <c r="N117" s="36"/>
      <c r="O117" s="36"/>
      <c r="P117" s="29"/>
      <c r="Q117" s="35"/>
      <c r="R117" s="36"/>
      <c r="S117" s="36"/>
      <c r="T117" s="29"/>
      <c r="U117" s="35"/>
      <c r="V117" s="36"/>
      <c r="W117" s="36"/>
      <c r="X117" s="29"/>
      <c r="Y117" s="35"/>
      <c r="Z117" s="36"/>
      <c r="AA117" s="36"/>
      <c r="AB117" s="29"/>
      <c r="AC117" s="35"/>
      <c r="AD117" s="36"/>
      <c r="AE117" s="36"/>
      <c r="AF117" s="29"/>
      <c r="AG117" s="35"/>
      <c r="AH117" s="36"/>
      <c r="AI117" s="36"/>
      <c r="AJ117" s="29"/>
      <c r="AK117" s="35"/>
      <c r="AL117" s="36"/>
      <c r="AM117" s="36"/>
      <c r="AN117" s="29"/>
      <c r="AO117" s="29"/>
      <c r="AP117" s="29"/>
      <c r="AQ117" s="37"/>
      <c r="AR117" s="39" t="str">
        <f aca="false">IF(AN117&lt;&gt;"Yes","",IF(AO117="","SELECT RE-ENTRY STAGE","MOVE TO ACTIVE at "&amp;AO117))</f>
        <v/>
      </c>
      <c r="AS117" s="40" t="str">
        <f aca="false">IF(AN117="Yes",COUNTIF($AN$6:AN117,"Yes"),"")</f>
        <v/>
      </c>
      <c r="AT117" s="29"/>
      <c r="AU117" s="38" t="str">
        <f aca="false">IF($C117="","",IF(OR(F117="Completed",F117="Cancelled"),"",IF(AND(OR(F117="On Hold",ISNUMBER(VALUE(LEFT(H117,2)))),AT117=""),"Reason not given","")))</f>
        <v/>
      </c>
      <c r="AV117" s="30"/>
      <c r="AW117" s="30"/>
    </row>
    <row r="118" customFormat="false" ht="19.5" hidden="false" customHeight="true" outlineLevel="0" collapsed="false">
      <c r="A118" s="28" t="str">
        <f aca="false">IF($C118="","",COUNTA($C$6:$C118))</f>
        <v/>
      </c>
      <c r="B118" s="29"/>
      <c r="C118" s="30"/>
      <c r="D118" s="29"/>
      <c r="E118" s="31" t="str">
        <f aca="false">IF($C118="","",IF(NOT(OR(M118="Completed",M118="NA",M118="Cancelled")),"S1 Schematic",IF(NOT(OR(Q118="Completed",Q118="NA",Q118="Cancelled")),"S2 PCB Layout",IF(NOT(OR(U118="Completed",U118="NA",U118="Cancelled")),"S3 SI &amp; PI",IF(NOT(OR(Y118="Completed",Y118="NA",Y118="Cancelled")),"S4 Bare-PCB Fab",IF(NOT(OR(AC118="Completed",AC118="NA",AC118="Cancelled")),"S5 Assembly",IF(NOT(OR(AG118="Completed",AG118="NA",AG118="Cancelled")),"S6 Bring-up",IF(NOT(OR(AK118="Completed",AK118="NA",AK118="Cancelled")),"S7 BOM Procurement","All Stages Closed"))))))))</f>
        <v/>
      </c>
      <c r="F118" s="32" t="str">
        <f aca="false">IF($C118="","",IF(COUNTIF(M118,"Cancelled")+COUNTIF(Q118,"Cancelled")+COUNTIF(U118,"Cancelled")+COUNTIF(Y118,"Cancelled")+COUNTIF(AC118,"Cancelled")+COUNTIF(AG118,"Cancelled")+COUNTIF(AK118,"Cancelled")&gt;0,"Cancelled",IF(E118="All Stages Closed","Completed",IF(E118="S1 Schematic",M118,IF(E118="S2 PCB Layout",Q118,IF(E118="S3 SI &amp; PI",U118,IF(E118="S4 Bare-PCB Fab",Y118,IF(E118="S5 Assembly",AC118,IF(E118="S6 Bring-up",AG118,AK118)))))))))</f>
        <v/>
      </c>
      <c r="G118" s="33" t="str">
        <f aca="false">IF($C118="","",IF(E118="All Stages Closed","",IF(E118="S1 Schematic",IF(N118="","Not added",N118),IF(E118="S2 PCB Layout",IF(R118="","Not added",R118),IF(E118="S3 SI &amp; PI",IF(V118="","Not added",V118),IF(E118="S4 Bare-PCB Fab",IF(Z118="","Not added",Z118),IF(E118="S5 Assembly",IF(AD118="","Not added",AD118),IF(E118="S6 Bring-up",IF(AH118="","Not added",AH118),IF(AL118="","Not added",AL118)))))))))</f>
        <v/>
      </c>
      <c r="H118" s="32" t="str">
        <f aca="true">IF($C118="","",IF(OR(F118="Completed",F118="Cancelled"),"",IF(NOT(ISNUMBER(G118)),"No date set",IF(TODAY()&gt;G118,TODAY()-G118&amp;" days late",G118-TODAY()&amp;" days left"))))</f>
        <v/>
      </c>
      <c r="I118" s="31" t="str">
        <f aca="false">IF($C118="","",COUNTIF(M118,"Completed")+COUNTIF(Q118,"Completed")+COUNTIF(U118,"Completed")+COUNTIF(Y118,"Completed")+COUNTIF(AC118,"Completed")+COUNTIF(AG118,"Completed")+COUNTIF(AK118,"Completed"))</f>
        <v/>
      </c>
      <c r="J118" s="31" t="str">
        <f aca="false">IF($C118="","",7-(COUNTIF(M118,"NA")+COUNTIF(Q118,"NA")+COUNTIF(U118,"NA")+COUNTIF(Y118,"NA")+COUNTIF(AC118,"NA")+COUNTIF(AG118,"NA")+COUNTIF(AK118,"NA")))</f>
        <v/>
      </c>
      <c r="K118" s="34" t="str">
        <f aca="false">IFERROR(I118/J118,"")</f>
        <v/>
      </c>
      <c r="L118" s="29"/>
      <c r="M118" s="35"/>
      <c r="N118" s="36"/>
      <c r="O118" s="36"/>
      <c r="P118" s="29"/>
      <c r="Q118" s="35"/>
      <c r="R118" s="36"/>
      <c r="S118" s="36"/>
      <c r="T118" s="29"/>
      <c r="U118" s="35"/>
      <c r="V118" s="36"/>
      <c r="W118" s="36"/>
      <c r="X118" s="29"/>
      <c r="Y118" s="35"/>
      <c r="Z118" s="36"/>
      <c r="AA118" s="36"/>
      <c r="AB118" s="29"/>
      <c r="AC118" s="35"/>
      <c r="AD118" s="36"/>
      <c r="AE118" s="36"/>
      <c r="AF118" s="29"/>
      <c r="AG118" s="35"/>
      <c r="AH118" s="36"/>
      <c r="AI118" s="36"/>
      <c r="AJ118" s="29"/>
      <c r="AK118" s="35"/>
      <c r="AL118" s="36"/>
      <c r="AM118" s="36"/>
      <c r="AN118" s="29"/>
      <c r="AO118" s="29"/>
      <c r="AP118" s="29"/>
      <c r="AQ118" s="37"/>
      <c r="AR118" s="39" t="str">
        <f aca="false">IF(AN118&lt;&gt;"Yes","",IF(AO118="","SELECT RE-ENTRY STAGE","MOVE TO ACTIVE at "&amp;AO118))</f>
        <v/>
      </c>
      <c r="AS118" s="40" t="str">
        <f aca="false">IF(AN118="Yes",COUNTIF($AN$6:AN118,"Yes"),"")</f>
        <v/>
      </c>
      <c r="AT118" s="29"/>
      <c r="AU118" s="38" t="str">
        <f aca="false">IF($C118="","",IF(OR(F118="Completed",F118="Cancelled"),"",IF(AND(OR(F118="On Hold",ISNUMBER(VALUE(LEFT(H118,2)))),AT118=""),"Reason not given","")))</f>
        <v/>
      </c>
      <c r="AV118" s="30"/>
      <c r="AW118" s="30"/>
    </row>
    <row r="119" customFormat="false" ht="19.5" hidden="false" customHeight="true" outlineLevel="0" collapsed="false">
      <c r="A119" s="28" t="str">
        <f aca="false">IF($C119="","",COUNTA($C$6:$C119))</f>
        <v/>
      </c>
      <c r="B119" s="29"/>
      <c r="C119" s="30"/>
      <c r="D119" s="29"/>
      <c r="E119" s="31" t="str">
        <f aca="false">IF($C119="","",IF(NOT(OR(M119="Completed",M119="NA",M119="Cancelled")),"S1 Schematic",IF(NOT(OR(Q119="Completed",Q119="NA",Q119="Cancelled")),"S2 PCB Layout",IF(NOT(OR(U119="Completed",U119="NA",U119="Cancelled")),"S3 SI &amp; PI",IF(NOT(OR(Y119="Completed",Y119="NA",Y119="Cancelled")),"S4 Bare-PCB Fab",IF(NOT(OR(AC119="Completed",AC119="NA",AC119="Cancelled")),"S5 Assembly",IF(NOT(OR(AG119="Completed",AG119="NA",AG119="Cancelled")),"S6 Bring-up",IF(NOT(OR(AK119="Completed",AK119="NA",AK119="Cancelled")),"S7 BOM Procurement","All Stages Closed"))))))))</f>
        <v/>
      </c>
      <c r="F119" s="32" t="str">
        <f aca="false">IF($C119="","",IF(COUNTIF(M119,"Cancelled")+COUNTIF(Q119,"Cancelled")+COUNTIF(U119,"Cancelled")+COUNTIF(Y119,"Cancelled")+COUNTIF(AC119,"Cancelled")+COUNTIF(AG119,"Cancelled")+COUNTIF(AK119,"Cancelled")&gt;0,"Cancelled",IF(E119="All Stages Closed","Completed",IF(E119="S1 Schematic",M119,IF(E119="S2 PCB Layout",Q119,IF(E119="S3 SI &amp; PI",U119,IF(E119="S4 Bare-PCB Fab",Y119,IF(E119="S5 Assembly",AC119,IF(E119="S6 Bring-up",AG119,AK119)))))))))</f>
        <v/>
      </c>
      <c r="G119" s="33" t="str">
        <f aca="false">IF($C119="","",IF(E119="All Stages Closed","",IF(E119="S1 Schematic",IF(N119="","Not added",N119),IF(E119="S2 PCB Layout",IF(R119="","Not added",R119),IF(E119="S3 SI &amp; PI",IF(V119="","Not added",V119),IF(E119="S4 Bare-PCB Fab",IF(Z119="","Not added",Z119),IF(E119="S5 Assembly",IF(AD119="","Not added",AD119),IF(E119="S6 Bring-up",IF(AH119="","Not added",AH119),IF(AL119="","Not added",AL119)))))))))</f>
        <v/>
      </c>
      <c r="H119" s="32" t="str">
        <f aca="true">IF($C119="","",IF(OR(F119="Completed",F119="Cancelled"),"",IF(NOT(ISNUMBER(G119)),"No date set",IF(TODAY()&gt;G119,TODAY()-G119&amp;" days late",G119-TODAY()&amp;" days left"))))</f>
        <v/>
      </c>
      <c r="I119" s="31" t="str">
        <f aca="false">IF($C119="","",COUNTIF(M119,"Completed")+COUNTIF(Q119,"Completed")+COUNTIF(U119,"Completed")+COUNTIF(Y119,"Completed")+COUNTIF(AC119,"Completed")+COUNTIF(AG119,"Completed")+COUNTIF(AK119,"Completed"))</f>
        <v/>
      </c>
      <c r="J119" s="31" t="str">
        <f aca="false">IF($C119="","",7-(COUNTIF(M119,"NA")+COUNTIF(Q119,"NA")+COUNTIF(U119,"NA")+COUNTIF(Y119,"NA")+COUNTIF(AC119,"NA")+COUNTIF(AG119,"NA")+COUNTIF(AK119,"NA")))</f>
        <v/>
      </c>
      <c r="K119" s="34" t="str">
        <f aca="false">IFERROR(I119/J119,"")</f>
        <v/>
      </c>
      <c r="L119" s="29"/>
      <c r="M119" s="35"/>
      <c r="N119" s="36"/>
      <c r="O119" s="36"/>
      <c r="P119" s="29"/>
      <c r="Q119" s="35"/>
      <c r="R119" s="36"/>
      <c r="S119" s="36"/>
      <c r="T119" s="29"/>
      <c r="U119" s="35"/>
      <c r="V119" s="36"/>
      <c r="W119" s="36"/>
      <c r="X119" s="29"/>
      <c r="Y119" s="35"/>
      <c r="Z119" s="36"/>
      <c r="AA119" s="36"/>
      <c r="AB119" s="29"/>
      <c r="AC119" s="35"/>
      <c r="AD119" s="36"/>
      <c r="AE119" s="36"/>
      <c r="AF119" s="29"/>
      <c r="AG119" s="35"/>
      <c r="AH119" s="36"/>
      <c r="AI119" s="36"/>
      <c r="AJ119" s="29"/>
      <c r="AK119" s="35"/>
      <c r="AL119" s="36"/>
      <c r="AM119" s="36"/>
      <c r="AN119" s="29"/>
      <c r="AO119" s="29"/>
      <c r="AP119" s="29"/>
      <c r="AQ119" s="37"/>
      <c r="AR119" s="39" t="str">
        <f aca="false">IF(AN119&lt;&gt;"Yes","",IF(AO119="","SELECT RE-ENTRY STAGE","MOVE TO ACTIVE at "&amp;AO119))</f>
        <v/>
      </c>
      <c r="AS119" s="40" t="str">
        <f aca="false">IF(AN119="Yes",COUNTIF($AN$6:AN119,"Yes"),"")</f>
        <v/>
      </c>
      <c r="AT119" s="29"/>
      <c r="AU119" s="38" t="str">
        <f aca="false">IF($C119="","",IF(OR(F119="Completed",F119="Cancelled"),"",IF(AND(OR(F119="On Hold",ISNUMBER(VALUE(LEFT(H119,2)))),AT119=""),"Reason not given","")))</f>
        <v/>
      </c>
      <c r="AV119" s="30"/>
      <c r="AW119" s="30"/>
    </row>
    <row r="120" customFormat="false" ht="19.5" hidden="false" customHeight="true" outlineLevel="0" collapsed="false">
      <c r="A120" s="28" t="str">
        <f aca="false">IF($C120="","",COUNTA($C$6:$C120))</f>
        <v/>
      </c>
      <c r="B120" s="29"/>
      <c r="C120" s="30"/>
      <c r="D120" s="29"/>
      <c r="E120" s="31" t="str">
        <f aca="false">IF($C120="","",IF(NOT(OR(M120="Completed",M120="NA",M120="Cancelled")),"S1 Schematic",IF(NOT(OR(Q120="Completed",Q120="NA",Q120="Cancelled")),"S2 PCB Layout",IF(NOT(OR(U120="Completed",U120="NA",U120="Cancelled")),"S3 SI &amp; PI",IF(NOT(OR(Y120="Completed",Y120="NA",Y120="Cancelled")),"S4 Bare-PCB Fab",IF(NOT(OR(AC120="Completed",AC120="NA",AC120="Cancelled")),"S5 Assembly",IF(NOT(OR(AG120="Completed",AG120="NA",AG120="Cancelled")),"S6 Bring-up",IF(NOT(OR(AK120="Completed",AK120="NA",AK120="Cancelled")),"S7 BOM Procurement","All Stages Closed"))))))))</f>
        <v/>
      </c>
      <c r="F120" s="32" t="str">
        <f aca="false">IF($C120="","",IF(COUNTIF(M120,"Cancelled")+COUNTIF(Q120,"Cancelled")+COUNTIF(U120,"Cancelled")+COUNTIF(Y120,"Cancelled")+COUNTIF(AC120,"Cancelled")+COUNTIF(AG120,"Cancelled")+COUNTIF(AK120,"Cancelled")&gt;0,"Cancelled",IF(E120="All Stages Closed","Completed",IF(E120="S1 Schematic",M120,IF(E120="S2 PCB Layout",Q120,IF(E120="S3 SI &amp; PI",U120,IF(E120="S4 Bare-PCB Fab",Y120,IF(E120="S5 Assembly",AC120,IF(E120="S6 Bring-up",AG120,AK120)))))))))</f>
        <v/>
      </c>
      <c r="G120" s="33" t="str">
        <f aca="false">IF($C120="","",IF(E120="All Stages Closed","",IF(E120="S1 Schematic",IF(N120="","Not added",N120),IF(E120="S2 PCB Layout",IF(R120="","Not added",R120),IF(E120="S3 SI &amp; PI",IF(V120="","Not added",V120),IF(E120="S4 Bare-PCB Fab",IF(Z120="","Not added",Z120),IF(E120="S5 Assembly",IF(AD120="","Not added",AD120),IF(E120="S6 Bring-up",IF(AH120="","Not added",AH120),IF(AL120="","Not added",AL120)))))))))</f>
        <v/>
      </c>
      <c r="H120" s="32" t="str">
        <f aca="true">IF($C120="","",IF(OR(F120="Completed",F120="Cancelled"),"",IF(NOT(ISNUMBER(G120)),"No date set",IF(TODAY()&gt;G120,TODAY()-G120&amp;" days late",G120-TODAY()&amp;" days left"))))</f>
        <v/>
      </c>
      <c r="I120" s="31" t="str">
        <f aca="false">IF($C120="","",COUNTIF(M120,"Completed")+COUNTIF(Q120,"Completed")+COUNTIF(U120,"Completed")+COUNTIF(Y120,"Completed")+COUNTIF(AC120,"Completed")+COUNTIF(AG120,"Completed")+COUNTIF(AK120,"Completed"))</f>
        <v/>
      </c>
      <c r="J120" s="31" t="str">
        <f aca="false">IF($C120="","",7-(COUNTIF(M120,"NA")+COUNTIF(Q120,"NA")+COUNTIF(U120,"NA")+COUNTIF(Y120,"NA")+COUNTIF(AC120,"NA")+COUNTIF(AG120,"NA")+COUNTIF(AK120,"NA")))</f>
        <v/>
      </c>
      <c r="K120" s="34" t="str">
        <f aca="false">IFERROR(I120/J120,"")</f>
        <v/>
      </c>
      <c r="L120" s="29"/>
      <c r="M120" s="35"/>
      <c r="N120" s="36"/>
      <c r="O120" s="36"/>
      <c r="P120" s="29"/>
      <c r="Q120" s="35"/>
      <c r="R120" s="36"/>
      <c r="S120" s="36"/>
      <c r="T120" s="29"/>
      <c r="U120" s="35"/>
      <c r="V120" s="36"/>
      <c r="W120" s="36"/>
      <c r="X120" s="29"/>
      <c r="Y120" s="35"/>
      <c r="Z120" s="36"/>
      <c r="AA120" s="36"/>
      <c r="AB120" s="29"/>
      <c r="AC120" s="35"/>
      <c r="AD120" s="36"/>
      <c r="AE120" s="36"/>
      <c r="AF120" s="29"/>
      <c r="AG120" s="35"/>
      <c r="AH120" s="36"/>
      <c r="AI120" s="36"/>
      <c r="AJ120" s="29"/>
      <c r="AK120" s="35"/>
      <c r="AL120" s="36"/>
      <c r="AM120" s="36"/>
      <c r="AN120" s="29"/>
      <c r="AO120" s="29"/>
      <c r="AP120" s="29"/>
      <c r="AQ120" s="37"/>
      <c r="AR120" s="39" t="str">
        <f aca="false">IF(AN120&lt;&gt;"Yes","",IF(AO120="","SELECT RE-ENTRY STAGE","MOVE TO ACTIVE at "&amp;AO120))</f>
        <v/>
      </c>
      <c r="AS120" s="40" t="str">
        <f aca="false">IF(AN120="Yes",COUNTIF($AN$6:AN120,"Yes"),"")</f>
        <v/>
      </c>
      <c r="AT120" s="29"/>
      <c r="AU120" s="38" t="str">
        <f aca="false">IF($C120="","",IF(OR(F120="Completed",F120="Cancelled"),"",IF(AND(OR(F120="On Hold",ISNUMBER(VALUE(LEFT(H120,2)))),AT120=""),"Reason not given","")))</f>
        <v/>
      </c>
      <c r="AV120" s="30"/>
      <c r="AW120" s="30"/>
    </row>
    <row r="121" customFormat="false" ht="19.5" hidden="false" customHeight="true" outlineLevel="0" collapsed="false">
      <c r="A121" s="28" t="str">
        <f aca="false">IF($C121="","",COUNTA($C$6:$C121))</f>
        <v/>
      </c>
      <c r="B121" s="29"/>
      <c r="C121" s="30"/>
      <c r="D121" s="29"/>
      <c r="E121" s="31" t="str">
        <f aca="false">IF($C121="","",IF(NOT(OR(M121="Completed",M121="NA",M121="Cancelled")),"S1 Schematic",IF(NOT(OR(Q121="Completed",Q121="NA",Q121="Cancelled")),"S2 PCB Layout",IF(NOT(OR(U121="Completed",U121="NA",U121="Cancelled")),"S3 SI &amp; PI",IF(NOT(OR(Y121="Completed",Y121="NA",Y121="Cancelled")),"S4 Bare-PCB Fab",IF(NOT(OR(AC121="Completed",AC121="NA",AC121="Cancelled")),"S5 Assembly",IF(NOT(OR(AG121="Completed",AG121="NA",AG121="Cancelled")),"S6 Bring-up",IF(NOT(OR(AK121="Completed",AK121="NA",AK121="Cancelled")),"S7 BOM Procurement","All Stages Closed"))))))))</f>
        <v/>
      </c>
      <c r="F121" s="32" t="str">
        <f aca="false">IF($C121="","",IF(COUNTIF(M121,"Cancelled")+COUNTIF(Q121,"Cancelled")+COUNTIF(U121,"Cancelled")+COUNTIF(Y121,"Cancelled")+COUNTIF(AC121,"Cancelled")+COUNTIF(AG121,"Cancelled")+COUNTIF(AK121,"Cancelled")&gt;0,"Cancelled",IF(E121="All Stages Closed","Completed",IF(E121="S1 Schematic",M121,IF(E121="S2 PCB Layout",Q121,IF(E121="S3 SI &amp; PI",U121,IF(E121="S4 Bare-PCB Fab",Y121,IF(E121="S5 Assembly",AC121,IF(E121="S6 Bring-up",AG121,AK121)))))))))</f>
        <v/>
      </c>
      <c r="G121" s="33" t="str">
        <f aca="false">IF($C121="","",IF(E121="All Stages Closed","",IF(E121="S1 Schematic",IF(N121="","Not added",N121),IF(E121="S2 PCB Layout",IF(R121="","Not added",R121),IF(E121="S3 SI &amp; PI",IF(V121="","Not added",V121),IF(E121="S4 Bare-PCB Fab",IF(Z121="","Not added",Z121),IF(E121="S5 Assembly",IF(AD121="","Not added",AD121),IF(E121="S6 Bring-up",IF(AH121="","Not added",AH121),IF(AL121="","Not added",AL121)))))))))</f>
        <v/>
      </c>
      <c r="H121" s="32" t="str">
        <f aca="true">IF($C121="","",IF(OR(F121="Completed",F121="Cancelled"),"",IF(NOT(ISNUMBER(G121)),"No date set",IF(TODAY()&gt;G121,TODAY()-G121&amp;" days late",G121-TODAY()&amp;" days left"))))</f>
        <v/>
      </c>
      <c r="I121" s="31" t="str">
        <f aca="false">IF($C121="","",COUNTIF(M121,"Completed")+COUNTIF(Q121,"Completed")+COUNTIF(U121,"Completed")+COUNTIF(Y121,"Completed")+COUNTIF(AC121,"Completed")+COUNTIF(AG121,"Completed")+COUNTIF(AK121,"Completed"))</f>
        <v/>
      </c>
      <c r="J121" s="31" t="str">
        <f aca="false">IF($C121="","",7-(COUNTIF(M121,"NA")+COUNTIF(Q121,"NA")+COUNTIF(U121,"NA")+COUNTIF(Y121,"NA")+COUNTIF(AC121,"NA")+COUNTIF(AG121,"NA")+COUNTIF(AK121,"NA")))</f>
        <v/>
      </c>
      <c r="K121" s="34" t="str">
        <f aca="false">IFERROR(I121/J121,"")</f>
        <v/>
      </c>
      <c r="L121" s="29"/>
      <c r="M121" s="35"/>
      <c r="N121" s="36"/>
      <c r="O121" s="36"/>
      <c r="P121" s="29"/>
      <c r="Q121" s="35"/>
      <c r="R121" s="36"/>
      <c r="S121" s="36"/>
      <c r="T121" s="29"/>
      <c r="U121" s="35"/>
      <c r="V121" s="36"/>
      <c r="W121" s="36"/>
      <c r="X121" s="29"/>
      <c r="Y121" s="35"/>
      <c r="Z121" s="36"/>
      <c r="AA121" s="36"/>
      <c r="AB121" s="29"/>
      <c r="AC121" s="35"/>
      <c r="AD121" s="36"/>
      <c r="AE121" s="36"/>
      <c r="AF121" s="29"/>
      <c r="AG121" s="35"/>
      <c r="AH121" s="36"/>
      <c r="AI121" s="36"/>
      <c r="AJ121" s="29"/>
      <c r="AK121" s="35"/>
      <c r="AL121" s="36"/>
      <c r="AM121" s="36"/>
      <c r="AN121" s="29"/>
      <c r="AO121" s="29"/>
      <c r="AP121" s="29"/>
      <c r="AQ121" s="37"/>
      <c r="AR121" s="39" t="str">
        <f aca="false">IF(AN121&lt;&gt;"Yes","",IF(AO121="","SELECT RE-ENTRY STAGE","MOVE TO ACTIVE at "&amp;AO121))</f>
        <v/>
      </c>
      <c r="AS121" s="40" t="str">
        <f aca="false">IF(AN121="Yes",COUNTIF($AN$6:AN121,"Yes"),"")</f>
        <v/>
      </c>
      <c r="AT121" s="29"/>
      <c r="AU121" s="38" t="str">
        <f aca="false">IF($C121="","",IF(OR(F121="Completed",F121="Cancelled"),"",IF(AND(OR(F121="On Hold",ISNUMBER(VALUE(LEFT(H121,2)))),AT121=""),"Reason not given","")))</f>
        <v/>
      </c>
      <c r="AV121" s="30"/>
      <c r="AW121" s="30"/>
    </row>
    <row r="122" customFormat="false" ht="19.5" hidden="false" customHeight="true" outlineLevel="0" collapsed="false">
      <c r="A122" s="28" t="str">
        <f aca="false">IF($C122="","",COUNTA($C$6:$C122))</f>
        <v/>
      </c>
      <c r="B122" s="29"/>
      <c r="C122" s="30"/>
      <c r="D122" s="29"/>
      <c r="E122" s="31" t="str">
        <f aca="false">IF($C122="","",IF(NOT(OR(M122="Completed",M122="NA",M122="Cancelled")),"S1 Schematic",IF(NOT(OR(Q122="Completed",Q122="NA",Q122="Cancelled")),"S2 PCB Layout",IF(NOT(OR(U122="Completed",U122="NA",U122="Cancelled")),"S3 SI &amp; PI",IF(NOT(OR(Y122="Completed",Y122="NA",Y122="Cancelled")),"S4 Bare-PCB Fab",IF(NOT(OR(AC122="Completed",AC122="NA",AC122="Cancelled")),"S5 Assembly",IF(NOT(OR(AG122="Completed",AG122="NA",AG122="Cancelled")),"S6 Bring-up",IF(NOT(OR(AK122="Completed",AK122="NA",AK122="Cancelled")),"S7 BOM Procurement","All Stages Closed"))))))))</f>
        <v/>
      </c>
      <c r="F122" s="32" t="str">
        <f aca="false">IF($C122="","",IF(COUNTIF(M122,"Cancelled")+COUNTIF(Q122,"Cancelled")+COUNTIF(U122,"Cancelled")+COUNTIF(Y122,"Cancelled")+COUNTIF(AC122,"Cancelled")+COUNTIF(AG122,"Cancelled")+COUNTIF(AK122,"Cancelled")&gt;0,"Cancelled",IF(E122="All Stages Closed","Completed",IF(E122="S1 Schematic",M122,IF(E122="S2 PCB Layout",Q122,IF(E122="S3 SI &amp; PI",U122,IF(E122="S4 Bare-PCB Fab",Y122,IF(E122="S5 Assembly",AC122,IF(E122="S6 Bring-up",AG122,AK122)))))))))</f>
        <v/>
      </c>
      <c r="G122" s="33" t="str">
        <f aca="false">IF($C122="","",IF(E122="All Stages Closed","",IF(E122="S1 Schematic",IF(N122="","Not added",N122),IF(E122="S2 PCB Layout",IF(R122="","Not added",R122),IF(E122="S3 SI &amp; PI",IF(V122="","Not added",V122),IF(E122="S4 Bare-PCB Fab",IF(Z122="","Not added",Z122),IF(E122="S5 Assembly",IF(AD122="","Not added",AD122),IF(E122="S6 Bring-up",IF(AH122="","Not added",AH122),IF(AL122="","Not added",AL122)))))))))</f>
        <v/>
      </c>
      <c r="H122" s="32" t="str">
        <f aca="true">IF($C122="","",IF(OR(F122="Completed",F122="Cancelled"),"",IF(NOT(ISNUMBER(G122)),"No date set",IF(TODAY()&gt;G122,TODAY()-G122&amp;" days late",G122-TODAY()&amp;" days left"))))</f>
        <v/>
      </c>
      <c r="I122" s="31" t="str">
        <f aca="false">IF($C122="","",COUNTIF(M122,"Completed")+COUNTIF(Q122,"Completed")+COUNTIF(U122,"Completed")+COUNTIF(Y122,"Completed")+COUNTIF(AC122,"Completed")+COUNTIF(AG122,"Completed")+COUNTIF(AK122,"Completed"))</f>
        <v/>
      </c>
      <c r="J122" s="31" t="str">
        <f aca="false">IF($C122="","",7-(COUNTIF(M122,"NA")+COUNTIF(Q122,"NA")+COUNTIF(U122,"NA")+COUNTIF(Y122,"NA")+COUNTIF(AC122,"NA")+COUNTIF(AG122,"NA")+COUNTIF(AK122,"NA")))</f>
        <v/>
      </c>
      <c r="K122" s="34" t="str">
        <f aca="false">IFERROR(I122/J122,"")</f>
        <v/>
      </c>
      <c r="L122" s="29"/>
      <c r="M122" s="35"/>
      <c r="N122" s="36"/>
      <c r="O122" s="36"/>
      <c r="P122" s="29"/>
      <c r="Q122" s="35"/>
      <c r="R122" s="36"/>
      <c r="S122" s="36"/>
      <c r="T122" s="29"/>
      <c r="U122" s="35"/>
      <c r="V122" s="36"/>
      <c r="W122" s="36"/>
      <c r="X122" s="29"/>
      <c r="Y122" s="35"/>
      <c r="Z122" s="36"/>
      <c r="AA122" s="36"/>
      <c r="AB122" s="29"/>
      <c r="AC122" s="35"/>
      <c r="AD122" s="36"/>
      <c r="AE122" s="36"/>
      <c r="AF122" s="29"/>
      <c r="AG122" s="35"/>
      <c r="AH122" s="36"/>
      <c r="AI122" s="36"/>
      <c r="AJ122" s="29"/>
      <c r="AK122" s="35"/>
      <c r="AL122" s="36"/>
      <c r="AM122" s="36"/>
      <c r="AN122" s="29"/>
      <c r="AO122" s="29"/>
      <c r="AP122" s="29"/>
      <c r="AQ122" s="37"/>
      <c r="AR122" s="39" t="str">
        <f aca="false">IF(AN122&lt;&gt;"Yes","",IF(AO122="","SELECT RE-ENTRY STAGE","MOVE TO ACTIVE at "&amp;AO122))</f>
        <v/>
      </c>
      <c r="AS122" s="40" t="str">
        <f aca="false">IF(AN122="Yes",COUNTIF($AN$6:AN122,"Yes"),"")</f>
        <v/>
      </c>
      <c r="AT122" s="29"/>
      <c r="AU122" s="38" t="str">
        <f aca="false">IF($C122="","",IF(OR(F122="Completed",F122="Cancelled"),"",IF(AND(OR(F122="On Hold",ISNUMBER(VALUE(LEFT(H122,2)))),AT122=""),"Reason not given","")))</f>
        <v/>
      </c>
      <c r="AV122" s="30"/>
      <c r="AW122" s="30"/>
    </row>
    <row r="123" customFormat="false" ht="19.5" hidden="false" customHeight="true" outlineLevel="0" collapsed="false">
      <c r="A123" s="28" t="str">
        <f aca="false">IF($C123="","",COUNTA($C$6:$C123))</f>
        <v/>
      </c>
      <c r="B123" s="29"/>
      <c r="C123" s="30"/>
      <c r="D123" s="29"/>
      <c r="E123" s="31" t="str">
        <f aca="false">IF($C123="","",IF(NOT(OR(M123="Completed",M123="NA",M123="Cancelled")),"S1 Schematic",IF(NOT(OR(Q123="Completed",Q123="NA",Q123="Cancelled")),"S2 PCB Layout",IF(NOT(OR(U123="Completed",U123="NA",U123="Cancelled")),"S3 SI &amp; PI",IF(NOT(OR(Y123="Completed",Y123="NA",Y123="Cancelled")),"S4 Bare-PCB Fab",IF(NOT(OR(AC123="Completed",AC123="NA",AC123="Cancelled")),"S5 Assembly",IF(NOT(OR(AG123="Completed",AG123="NA",AG123="Cancelled")),"S6 Bring-up",IF(NOT(OR(AK123="Completed",AK123="NA",AK123="Cancelled")),"S7 BOM Procurement","All Stages Closed"))))))))</f>
        <v/>
      </c>
      <c r="F123" s="32" t="str">
        <f aca="false">IF($C123="","",IF(COUNTIF(M123,"Cancelled")+COUNTIF(Q123,"Cancelled")+COUNTIF(U123,"Cancelled")+COUNTIF(Y123,"Cancelled")+COUNTIF(AC123,"Cancelled")+COUNTIF(AG123,"Cancelled")+COUNTIF(AK123,"Cancelled")&gt;0,"Cancelled",IF(E123="All Stages Closed","Completed",IF(E123="S1 Schematic",M123,IF(E123="S2 PCB Layout",Q123,IF(E123="S3 SI &amp; PI",U123,IF(E123="S4 Bare-PCB Fab",Y123,IF(E123="S5 Assembly",AC123,IF(E123="S6 Bring-up",AG123,AK123)))))))))</f>
        <v/>
      </c>
      <c r="G123" s="33" t="str">
        <f aca="false">IF($C123="","",IF(E123="All Stages Closed","",IF(E123="S1 Schematic",IF(N123="","Not added",N123),IF(E123="S2 PCB Layout",IF(R123="","Not added",R123),IF(E123="S3 SI &amp; PI",IF(V123="","Not added",V123),IF(E123="S4 Bare-PCB Fab",IF(Z123="","Not added",Z123),IF(E123="S5 Assembly",IF(AD123="","Not added",AD123),IF(E123="S6 Bring-up",IF(AH123="","Not added",AH123),IF(AL123="","Not added",AL123)))))))))</f>
        <v/>
      </c>
      <c r="H123" s="32" t="str">
        <f aca="true">IF($C123="","",IF(OR(F123="Completed",F123="Cancelled"),"",IF(NOT(ISNUMBER(G123)),"No date set",IF(TODAY()&gt;G123,TODAY()-G123&amp;" days late",G123-TODAY()&amp;" days left"))))</f>
        <v/>
      </c>
      <c r="I123" s="31" t="str">
        <f aca="false">IF($C123="","",COUNTIF(M123,"Completed")+COUNTIF(Q123,"Completed")+COUNTIF(U123,"Completed")+COUNTIF(Y123,"Completed")+COUNTIF(AC123,"Completed")+COUNTIF(AG123,"Completed")+COUNTIF(AK123,"Completed"))</f>
        <v/>
      </c>
      <c r="J123" s="31" t="str">
        <f aca="false">IF($C123="","",7-(COUNTIF(M123,"NA")+COUNTIF(Q123,"NA")+COUNTIF(U123,"NA")+COUNTIF(Y123,"NA")+COUNTIF(AC123,"NA")+COUNTIF(AG123,"NA")+COUNTIF(AK123,"NA")))</f>
        <v/>
      </c>
      <c r="K123" s="34" t="str">
        <f aca="false">IFERROR(I123/J123,"")</f>
        <v/>
      </c>
      <c r="L123" s="29"/>
      <c r="M123" s="35"/>
      <c r="N123" s="36"/>
      <c r="O123" s="36"/>
      <c r="P123" s="29"/>
      <c r="Q123" s="35"/>
      <c r="R123" s="36"/>
      <c r="S123" s="36"/>
      <c r="T123" s="29"/>
      <c r="U123" s="35"/>
      <c r="V123" s="36"/>
      <c r="W123" s="36"/>
      <c r="X123" s="29"/>
      <c r="Y123" s="35"/>
      <c r="Z123" s="36"/>
      <c r="AA123" s="36"/>
      <c r="AB123" s="29"/>
      <c r="AC123" s="35"/>
      <c r="AD123" s="36"/>
      <c r="AE123" s="36"/>
      <c r="AF123" s="29"/>
      <c r="AG123" s="35"/>
      <c r="AH123" s="36"/>
      <c r="AI123" s="36"/>
      <c r="AJ123" s="29"/>
      <c r="AK123" s="35"/>
      <c r="AL123" s="36"/>
      <c r="AM123" s="36"/>
      <c r="AN123" s="29"/>
      <c r="AO123" s="29"/>
      <c r="AP123" s="29"/>
      <c r="AQ123" s="37"/>
      <c r="AR123" s="39" t="str">
        <f aca="false">IF(AN123&lt;&gt;"Yes","",IF(AO123="","SELECT RE-ENTRY STAGE","MOVE TO ACTIVE at "&amp;AO123))</f>
        <v/>
      </c>
      <c r="AS123" s="40" t="str">
        <f aca="false">IF(AN123="Yes",COUNTIF($AN$6:AN123,"Yes"),"")</f>
        <v/>
      </c>
      <c r="AT123" s="29"/>
      <c r="AU123" s="38" t="str">
        <f aca="false">IF($C123="","",IF(OR(F123="Completed",F123="Cancelled"),"",IF(AND(OR(F123="On Hold",ISNUMBER(VALUE(LEFT(H123,2)))),AT123=""),"Reason not given","")))</f>
        <v/>
      </c>
      <c r="AV123" s="30"/>
      <c r="AW123" s="30"/>
    </row>
    <row r="124" customFormat="false" ht="19.5" hidden="false" customHeight="true" outlineLevel="0" collapsed="false">
      <c r="A124" s="28" t="str">
        <f aca="false">IF($C124="","",COUNTA($C$6:$C124))</f>
        <v/>
      </c>
      <c r="B124" s="29"/>
      <c r="C124" s="30"/>
      <c r="D124" s="29"/>
      <c r="E124" s="31" t="str">
        <f aca="false">IF($C124="","",IF(NOT(OR(M124="Completed",M124="NA",M124="Cancelled")),"S1 Schematic",IF(NOT(OR(Q124="Completed",Q124="NA",Q124="Cancelled")),"S2 PCB Layout",IF(NOT(OR(U124="Completed",U124="NA",U124="Cancelled")),"S3 SI &amp; PI",IF(NOT(OR(Y124="Completed",Y124="NA",Y124="Cancelled")),"S4 Bare-PCB Fab",IF(NOT(OR(AC124="Completed",AC124="NA",AC124="Cancelled")),"S5 Assembly",IF(NOT(OR(AG124="Completed",AG124="NA",AG124="Cancelled")),"S6 Bring-up",IF(NOT(OR(AK124="Completed",AK124="NA",AK124="Cancelled")),"S7 BOM Procurement","All Stages Closed"))))))))</f>
        <v/>
      </c>
      <c r="F124" s="32" t="str">
        <f aca="false">IF($C124="","",IF(COUNTIF(M124,"Cancelled")+COUNTIF(Q124,"Cancelled")+COUNTIF(U124,"Cancelled")+COUNTIF(Y124,"Cancelled")+COUNTIF(AC124,"Cancelled")+COUNTIF(AG124,"Cancelled")+COUNTIF(AK124,"Cancelled")&gt;0,"Cancelled",IF(E124="All Stages Closed","Completed",IF(E124="S1 Schematic",M124,IF(E124="S2 PCB Layout",Q124,IF(E124="S3 SI &amp; PI",U124,IF(E124="S4 Bare-PCB Fab",Y124,IF(E124="S5 Assembly",AC124,IF(E124="S6 Bring-up",AG124,AK124)))))))))</f>
        <v/>
      </c>
      <c r="G124" s="33" t="str">
        <f aca="false">IF($C124="","",IF(E124="All Stages Closed","",IF(E124="S1 Schematic",IF(N124="","Not added",N124),IF(E124="S2 PCB Layout",IF(R124="","Not added",R124),IF(E124="S3 SI &amp; PI",IF(V124="","Not added",V124),IF(E124="S4 Bare-PCB Fab",IF(Z124="","Not added",Z124),IF(E124="S5 Assembly",IF(AD124="","Not added",AD124),IF(E124="S6 Bring-up",IF(AH124="","Not added",AH124),IF(AL124="","Not added",AL124)))))))))</f>
        <v/>
      </c>
      <c r="H124" s="32" t="str">
        <f aca="true">IF($C124="","",IF(OR(F124="Completed",F124="Cancelled"),"",IF(NOT(ISNUMBER(G124)),"No date set",IF(TODAY()&gt;G124,TODAY()-G124&amp;" days late",G124-TODAY()&amp;" days left"))))</f>
        <v/>
      </c>
      <c r="I124" s="31" t="str">
        <f aca="false">IF($C124="","",COUNTIF(M124,"Completed")+COUNTIF(Q124,"Completed")+COUNTIF(U124,"Completed")+COUNTIF(Y124,"Completed")+COUNTIF(AC124,"Completed")+COUNTIF(AG124,"Completed")+COUNTIF(AK124,"Completed"))</f>
        <v/>
      </c>
      <c r="J124" s="31" t="str">
        <f aca="false">IF($C124="","",7-(COUNTIF(M124,"NA")+COUNTIF(Q124,"NA")+COUNTIF(U124,"NA")+COUNTIF(Y124,"NA")+COUNTIF(AC124,"NA")+COUNTIF(AG124,"NA")+COUNTIF(AK124,"NA")))</f>
        <v/>
      </c>
      <c r="K124" s="34" t="str">
        <f aca="false">IFERROR(I124/J124,"")</f>
        <v/>
      </c>
      <c r="L124" s="29"/>
      <c r="M124" s="35"/>
      <c r="N124" s="36"/>
      <c r="O124" s="36"/>
      <c r="P124" s="29"/>
      <c r="Q124" s="35"/>
      <c r="R124" s="36"/>
      <c r="S124" s="36"/>
      <c r="T124" s="29"/>
      <c r="U124" s="35"/>
      <c r="V124" s="36"/>
      <c r="W124" s="36"/>
      <c r="X124" s="29"/>
      <c r="Y124" s="35"/>
      <c r="Z124" s="36"/>
      <c r="AA124" s="36"/>
      <c r="AB124" s="29"/>
      <c r="AC124" s="35"/>
      <c r="AD124" s="36"/>
      <c r="AE124" s="36"/>
      <c r="AF124" s="29"/>
      <c r="AG124" s="35"/>
      <c r="AH124" s="36"/>
      <c r="AI124" s="36"/>
      <c r="AJ124" s="29"/>
      <c r="AK124" s="35"/>
      <c r="AL124" s="36"/>
      <c r="AM124" s="36"/>
      <c r="AN124" s="29"/>
      <c r="AO124" s="29"/>
      <c r="AP124" s="29"/>
      <c r="AQ124" s="37"/>
      <c r="AR124" s="39" t="str">
        <f aca="false">IF(AN124&lt;&gt;"Yes","",IF(AO124="","SELECT RE-ENTRY STAGE","MOVE TO ACTIVE at "&amp;AO124))</f>
        <v/>
      </c>
      <c r="AS124" s="40" t="str">
        <f aca="false">IF(AN124="Yes",COUNTIF($AN$6:AN124,"Yes"),"")</f>
        <v/>
      </c>
      <c r="AT124" s="29"/>
      <c r="AU124" s="38" t="str">
        <f aca="false">IF($C124="","",IF(OR(F124="Completed",F124="Cancelled"),"",IF(AND(OR(F124="On Hold",ISNUMBER(VALUE(LEFT(H124,2)))),AT124=""),"Reason not given","")))</f>
        <v/>
      </c>
      <c r="AV124" s="30"/>
      <c r="AW124" s="30"/>
    </row>
    <row r="125" customFormat="false" ht="19.5" hidden="false" customHeight="true" outlineLevel="0" collapsed="false">
      <c r="A125" s="28" t="str">
        <f aca="false">IF($C125="","",COUNTA($C$6:$C125))</f>
        <v/>
      </c>
      <c r="B125" s="29"/>
      <c r="C125" s="30"/>
      <c r="D125" s="29"/>
      <c r="E125" s="31" t="str">
        <f aca="false">IF($C125="","",IF(NOT(OR(M125="Completed",M125="NA",M125="Cancelled")),"S1 Schematic",IF(NOT(OR(Q125="Completed",Q125="NA",Q125="Cancelled")),"S2 PCB Layout",IF(NOT(OR(U125="Completed",U125="NA",U125="Cancelled")),"S3 SI &amp; PI",IF(NOT(OR(Y125="Completed",Y125="NA",Y125="Cancelled")),"S4 Bare-PCB Fab",IF(NOT(OR(AC125="Completed",AC125="NA",AC125="Cancelled")),"S5 Assembly",IF(NOT(OR(AG125="Completed",AG125="NA",AG125="Cancelled")),"S6 Bring-up",IF(NOT(OR(AK125="Completed",AK125="NA",AK125="Cancelled")),"S7 BOM Procurement","All Stages Closed"))))))))</f>
        <v/>
      </c>
      <c r="F125" s="32" t="str">
        <f aca="false">IF($C125="","",IF(COUNTIF(M125,"Cancelled")+COUNTIF(Q125,"Cancelled")+COUNTIF(U125,"Cancelled")+COUNTIF(Y125,"Cancelled")+COUNTIF(AC125,"Cancelled")+COUNTIF(AG125,"Cancelled")+COUNTIF(AK125,"Cancelled")&gt;0,"Cancelled",IF(E125="All Stages Closed","Completed",IF(E125="S1 Schematic",M125,IF(E125="S2 PCB Layout",Q125,IF(E125="S3 SI &amp; PI",U125,IF(E125="S4 Bare-PCB Fab",Y125,IF(E125="S5 Assembly",AC125,IF(E125="S6 Bring-up",AG125,AK125)))))))))</f>
        <v/>
      </c>
      <c r="G125" s="33" t="str">
        <f aca="false">IF($C125="","",IF(E125="All Stages Closed","",IF(E125="S1 Schematic",IF(N125="","Not added",N125),IF(E125="S2 PCB Layout",IF(R125="","Not added",R125),IF(E125="S3 SI &amp; PI",IF(V125="","Not added",V125),IF(E125="S4 Bare-PCB Fab",IF(Z125="","Not added",Z125),IF(E125="S5 Assembly",IF(AD125="","Not added",AD125),IF(E125="S6 Bring-up",IF(AH125="","Not added",AH125),IF(AL125="","Not added",AL125)))))))))</f>
        <v/>
      </c>
      <c r="H125" s="32" t="str">
        <f aca="true">IF($C125="","",IF(OR(F125="Completed",F125="Cancelled"),"",IF(NOT(ISNUMBER(G125)),"No date set",IF(TODAY()&gt;G125,TODAY()-G125&amp;" days late",G125-TODAY()&amp;" days left"))))</f>
        <v/>
      </c>
      <c r="I125" s="31" t="str">
        <f aca="false">IF($C125="","",COUNTIF(M125,"Completed")+COUNTIF(Q125,"Completed")+COUNTIF(U125,"Completed")+COUNTIF(Y125,"Completed")+COUNTIF(AC125,"Completed")+COUNTIF(AG125,"Completed")+COUNTIF(AK125,"Completed"))</f>
        <v/>
      </c>
      <c r="J125" s="31" t="str">
        <f aca="false">IF($C125="","",7-(COUNTIF(M125,"NA")+COUNTIF(Q125,"NA")+COUNTIF(U125,"NA")+COUNTIF(Y125,"NA")+COUNTIF(AC125,"NA")+COUNTIF(AG125,"NA")+COUNTIF(AK125,"NA")))</f>
        <v/>
      </c>
      <c r="K125" s="34" t="str">
        <f aca="false">IFERROR(I125/J125,"")</f>
        <v/>
      </c>
      <c r="L125" s="29"/>
      <c r="M125" s="35"/>
      <c r="N125" s="36"/>
      <c r="O125" s="36"/>
      <c r="P125" s="29"/>
      <c r="Q125" s="35"/>
      <c r="R125" s="36"/>
      <c r="S125" s="36"/>
      <c r="T125" s="29"/>
      <c r="U125" s="35"/>
      <c r="V125" s="36"/>
      <c r="W125" s="36"/>
      <c r="X125" s="29"/>
      <c r="Y125" s="35"/>
      <c r="Z125" s="36"/>
      <c r="AA125" s="36"/>
      <c r="AB125" s="29"/>
      <c r="AC125" s="35"/>
      <c r="AD125" s="36"/>
      <c r="AE125" s="36"/>
      <c r="AF125" s="29"/>
      <c r="AG125" s="35"/>
      <c r="AH125" s="36"/>
      <c r="AI125" s="36"/>
      <c r="AJ125" s="29"/>
      <c r="AK125" s="35"/>
      <c r="AL125" s="36"/>
      <c r="AM125" s="36"/>
      <c r="AN125" s="29"/>
      <c r="AO125" s="29"/>
      <c r="AP125" s="29"/>
      <c r="AQ125" s="37"/>
      <c r="AR125" s="39" t="str">
        <f aca="false">IF(AN125&lt;&gt;"Yes","",IF(AO125="","SELECT RE-ENTRY STAGE","MOVE TO ACTIVE at "&amp;AO125))</f>
        <v/>
      </c>
      <c r="AS125" s="40" t="str">
        <f aca="false">IF(AN125="Yes",COUNTIF($AN$6:AN125,"Yes"),"")</f>
        <v/>
      </c>
      <c r="AT125" s="29"/>
      <c r="AU125" s="38" t="str">
        <f aca="false">IF($C125="","",IF(OR(F125="Completed",F125="Cancelled"),"",IF(AND(OR(F125="On Hold",ISNUMBER(VALUE(LEFT(H125,2)))),AT125=""),"Reason not given","")))</f>
        <v/>
      </c>
      <c r="AV125" s="30"/>
      <c r="AW125" s="30"/>
    </row>
    <row r="126" customFormat="false" ht="19.5" hidden="false" customHeight="true" outlineLevel="0" collapsed="false">
      <c r="A126" s="28" t="str">
        <f aca="false">IF($C126="","",COUNTA($C$6:$C126))</f>
        <v/>
      </c>
      <c r="B126" s="29"/>
      <c r="C126" s="30"/>
      <c r="D126" s="29"/>
      <c r="E126" s="31" t="str">
        <f aca="false">IF($C126="","",IF(NOT(OR(M126="Completed",M126="NA",M126="Cancelled")),"S1 Schematic",IF(NOT(OR(Q126="Completed",Q126="NA",Q126="Cancelled")),"S2 PCB Layout",IF(NOT(OR(U126="Completed",U126="NA",U126="Cancelled")),"S3 SI &amp; PI",IF(NOT(OR(Y126="Completed",Y126="NA",Y126="Cancelled")),"S4 Bare-PCB Fab",IF(NOT(OR(AC126="Completed",AC126="NA",AC126="Cancelled")),"S5 Assembly",IF(NOT(OR(AG126="Completed",AG126="NA",AG126="Cancelled")),"S6 Bring-up",IF(NOT(OR(AK126="Completed",AK126="NA",AK126="Cancelled")),"S7 BOM Procurement","All Stages Closed"))))))))</f>
        <v/>
      </c>
      <c r="F126" s="32" t="str">
        <f aca="false">IF($C126="","",IF(COUNTIF(M126,"Cancelled")+COUNTIF(Q126,"Cancelled")+COUNTIF(U126,"Cancelled")+COUNTIF(Y126,"Cancelled")+COUNTIF(AC126,"Cancelled")+COUNTIF(AG126,"Cancelled")+COUNTIF(AK126,"Cancelled")&gt;0,"Cancelled",IF(E126="All Stages Closed","Completed",IF(E126="S1 Schematic",M126,IF(E126="S2 PCB Layout",Q126,IF(E126="S3 SI &amp; PI",U126,IF(E126="S4 Bare-PCB Fab",Y126,IF(E126="S5 Assembly",AC126,IF(E126="S6 Bring-up",AG126,AK126)))))))))</f>
        <v/>
      </c>
      <c r="G126" s="33" t="str">
        <f aca="false">IF($C126="","",IF(E126="All Stages Closed","",IF(E126="S1 Schematic",IF(N126="","Not added",N126),IF(E126="S2 PCB Layout",IF(R126="","Not added",R126),IF(E126="S3 SI &amp; PI",IF(V126="","Not added",V126),IF(E126="S4 Bare-PCB Fab",IF(Z126="","Not added",Z126),IF(E126="S5 Assembly",IF(AD126="","Not added",AD126),IF(E126="S6 Bring-up",IF(AH126="","Not added",AH126),IF(AL126="","Not added",AL126)))))))))</f>
        <v/>
      </c>
      <c r="H126" s="32" t="str">
        <f aca="true">IF($C126="","",IF(OR(F126="Completed",F126="Cancelled"),"",IF(NOT(ISNUMBER(G126)),"No date set",IF(TODAY()&gt;G126,TODAY()-G126&amp;" days late",G126-TODAY()&amp;" days left"))))</f>
        <v/>
      </c>
      <c r="I126" s="31" t="str">
        <f aca="false">IF($C126="","",COUNTIF(M126,"Completed")+COUNTIF(Q126,"Completed")+COUNTIF(U126,"Completed")+COUNTIF(Y126,"Completed")+COUNTIF(AC126,"Completed")+COUNTIF(AG126,"Completed")+COUNTIF(AK126,"Completed"))</f>
        <v/>
      </c>
      <c r="J126" s="31" t="str">
        <f aca="false">IF($C126="","",7-(COUNTIF(M126,"NA")+COUNTIF(Q126,"NA")+COUNTIF(U126,"NA")+COUNTIF(Y126,"NA")+COUNTIF(AC126,"NA")+COUNTIF(AG126,"NA")+COUNTIF(AK126,"NA")))</f>
        <v/>
      </c>
      <c r="K126" s="34" t="str">
        <f aca="false">IFERROR(I126/J126,"")</f>
        <v/>
      </c>
      <c r="L126" s="29"/>
      <c r="M126" s="35"/>
      <c r="N126" s="36"/>
      <c r="O126" s="36"/>
      <c r="P126" s="29"/>
      <c r="Q126" s="35"/>
      <c r="R126" s="36"/>
      <c r="S126" s="36"/>
      <c r="T126" s="29"/>
      <c r="U126" s="35"/>
      <c r="V126" s="36"/>
      <c r="W126" s="36"/>
      <c r="X126" s="29"/>
      <c r="Y126" s="35"/>
      <c r="Z126" s="36"/>
      <c r="AA126" s="36"/>
      <c r="AB126" s="29"/>
      <c r="AC126" s="35"/>
      <c r="AD126" s="36"/>
      <c r="AE126" s="36"/>
      <c r="AF126" s="29"/>
      <c r="AG126" s="35"/>
      <c r="AH126" s="36"/>
      <c r="AI126" s="36"/>
      <c r="AJ126" s="29"/>
      <c r="AK126" s="35"/>
      <c r="AL126" s="36"/>
      <c r="AM126" s="36"/>
      <c r="AN126" s="29"/>
      <c r="AO126" s="29"/>
      <c r="AP126" s="29"/>
      <c r="AQ126" s="37"/>
      <c r="AR126" s="39" t="str">
        <f aca="false">IF(AN126&lt;&gt;"Yes","",IF(AO126="","SELECT RE-ENTRY STAGE","MOVE TO ACTIVE at "&amp;AO126))</f>
        <v/>
      </c>
      <c r="AS126" s="40" t="str">
        <f aca="false">IF(AN126="Yes",COUNTIF($AN$6:AN126,"Yes"),"")</f>
        <v/>
      </c>
      <c r="AT126" s="29"/>
      <c r="AU126" s="38" t="str">
        <f aca="false">IF($C126="","",IF(OR(F126="Completed",F126="Cancelled"),"",IF(AND(OR(F126="On Hold",ISNUMBER(VALUE(LEFT(H126,2)))),AT126=""),"Reason not given","")))</f>
        <v/>
      </c>
      <c r="AV126" s="30"/>
      <c r="AW126" s="30"/>
    </row>
    <row r="127" customFormat="false" ht="19.5" hidden="false" customHeight="true" outlineLevel="0" collapsed="false">
      <c r="A127" s="28" t="str">
        <f aca="false">IF($C127="","",COUNTA($C$6:$C127))</f>
        <v/>
      </c>
      <c r="B127" s="29"/>
      <c r="C127" s="30"/>
      <c r="D127" s="29"/>
      <c r="E127" s="31" t="str">
        <f aca="false">IF($C127="","",IF(NOT(OR(M127="Completed",M127="NA",M127="Cancelled")),"S1 Schematic",IF(NOT(OR(Q127="Completed",Q127="NA",Q127="Cancelled")),"S2 PCB Layout",IF(NOT(OR(U127="Completed",U127="NA",U127="Cancelled")),"S3 SI &amp; PI",IF(NOT(OR(Y127="Completed",Y127="NA",Y127="Cancelled")),"S4 Bare-PCB Fab",IF(NOT(OR(AC127="Completed",AC127="NA",AC127="Cancelled")),"S5 Assembly",IF(NOT(OR(AG127="Completed",AG127="NA",AG127="Cancelled")),"S6 Bring-up",IF(NOT(OR(AK127="Completed",AK127="NA",AK127="Cancelled")),"S7 BOM Procurement","All Stages Closed"))))))))</f>
        <v/>
      </c>
      <c r="F127" s="32" t="str">
        <f aca="false">IF($C127="","",IF(COUNTIF(M127,"Cancelled")+COUNTIF(Q127,"Cancelled")+COUNTIF(U127,"Cancelled")+COUNTIF(Y127,"Cancelled")+COUNTIF(AC127,"Cancelled")+COUNTIF(AG127,"Cancelled")+COUNTIF(AK127,"Cancelled")&gt;0,"Cancelled",IF(E127="All Stages Closed","Completed",IF(E127="S1 Schematic",M127,IF(E127="S2 PCB Layout",Q127,IF(E127="S3 SI &amp; PI",U127,IF(E127="S4 Bare-PCB Fab",Y127,IF(E127="S5 Assembly",AC127,IF(E127="S6 Bring-up",AG127,AK127)))))))))</f>
        <v/>
      </c>
      <c r="G127" s="33" t="str">
        <f aca="false">IF($C127="","",IF(E127="All Stages Closed","",IF(E127="S1 Schematic",IF(N127="","Not added",N127),IF(E127="S2 PCB Layout",IF(R127="","Not added",R127),IF(E127="S3 SI &amp; PI",IF(V127="","Not added",V127),IF(E127="S4 Bare-PCB Fab",IF(Z127="","Not added",Z127),IF(E127="S5 Assembly",IF(AD127="","Not added",AD127),IF(E127="S6 Bring-up",IF(AH127="","Not added",AH127),IF(AL127="","Not added",AL127)))))))))</f>
        <v/>
      </c>
      <c r="H127" s="32" t="str">
        <f aca="true">IF($C127="","",IF(OR(F127="Completed",F127="Cancelled"),"",IF(NOT(ISNUMBER(G127)),"No date set",IF(TODAY()&gt;G127,TODAY()-G127&amp;" days late",G127-TODAY()&amp;" days left"))))</f>
        <v/>
      </c>
      <c r="I127" s="31" t="str">
        <f aca="false">IF($C127="","",COUNTIF(M127,"Completed")+COUNTIF(Q127,"Completed")+COUNTIF(U127,"Completed")+COUNTIF(Y127,"Completed")+COUNTIF(AC127,"Completed")+COUNTIF(AG127,"Completed")+COUNTIF(AK127,"Completed"))</f>
        <v/>
      </c>
      <c r="J127" s="31" t="str">
        <f aca="false">IF($C127="","",7-(COUNTIF(M127,"NA")+COUNTIF(Q127,"NA")+COUNTIF(U127,"NA")+COUNTIF(Y127,"NA")+COUNTIF(AC127,"NA")+COUNTIF(AG127,"NA")+COUNTIF(AK127,"NA")))</f>
        <v/>
      </c>
      <c r="K127" s="34" t="str">
        <f aca="false">IFERROR(I127/J127,"")</f>
        <v/>
      </c>
      <c r="L127" s="29"/>
      <c r="M127" s="35"/>
      <c r="N127" s="36"/>
      <c r="O127" s="36"/>
      <c r="P127" s="29"/>
      <c r="Q127" s="35"/>
      <c r="R127" s="36"/>
      <c r="S127" s="36"/>
      <c r="T127" s="29"/>
      <c r="U127" s="35"/>
      <c r="V127" s="36"/>
      <c r="W127" s="36"/>
      <c r="X127" s="29"/>
      <c r="Y127" s="35"/>
      <c r="Z127" s="36"/>
      <c r="AA127" s="36"/>
      <c r="AB127" s="29"/>
      <c r="AC127" s="35"/>
      <c r="AD127" s="36"/>
      <c r="AE127" s="36"/>
      <c r="AF127" s="29"/>
      <c r="AG127" s="35"/>
      <c r="AH127" s="36"/>
      <c r="AI127" s="36"/>
      <c r="AJ127" s="29"/>
      <c r="AK127" s="35"/>
      <c r="AL127" s="36"/>
      <c r="AM127" s="36"/>
      <c r="AN127" s="29"/>
      <c r="AO127" s="29"/>
      <c r="AP127" s="29"/>
      <c r="AQ127" s="37"/>
      <c r="AR127" s="39" t="str">
        <f aca="false">IF(AN127&lt;&gt;"Yes","",IF(AO127="","SELECT RE-ENTRY STAGE","MOVE TO ACTIVE at "&amp;AO127))</f>
        <v/>
      </c>
      <c r="AS127" s="40" t="str">
        <f aca="false">IF(AN127="Yes",COUNTIF($AN$6:AN127,"Yes"),"")</f>
        <v/>
      </c>
      <c r="AT127" s="29"/>
      <c r="AU127" s="38" t="str">
        <f aca="false">IF($C127="","",IF(OR(F127="Completed",F127="Cancelled"),"",IF(AND(OR(F127="On Hold",ISNUMBER(VALUE(LEFT(H127,2)))),AT127=""),"Reason not given","")))</f>
        <v/>
      </c>
      <c r="AV127" s="30"/>
      <c r="AW127" s="30"/>
    </row>
    <row r="128" customFormat="false" ht="19.5" hidden="false" customHeight="true" outlineLevel="0" collapsed="false">
      <c r="A128" s="28" t="str">
        <f aca="false">IF($C128="","",COUNTA($C$6:$C128))</f>
        <v/>
      </c>
      <c r="B128" s="29"/>
      <c r="C128" s="30"/>
      <c r="D128" s="29"/>
      <c r="E128" s="31" t="str">
        <f aca="false">IF($C128="","",IF(NOT(OR(M128="Completed",M128="NA",M128="Cancelled")),"S1 Schematic",IF(NOT(OR(Q128="Completed",Q128="NA",Q128="Cancelled")),"S2 PCB Layout",IF(NOT(OR(U128="Completed",U128="NA",U128="Cancelled")),"S3 SI &amp; PI",IF(NOT(OR(Y128="Completed",Y128="NA",Y128="Cancelled")),"S4 Bare-PCB Fab",IF(NOT(OR(AC128="Completed",AC128="NA",AC128="Cancelled")),"S5 Assembly",IF(NOT(OR(AG128="Completed",AG128="NA",AG128="Cancelled")),"S6 Bring-up",IF(NOT(OR(AK128="Completed",AK128="NA",AK128="Cancelled")),"S7 BOM Procurement","All Stages Closed"))))))))</f>
        <v/>
      </c>
      <c r="F128" s="32" t="str">
        <f aca="false">IF($C128="","",IF(COUNTIF(M128,"Cancelled")+COUNTIF(Q128,"Cancelled")+COUNTIF(U128,"Cancelled")+COUNTIF(Y128,"Cancelled")+COUNTIF(AC128,"Cancelled")+COUNTIF(AG128,"Cancelled")+COUNTIF(AK128,"Cancelled")&gt;0,"Cancelled",IF(E128="All Stages Closed","Completed",IF(E128="S1 Schematic",M128,IF(E128="S2 PCB Layout",Q128,IF(E128="S3 SI &amp; PI",U128,IF(E128="S4 Bare-PCB Fab",Y128,IF(E128="S5 Assembly",AC128,IF(E128="S6 Bring-up",AG128,AK128)))))))))</f>
        <v/>
      </c>
      <c r="G128" s="33" t="str">
        <f aca="false">IF($C128="","",IF(E128="All Stages Closed","",IF(E128="S1 Schematic",IF(N128="","Not added",N128),IF(E128="S2 PCB Layout",IF(R128="","Not added",R128),IF(E128="S3 SI &amp; PI",IF(V128="","Not added",V128),IF(E128="S4 Bare-PCB Fab",IF(Z128="","Not added",Z128),IF(E128="S5 Assembly",IF(AD128="","Not added",AD128),IF(E128="S6 Bring-up",IF(AH128="","Not added",AH128),IF(AL128="","Not added",AL128)))))))))</f>
        <v/>
      </c>
      <c r="H128" s="32" t="str">
        <f aca="true">IF($C128="","",IF(OR(F128="Completed",F128="Cancelled"),"",IF(NOT(ISNUMBER(G128)),"No date set",IF(TODAY()&gt;G128,TODAY()-G128&amp;" days late",G128-TODAY()&amp;" days left"))))</f>
        <v/>
      </c>
      <c r="I128" s="31" t="str">
        <f aca="false">IF($C128="","",COUNTIF(M128,"Completed")+COUNTIF(Q128,"Completed")+COUNTIF(U128,"Completed")+COUNTIF(Y128,"Completed")+COUNTIF(AC128,"Completed")+COUNTIF(AG128,"Completed")+COUNTIF(AK128,"Completed"))</f>
        <v/>
      </c>
      <c r="J128" s="31" t="str">
        <f aca="false">IF($C128="","",7-(COUNTIF(M128,"NA")+COUNTIF(Q128,"NA")+COUNTIF(U128,"NA")+COUNTIF(Y128,"NA")+COUNTIF(AC128,"NA")+COUNTIF(AG128,"NA")+COUNTIF(AK128,"NA")))</f>
        <v/>
      </c>
      <c r="K128" s="34" t="str">
        <f aca="false">IFERROR(I128/J128,"")</f>
        <v/>
      </c>
      <c r="L128" s="29"/>
      <c r="M128" s="35"/>
      <c r="N128" s="36"/>
      <c r="O128" s="36"/>
      <c r="P128" s="29"/>
      <c r="Q128" s="35"/>
      <c r="R128" s="36"/>
      <c r="S128" s="36"/>
      <c r="T128" s="29"/>
      <c r="U128" s="35"/>
      <c r="V128" s="36"/>
      <c r="W128" s="36"/>
      <c r="X128" s="29"/>
      <c r="Y128" s="35"/>
      <c r="Z128" s="36"/>
      <c r="AA128" s="36"/>
      <c r="AB128" s="29"/>
      <c r="AC128" s="35"/>
      <c r="AD128" s="36"/>
      <c r="AE128" s="36"/>
      <c r="AF128" s="29"/>
      <c r="AG128" s="35"/>
      <c r="AH128" s="36"/>
      <c r="AI128" s="36"/>
      <c r="AJ128" s="29"/>
      <c r="AK128" s="35"/>
      <c r="AL128" s="36"/>
      <c r="AM128" s="36"/>
      <c r="AN128" s="29"/>
      <c r="AO128" s="29"/>
      <c r="AP128" s="29"/>
      <c r="AQ128" s="37"/>
      <c r="AR128" s="39" t="str">
        <f aca="false">IF(AN128&lt;&gt;"Yes","",IF(AO128="","SELECT RE-ENTRY STAGE","MOVE TO ACTIVE at "&amp;AO128))</f>
        <v/>
      </c>
      <c r="AS128" s="40" t="str">
        <f aca="false">IF(AN128="Yes",COUNTIF($AN$6:AN128,"Yes"),"")</f>
        <v/>
      </c>
      <c r="AT128" s="29"/>
      <c r="AU128" s="38" t="str">
        <f aca="false">IF($C128="","",IF(OR(F128="Completed",F128="Cancelled"),"",IF(AND(OR(F128="On Hold",ISNUMBER(VALUE(LEFT(H128,2)))),AT128=""),"Reason not given","")))</f>
        <v/>
      </c>
      <c r="AV128" s="30"/>
      <c r="AW128" s="30"/>
    </row>
    <row r="129" customFormat="false" ht="19.5" hidden="false" customHeight="true" outlineLevel="0" collapsed="false">
      <c r="A129" s="28" t="str">
        <f aca="false">IF($C129="","",COUNTA($C$6:$C129))</f>
        <v/>
      </c>
      <c r="B129" s="29"/>
      <c r="C129" s="30"/>
      <c r="D129" s="29"/>
      <c r="E129" s="31" t="str">
        <f aca="false">IF($C129="","",IF(NOT(OR(M129="Completed",M129="NA",M129="Cancelled")),"S1 Schematic",IF(NOT(OR(Q129="Completed",Q129="NA",Q129="Cancelled")),"S2 PCB Layout",IF(NOT(OR(U129="Completed",U129="NA",U129="Cancelled")),"S3 SI &amp; PI",IF(NOT(OR(Y129="Completed",Y129="NA",Y129="Cancelled")),"S4 Bare-PCB Fab",IF(NOT(OR(AC129="Completed",AC129="NA",AC129="Cancelled")),"S5 Assembly",IF(NOT(OR(AG129="Completed",AG129="NA",AG129="Cancelled")),"S6 Bring-up",IF(NOT(OR(AK129="Completed",AK129="NA",AK129="Cancelled")),"S7 BOM Procurement","All Stages Closed"))))))))</f>
        <v/>
      </c>
      <c r="F129" s="32" t="str">
        <f aca="false">IF($C129="","",IF(COUNTIF(M129,"Cancelled")+COUNTIF(Q129,"Cancelled")+COUNTIF(U129,"Cancelled")+COUNTIF(Y129,"Cancelled")+COUNTIF(AC129,"Cancelled")+COUNTIF(AG129,"Cancelled")+COUNTIF(AK129,"Cancelled")&gt;0,"Cancelled",IF(E129="All Stages Closed","Completed",IF(E129="S1 Schematic",M129,IF(E129="S2 PCB Layout",Q129,IF(E129="S3 SI &amp; PI",U129,IF(E129="S4 Bare-PCB Fab",Y129,IF(E129="S5 Assembly",AC129,IF(E129="S6 Bring-up",AG129,AK129)))))))))</f>
        <v/>
      </c>
      <c r="G129" s="33" t="str">
        <f aca="false">IF($C129="","",IF(E129="All Stages Closed","",IF(E129="S1 Schematic",IF(N129="","Not added",N129),IF(E129="S2 PCB Layout",IF(R129="","Not added",R129),IF(E129="S3 SI &amp; PI",IF(V129="","Not added",V129),IF(E129="S4 Bare-PCB Fab",IF(Z129="","Not added",Z129),IF(E129="S5 Assembly",IF(AD129="","Not added",AD129),IF(E129="S6 Bring-up",IF(AH129="","Not added",AH129),IF(AL129="","Not added",AL129)))))))))</f>
        <v/>
      </c>
      <c r="H129" s="32" t="str">
        <f aca="true">IF($C129="","",IF(OR(F129="Completed",F129="Cancelled"),"",IF(NOT(ISNUMBER(G129)),"No date set",IF(TODAY()&gt;G129,TODAY()-G129&amp;" days late",G129-TODAY()&amp;" days left"))))</f>
        <v/>
      </c>
      <c r="I129" s="31" t="str">
        <f aca="false">IF($C129="","",COUNTIF(M129,"Completed")+COUNTIF(Q129,"Completed")+COUNTIF(U129,"Completed")+COUNTIF(Y129,"Completed")+COUNTIF(AC129,"Completed")+COUNTIF(AG129,"Completed")+COUNTIF(AK129,"Completed"))</f>
        <v/>
      </c>
      <c r="J129" s="31" t="str">
        <f aca="false">IF($C129="","",7-(COUNTIF(M129,"NA")+COUNTIF(Q129,"NA")+COUNTIF(U129,"NA")+COUNTIF(Y129,"NA")+COUNTIF(AC129,"NA")+COUNTIF(AG129,"NA")+COUNTIF(AK129,"NA")))</f>
        <v/>
      </c>
      <c r="K129" s="34" t="str">
        <f aca="false">IFERROR(I129/J129,"")</f>
        <v/>
      </c>
      <c r="L129" s="29"/>
      <c r="M129" s="35"/>
      <c r="N129" s="36"/>
      <c r="O129" s="36"/>
      <c r="P129" s="29"/>
      <c r="Q129" s="35"/>
      <c r="R129" s="36"/>
      <c r="S129" s="36"/>
      <c r="T129" s="29"/>
      <c r="U129" s="35"/>
      <c r="V129" s="36"/>
      <c r="W129" s="36"/>
      <c r="X129" s="29"/>
      <c r="Y129" s="35"/>
      <c r="Z129" s="36"/>
      <c r="AA129" s="36"/>
      <c r="AB129" s="29"/>
      <c r="AC129" s="35"/>
      <c r="AD129" s="36"/>
      <c r="AE129" s="36"/>
      <c r="AF129" s="29"/>
      <c r="AG129" s="35"/>
      <c r="AH129" s="36"/>
      <c r="AI129" s="36"/>
      <c r="AJ129" s="29"/>
      <c r="AK129" s="35"/>
      <c r="AL129" s="36"/>
      <c r="AM129" s="36"/>
      <c r="AN129" s="29"/>
      <c r="AO129" s="29"/>
      <c r="AP129" s="29"/>
      <c r="AQ129" s="37"/>
      <c r="AR129" s="39" t="str">
        <f aca="false">IF(AN129&lt;&gt;"Yes","",IF(AO129="","SELECT RE-ENTRY STAGE","MOVE TO ACTIVE at "&amp;AO129))</f>
        <v/>
      </c>
      <c r="AS129" s="40" t="str">
        <f aca="false">IF(AN129="Yes",COUNTIF($AN$6:AN129,"Yes"),"")</f>
        <v/>
      </c>
      <c r="AT129" s="29"/>
      <c r="AU129" s="38" t="str">
        <f aca="false">IF($C129="","",IF(OR(F129="Completed",F129="Cancelled"),"",IF(AND(OR(F129="On Hold",ISNUMBER(VALUE(LEFT(H129,2)))),AT129=""),"Reason not given","")))</f>
        <v/>
      </c>
      <c r="AV129" s="30"/>
      <c r="AW129" s="30"/>
    </row>
    <row r="130" customFormat="false" ht="19.5" hidden="false" customHeight="true" outlineLevel="0" collapsed="false">
      <c r="A130" s="28" t="str">
        <f aca="false">IF($C130="","",COUNTA($C$6:$C130))</f>
        <v/>
      </c>
      <c r="B130" s="29"/>
      <c r="C130" s="30"/>
      <c r="D130" s="29"/>
      <c r="E130" s="31" t="str">
        <f aca="false">IF($C130="","",IF(NOT(OR(M130="Completed",M130="NA",M130="Cancelled")),"S1 Schematic",IF(NOT(OR(Q130="Completed",Q130="NA",Q130="Cancelled")),"S2 PCB Layout",IF(NOT(OR(U130="Completed",U130="NA",U130="Cancelled")),"S3 SI &amp; PI",IF(NOT(OR(Y130="Completed",Y130="NA",Y130="Cancelled")),"S4 Bare-PCB Fab",IF(NOT(OR(AC130="Completed",AC130="NA",AC130="Cancelled")),"S5 Assembly",IF(NOT(OR(AG130="Completed",AG130="NA",AG130="Cancelled")),"S6 Bring-up",IF(NOT(OR(AK130="Completed",AK130="NA",AK130="Cancelled")),"S7 BOM Procurement","All Stages Closed"))))))))</f>
        <v/>
      </c>
      <c r="F130" s="32" t="str">
        <f aca="false">IF($C130="","",IF(COUNTIF(M130,"Cancelled")+COUNTIF(Q130,"Cancelled")+COUNTIF(U130,"Cancelled")+COUNTIF(Y130,"Cancelled")+COUNTIF(AC130,"Cancelled")+COUNTIF(AG130,"Cancelled")+COUNTIF(AK130,"Cancelled")&gt;0,"Cancelled",IF(E130="All Stages Closed","Completed",IF(E130="S1 Schematic",M130,IF(E130="S2 PCB Layout",Q130,IF(E130="S3 SI &amp; PI",U130,IF(E130="S4 Bare-PCB Fab",Y130,IF(E130="S5 Assembly",AC130,IF(E130="S6 Bring-up",AG130,AK130)))))))))</f>
        <v/>
      </c>
      <c r="G130" s="33" t="str">
        <f aca="false">IF($C130="","",IF(E130="All Stages Closed","",IF(E130="S1 Schematic",IF(N130="","Not added",N130),IF(E130="S2 PCB Layout",IF(R130="","Not added",R130),IF(E130="S3 SI &amp; PI",IF(V130="","Not added",V130),IF(E130="S4 Bare-PCB Fab",IF(Z130="","Not added",Z130),IF(E130="S5 Assembly",IF(AD130="","Not added",AD130),IF(E130="S6 Bring-up",IF(AH130="","Not added",AH130),IF(AL130="","Not added",AL130)))))))))</f>
        <v/>
      </c>
      <c r="H130" s="32" t="str">
        <f aca="true">IF($C130="","",IF(OR(F130="Completed",F130="Cancelled"),"",IF(NOT(ISNUMBER(G130)),"No date set",IF(TODAY()&gt;G130,TODAY()-G130&amp;" days late",G130-TODAY()&amp;" days left"))))</f>
        <v/>
      </c>
      <c r="I130" s="31" t="str">
        <f aca="false">IF($C130="","",COUNTIF(M130,"Completed")+COUNTIF(Q130,"Completed")+COUNTIF(U130,"Completed")+COUNTIF(Y130,"Completed")+COUNTIF(AC130,"Completed")+COUNTIF(AG130,"Completed")+COUNTIF(AK130,"Completed"))</f>
        <v/>
      </c>
      <c r="J130" s="31" t="str">
        <f aca="false">IF($C130="","",7-(COUNTIF(M130,"NA")+COUNTIF(Q130,"NA")+COUNTIF(U130,"NA")+COUNTIF(Y130,"NA")+COUNTIF(AC130,"NA")+COUNTIF(AG130,"NA")+COUNTIF(AK130,"NA")))</f>
        <v/>
      </c>
      <c r="K130" s="34" t="str">
        <f aca="false">IFERROR(I130/J130,"")</f>
        <v/>
      </c>
      <c r="L130" s="29"/>
      <c r="M130" s="35"/>
      <c r="N130" s="36"/>
      <c r="O130" s="36"/>
      <c r="P130" s="29"/>
      <c r="Q130" s="35"/>
      <c r="R130" s="36"/>
      <c r="S130" s="36"/>
      <c r="T130" s="29"/>
      <c r="U130" s="35"/>
      <c r="V130" s="36"/>
      <c r="W130" s="36"/>
      <c r="X130" s="29"/>
      <c r="Y130" s="35"/>
      <c r="Z130" s="36"/>
      <c r="AA130" s="36"/>
      <c r="AB130" s="29"/>
      <c r="AC130" s="35"/>
      <c r="AD130" s="36"/>
      <c r="AE130" s="36"/>
      <c r="AF130" s="29"/>
      <c r="AG130" s="35"/>
      <c r="AH130" s="36"/>
      <c r="AI130" s="36"/>
      <c r="AJ130" s="29"/>
      <c r="AK130" s="35"/>
      <c r="AL130" s="36"/>
      <c r="AM130" s="36"/>
      <c r="AN130" s="29"/>
      <c r="AO130" s="29"/>
      <c r="AP130" s="29"/>
      <c r="AQ130" s="37"/>
      <c r="AR130" s="39" t="str">
        <f aca="false">IF(AN130&lt;&gt;"Yes","",IF(AO130="","SELECT RE-ENTRY STAGE","MOVE TO ACTIVE at "&amp;AO130))</f>
        <v/>
      </c>
      <c r="AS130" s="40" t="str">
        <f aca="false">IF(AN130="Yes",COUNTIF($AN$6:AN130,"Yes"),"")</f>
        <v/>
      </c>
      <c r="AT130" s="29"/>
      <c r="AU130" s="38" t="str">
        <f aca="false">IF($C130="","",IF(OR(F130="Completed",F130="Cancelled"),"",IF(AND(OR(F130="On Hold",ISNUMBER(VALUE(LEFT(H130,2)))),AT130=""),"Reason not given","")))</f>
        <v/>
      </c>
      <c r="AV130" s="30"/>
      <c r="AW130" s="30"/>
    </row>
    <row r="131" customFormat="false" ht="19.5" hidden="false" customHeight="true" outlineLevel="0" collapsed="false">
      <c r="A131" s="28" t="str">
        <f aca="false">IF($C131="","",COUNTA($C$6:$C131))</f>
        <v/>
      </c>
      <c r="B131" s="29"/>
      <c r="C131" s="30"/>
      <c r="D131" s="29"/>
      <c r="E131" s="31" t="str">
        <f aca="false">IF($C131="","",IF(NOT(OR(M131="Completed",M131="NA",M131="Cancelled")),"S1 Schematic",IF(NOT(OR(Q131="Completed",Q131="NA",Q131="Cancelled")),"S2 PCB Layout",IF(NOT(OR(U131="Completed",U131="NA",U131="Cancelled")),"S3 SI &amp; PI",IF(NOT(OR(Y131="Completed",Y131="NA",Y131="Cancelled")),"S4 Bare-PCB Fab",IF(NOT(OR(AC131="Completed",AC131="NA",AC131="Cancelled")),"S5 Assembly",IF(NOT(OR(AG131="Completed",AG131="NA",AG131="Cancelled")),"S6 Bring-up",IF(NOT(OR(AK131="Completed",AK131="NA",AK131="Cancelled")),"S7 BOM Procurement","All Stages Closed"))))))))</f>
        <v/>
      </c>
      <c r="F131" s="32" t="str">
        <f aca="false">IF($C131="","",IF(COUNTIF(M131,"Cancelled")+COUNTIF(Q131,"Cancelled")+COUNTIF(U131,"Cancelled")+COUNTIF(Y131,"Cancelled")+COUNTIF(AC131,"Cancelled")+COUNTIF(AG131,"Cancelled")+COUNTIF(AK131,"Cancelled")&gt;0,"Cancelled",IF(E131="All Stages Closed","Completed",IF(E131="S1 Schematic",M131,IF(E131="S2 PCB Layout",Q131,IF(E131="S3 SI &amp; PI",U131,IF(E131="S4 Bare-PCB Fab",Y131,IF(E131="S5 Assembly",AC131,IF(E131="S6 Bring-up",AG131,AK131)))))))))</f>
        <v/>
      </c>
      <c r="G131" s="33" t="str">
        <f aca="false">IF($C131="","",IF(E131="All Stages Closed","",IF(E131="S1 Schematic",IF(N131="","Not added",N131),IF(E131="S2 PCB Layout",IF(R131="","Not added",R131),IF(E131="S3 SI &amp; PI",IF(V131="","Not added",V131),IF(E131="S4 Bare-PCB Fab",IF(Z131="","Not added",Z131),IF(E131="S5 Assembly",IF(AD131="","Not added",AD131),IF(E131="S6 Bring-up",IF(AH131="","Not added",AH131),IF(AL131="","Not added",AL131)))))))))</f>
        <v/>
      </c>
      <c r="H131" s="32" t="str">
        <f aca="true">IF($C131="","",IF(OR(F131="Completed",F131="Cancelled"),"",IF(NOT(ISNUMBER(G131)),"No date set",IF(TODAY()&gt;G131,TODAY()-G131&amp;" days late",G131-TODAY()&amp;" days left"))))</f>
        <v/>
      </c>
      <c r="I131" s="31" t="str">
        <f aca="false">IF($C131="","",COUNTIF(M131,"Completed")+COUNTIF(Q131,"Completed")+COUNTIF(U131,"Completed")+COUNTIF(Y131,"Completed")+COUNTIF(AC131,"Completed")+COUNTIF(AG131,"Completed")+COUNTIF(AK131,"Completed"))</f>
        <v/>
      </c>
      <c r="J131" s="31" t="str">
        <f aca="false">IF($C131="","",7-(COUNTIF(M131,"NA")+COUNTIF(Q131,"NA")+COUNTIF(U131,"NA")+COUNTIF(Y131,"NA")+COUNTIF(AC131,"NA")+COUNTIF(AG131,"NA")+COUNTIF(AK131,"NA")))</f>
        <v/>
      </c>
      <c r="K131" s="34" t="str">
        <f aca="false">IFERROR(I131/J131,"")</f>
        <v/>
      </c>
      <c r="L131" s="29"/>
      <c r="M131" s="35"/>
      <c r="N131" s="36"/>
      <c r="O131" s="36"/>
      <c r="P131" s="29"/>
      <c r="Q131" s="35"/>
      <c r="R131" s="36"/>
      <c r="S131" s="36"/>
      <c r="T131" s="29"/>
      <c r="U131" s="35"/>
      <c r="V131" s="36"/>
      <c r="W131" s="36"/>
      <c r="X131" s="29"/>
      <c r="Y131" s="35"/>
      <c r="Z131" s="36"/>
      <c r="AA131" s="36"/>
      <c r="AB131" s="29"/>
      <c r="AC131" s="35"/>
      <c r="AD131" s="36"/>
      <c r="AE131" s="36"/>
      <c r="AF131" s="29"/>
      <c r="AG131" s="35"/>
      <c r="AH131" s="36"/>
      <c r="AI131" s="36"/>
      <c r="AJ131" s="29"/>
      <c r="AK131" s="35"/>
      <c r="AL131" s="36"/>
      <c r="AM131" s="36"/>
      <c r="AN131" s="29"/>
      <c r="AO131" s="29"/>
      <c r="AP131" s="29"/>
      <c r="AQ131" s="37"/>
      <c r="AR131" s="39" t="str">
        <f aca="false">IF(AN131&lt;&gt;"Yes","",IF(AO131="","SELECT RE-ENTRY STAGE","MOVE TO ACTIVE at "&amp;AO131))</f>
        <v/>
      </c>
      <c r="AS131" s="40" t="str">
        <f aca="false">IF(AN131="Yes",COUNTIF($AN$6:AN131,"Yes"),"")</f>
        <v/>
      </c>
      <c r="AT131" s="29"/>
      <c r="AU131" s="38" t="str">
        <f aca="false">IF($C131="","",IF(OR(F131="Completed",F131="Cancelled"),"",IF(AND(OR(F131="On Hold",ISNUMBER(VALUE(LEFT(H131,2)))),AT131=""),"Reason not given","")))</f>
        <v/>
      </c>
      <c r="AV131" s="30"/>
      <c r="AW131" s="30"/>
    </row>
    <row r="132" customFormat="false" ht="19.5" hidden="false" customHeight="true" outlineLevel="0" collapsed="false">
      <c r="A132" s="28" t="str">
        <f aca="false">IF($C132="","",COUNTA($C$6:$C132))</f>
        <v/>
      </c>
      <c r="B132" s="29"/>
      <c r="C132" s="30"/>
      <c r="D132" s="29"/>
      <c r="E132" s="31" t="str">
        <f aca="false">IF($C132="","",IF(NOT(OR(M132="Completed",M132="NA",M132="Cancelled")),"S1 Schematic",IF(NOT(OR(Q132="Completed",Q132="NA",Q132="Cancelled")),"S2 PCB Layout",IF(NOT(OR(U132="Completed",U132="NA",U132="Cancelled")),"S3 SI &amp; PI",IF(NOT(OR(Y132="Completed",Y132="NA",Y132="Cancelled")),"S4 Bare-PCB Fab",IF(NOT(OR(AC132="Completed",AC132="NA",AC132="Cancelled")),"S5 Assembly",IF(NOT(OR(AG132="Completed",AG132="NA",AG132="Cancelled")),"S6 Bring-up",IF(NOT(OR(AK132="Completed",AK132="NA",AK132="Cancelled")),"S7 BOM Procurement","All Stages Closed"))))))))</f>
        <v/>
      </c>
      <c r="F132" s="32" t="str">
        <f aca="false">IF($C132="","",IF(COUNTIF(M132,"Cancelled")+COUNTIF(Q132,"Cancelled")+COUNTIF(U132,"Cancelled")+COUNTIF(Y132,"Cancelled")+COUNTIF(AC132,"Cancelled")+COUNTIF(AG132,"Cancelled")+COUNTIF(AK132,"Cancelled")&gt;0,"Cancelled",IF(E132="All Stages Closed","Completed",IF(E132="S1 Schematic",M132,IF(E132="S2 PCB Layout",Q132,IF(E132="S3 SI &amp; PI",U132,IF(E132="S4 Bare-PCB Fab",Y132,IF(E132="S5 Assembly",AC132,IF(E132="S6 Bring-up",AG132,AK132)))))))))</f>
        <v/>
      </c>
      <c r="G132" s="33" t="str">
        <f aca="false">IF($C132="","",IF(E132="All Stages Closed","",IF(E132="S1 Schematic",IF(N132="","Not added",N132),IF(E132="S2 PCB Layout",IF(R132="","Not added",R132),IF(E132="S3 SI &amp; PI",IF(V132="","Not added",V132),IF(E132="S4 Bare-PCB Fab",IF(Z132="","Not added",Z132),IF(E132="S5 Assembly",IF(AD132="","Not added",AD132),IF(E132="S6 Bring-up",IF(AH132="","Not added",AH132),IF(AL132="","Not added",AL132)))))))))</f>
        <v/>
      </c>
      <c r="H132" s="32" t="str">
        <f aca="true">IF($C132="","",IF(OR(F132="Completed",F132="Cancelled"),"",IF(NOT(ISNUMBER(G132)),"No date set",IF(TODAY()&gt;G132,TODAY()-G132&amp;" days late",G132-TODAY()&amp;" days left"))))</f>
        <v/>
      </c>
      <c r="I132" s="31" t="str">
        <f aca="false">IF($C132="","",COUNTIF(M132,"Completed")+COUNTIF(Q132,"Completed")+COUNTIF(U132,"Completed")+COUNTIF(Y132,"Completed")+COUNTIF(AC132,"Completed")+COUNTIF(AG132,"Completed")+COUNTIF(AK132,"Completed"))</f>
        <v/>
      </c>
      <c r="J132" s="31" t="str">
        <f aca="false">IF($C132="","",7-(COUNTIF(M132,"NA")+COUNTIF(Q132,"NA")+COUNTIF(U132,"NA")+COUNTIF(Y132,"NA")+COUNTIF(AC132,"NA")+COUNTIF(AG132,"NA")+COUNTIF(AK132,"NA")))</f>
        <v/>
      </c>
      <c r="K132" s="34" t="str">
        <f aca="false">IFERROR(I132/J132,"")</f>
        <v/>
      </c>
      <c r="L132" s="29"/>
      <c r="M132" s="35"/>
      <c r="N132" s="36"/>
      <c r="O132" s="36"/>
      <c r="P132" s="29"/>
      <c r="Q132" s="35"/>
      <c r="R132" s="36"/>
      <c r="S132" s="36"/>
      <c r="T132" s="29"/>
      <c r="U132" s="35"/>
      <c r="V132" s="36"/>
      <c r="W132" s="36"/>
      <c r="X132" s="29"/>
      <c r="Y132" s="35"/>
      <c r="Z132" s="36"/>
      <c r="AA132" s="36"/>
      <c r="AB132" s="29"/>
      <c r="AC132" s="35"/>
      <c r="AD132" s="36"/>
      <c r="AE132" s="36"/>
      <c r="AF132" s="29"/>
      <c r="AG132" s="35"/>
      <c r="AH132" s="36"/>
      <c r="AI132" s="36"/>
      <c r="AJ132" s="29"/>
      <c r="AK132" s="35"/>
      <c r="AL132" s="36"/>
      <c r="AM132" s="36"/>
      <c r="AN132" s="29"/>
      <c r="AO132" s="29"/>
      <c r="AP132" s="29"/>
      <c r="AQ132" s="37"/>
      <c r="AR132" s="39" t="str">
        <f aca="false">IF(AN132&lt;&gt;"Yes","",IF(AO132="","SELECT RE-ENTRY STAGE","MOVE TO ACTIVE at "&amp;AO132))</f>
        <v/>
      </c>
      <c r="AS132" s="40" t="str">
        <f aca="false">IF(AN132="Yes",COUNTIF($AN$6:AN132,"Yes"),"")</f>
        <v/>
      </c>
      <c r="AT132" s="29"/>
      <c r="AU132" s="38" t="str">
        <f aca="false">IF($C132="","",IF(OR(F132="Completed",F132="Cancelled"),"",IF(AND(OR(F132="On Hold",ISNUMBER(VALUE(LEFT(H132,2)))),AT132=""),"Reason not given","")))</f>
        <v/>
      </c>
      <c r="AV132" s="30"/>
      <c r="AW132" s="30"/>
    </row>
    <row r="133" customFormat="false" ht="19.5" hidden="false" customHeight="true" outlineLevel="0" collapsed="false">
      <c r="A133" s="28" t="str">
        <f aca="false">IF($C133="","",COUNTA($C$6:$C133))</f>
        <v/>
      </c>
      <c r="B133" s="29"/>
      <c r="C133" s="30"/>
      <c r="D133" s="29"/>
      <c r="E133" s="31" t="str">
        <f aca="false">IF($C133="","",IF(NOT(OR(M133="Completed",M133="NA",M133="Cancelled")),"S1 Schematic",IF(NOT(OR(Q133="Completed",Q133="NA",Q133="Cancelled")),"S2 PCB Layout",IF(NOT(OR(U133="Completed",U133="NA",U133="Cancelled")),"S3 SI &amp; PI",IF(NOT(OR(Y133="Completed",Y133="NA",Y133="Cancelled")),"S4 Bare-PCB Fab",IF(NOT(OR(AC133="Completed",AC133="NA",AC133="Cancelled")),"S5 Assembly",IF(NOT(OR(AG133="Completed",AG133="NA",AG133="Cancelled")),"S6 Bring-up",IF(NOT(OR(AK133="Completed",AK133="NA",AK133="Cancelled")),"S7 BOM Procurement","All Stages Closed"))))))))</f>
        <v/>
      </c>
      <c r="F133" s="32" t="str">
        <f aca="false">IF($C133="","",IF(COUNTIF(M133,"Cancelled")+COUNTIF(Q133,"Cancelled")+COUNTIF(U133,"Cancelled")+COUNTIF(Y133,"Cancelled")+COUNTIF(AC133,"Cancelled")+COUNTIF(AG133,"Cancelled")+COUNTIF(AK133,"Cancelled")&gt;0,"Cancelled",IF(E133="All Stages Closed","Completed",IF(E133="S1 Schematic",M133,IF(E133="S2 PCB Layout",Q133,IF(E133="S3 SI &amp; PI",U133,IF(E133="S4 Bare-PCB Fab",Y133,IF(E133="S5 Assembly",AC133,IF(E133="S6 Bring-up",AG133,AK133)))))))))</f>
        <v/>
      </c>
      <c r="G133" s="33" t="str">
        <f aca="false">IF($C133="","",IF(E133="All Stages Closed","",IF(E133="S1 Schematic",IF(N133="","Not added",N133),IF(E133="S2 PCB Layout",IF(R133="","Not added",R133),IF(E133="S3 SI &amp; PI",IF(V133="","Not added",V133),IF(E133="S4 Bare-PCB Fab",IF(Z133="","Not added",Z133),IF(E133="S5 Assembly",IF(AD133="","Not added",AD133),IF(E133="S6 Bring-up",IF(AH133="","Not added",AH133),IF(AL133="","Not added",AL133)))))))))</f>
        <v/>
      </c>
      <c r="H133" s="32" t="str">
        <f aca="true">IF($C133="","",IF(OR(F133="Completed",F133="Cancelled"),"",IF(NOT(ISNUMBER(G133)),"No date set",IF(TODAY()&gt;G133,TODAY()-G133&amp;" days late",G133-TODAY()&amp;" days left"))))</f>
        <v/>
      </c>
      <c r="I133" s="31" t="str">
        <f aca="false">IF($C133="","",COUNTIF(M133,"Completed")+COUNTIF(Q133,"Completed")+COUNTIF(U133,"Completed")+COUNTIF(Y133,"Completed")+COUNTIF(AC133,"Completed")+COUNTIF(AG133,"Completed")+COUNTIF(AK133,"Completed"))</f>
        <v/>
      </c>
      <c r="J133" s="31" t="str">
        <f aca="false">IF($C133="","",7-(COUNTIF(M133,"NA")+COUNTIF(Q133,"NA")+COUNTIF(U133,"NA")+COUNTIF(Y133,"NA")+COUNTIF(AC133,"NA")+COUNTIF(AG133,"NA")+COUNTIF(AK133,"NA")))</f>
        <v/>
      </c>
      <c r="K133" s="34" t="str">
        <f aca="false">IFERROR(I133/J133,"")</f>
        <v/>
      </c>
      <c r="L133" s="29"/>
      <c r="M133" s="35"/>
      <c r="N133" s="36"/>
      <c r="O133" s="36"/>
      <c r="P133" s="29"/>
      <c r="Q133" s="35"/>
      <c r="R133" s="36"/>
      <c r="S133" s="36"/>
      <c r="T133" s="29"/>
      <c r="U133" s="35"/>
      <c r="V133" s="36"/>
      <c r="W133" s="36"/>
      <c r="X133" s="29"/>
      <c r="Y133" s="35"/>
      <c r="Z133" s="36"/>
      <c r="AA133" s="36"/>
      <c r="AB133" s="29"/>
      <c r="AC133" s="35"/>
      <c r="AD133" s="36"/>
      <c r="AE133" s="36"/>
      <c r="AF133" s="29"/>
      <c r="AG133" s="35"/>
      <c r="AH133" s="36"/>
      <c r="AI133" s="36"/>
      <c r="AJ133" s="29"/>
      <c r="AK133" s="35"/>
      <c r="AL133" s="36"/>
      <c r="AM133" s="36"/>
      <c r="AN133" s="29"/>
      <c r="AO133" s="29"/>
      <c r="AP133" s="29"/>
      <c r="AQ133" s="37"/>
      <c r="AR133" s="39" t="str">
        <f aca="false">IF(AN133&lt;&gt;"Yes","",IF(AO133="","SELECT RE-ENTRY STAGE","MOVE TO ACTIVE at "&amp;AO133))</f>
        <v/>
      </c>
      <c r="AS133" s="40" t="str">
        <f aca="false">IF(AN133="Yes",COUNTIF($AN$6:AN133,"Yes"),"")</f>
        <v/>
      </c>
      <c r="AT133" s="29"/>
      <c r="AU133" s="38" t="str">
        <f aca="false">IF($C133="","",IF(OR(F133="Completed",F133="Cancelled"),"",IF(AND(OR(F133="On Hold",ISNUMBER(VALUE(LEFT(H133,2)))),AT133=""),"Reason not given","")))</f>
        <v/>
      </c>
      <c r="AV133" s="30"/>
      <c r="AW133" s="30"/>
    </row>
    <row r="134" customFormat="false" ht="19.5" hidden="false" customHeight="true" outlineLevel="0" collapsed="false">
      <c r="A134" s="28" t="str">
        <f aca="false">IF($C134="","",COUNTA($C$6:$C134))</f>
        <v/>
      </c>
      <c r="B134" s="29"/>
      <c r="C134" s="30"/>
      <c r="D134" s="29"/>
      <c r="E134" s="31" t="str">
        <f aca="false">IF($C134="","",IF(NOT(OR(M134="Completed",M134="NA",M134="Cancelled")),"S1 Schematic",IF(NOT(OR(Q134="Completed",Q134="NA",Q134="Cancelled")),"S2 PCB Layout",IF(NOT(OR(U134="Completed",U134="NA",U134="Cancelled")),"S3 SI &amp; PI",IF(NOT(OR(Y134="Completed",Y134="NA",Y134="Cancelled")),"S4 Bare-PCB Fab",IF(NOT(OR(AC134="Completed",AC134="NA",AC134="Cancelled")),"S5 Assembly",IF(NOT(OR(AG134="Completed",AG134="NA",AG134="Cancelled")),"S6 Bring-up",IF(NOT(OR(AK134="Completed",AK134="NA",AK134="Cancelled")),"S7 BOM Procurement","All Stages Closed"))))))))</f>
        <v/>
      </c>
      <c r="F134" s="32" t="str">
        <f aca="false">IF($C134="","",IF(COUNTIF(M134,"Cancelled")+COUNTIF(Q134,"Cancelled")+COUNTIF(U134,"Cancelled")+COUNTIF(Y134,"Cancelled")+COUNTIF(AC134,"Cancelled")+COUNTIF(AG134,"Cancelled")+COUNTIF(AK134,"Cancelled")&gt;0,"Cancelled",IF(E134="All Stages Closed","Completed",IF(E134="S1 Schematic",M134,IF(E134="S2 PCB Layout",Q134,IF(E134="S3 SI &amp; PI",U134,IF(E134="S4 Bare-PCB Fab",Y134,IF(E134="S5 Assembly",AC134,IF(E134="S6 Bring-up",AG134,AK134)))))))))</f>
        <v/>
      </c>
      <c r="G134" s="33" t="str">
        <f aca="false">IF($C134="","",IF(E134="All Stages Closed","",IF(E134="S1 Schematic",IF(N134="","Not added",N134),IF(E134="S2 PCB Layout",IF(R134="","Not added",R134),IF(E134="S3 SI &amp; PI",IF(V134="","Not added",V134),IF(E134="S4 Bare-PCB Fab",IF(Z134="","Not added",Z134),IF(E134="S5 Assembly",IF(AD134="","Not added",AD134),IF(E134="S6 Bring-up",IF(AH134="","Not added",AH134),IF(AL134="","Not added",AL134)))))))))</f>
        <v/>
      </c>
      <c r="H134" s="32" t="str">
        <f aca="true">IF($C134="","",IF(OR(F134="Completed",F134="Cancelled"),"",IF(NOT(ISNUMBER(G134)),"No date set",IF(TODAY()&gt;G134,TODAY()-G134&amp;" days late",G134-TODAY()&amp;" days left"))))</f>
        <v/>
      </c>
      <c r="I134" s="31" t="str">
        <f aca="false">IF($C134="","",COUNTIF(M134,"Completed")+COUNTIF(Q134,"Completed")+COUNTIF(U134,"Completed")+COUNTIF(Y134,"Completed")+COUNTIF(AC134,"Completed")+COUNTIF(AG134,"Completed")+COUNTIF(AK134,"Completed"))</f>
        <v/>
      </c>
      <c r="J134" s="31" t="str">
        <f aca="false">IF($C134="","",7-(COUNTIF(M134,"NA")+COUNTIF(Q134,"NA")+COUNTIF(U134,"NA")+COUNTIF(Y134,"NA")+COUNTIF(AC134,"NA")+COUNTIF(AG134,"NA")+COUNTIF(AK134,"NA")))</f>
        <v/>
      </c>
      <c r="K134" s="34" t="str">
        <f aca="false">IFERROR(I134/J134,"")</f>
        <v/>
      </c>
      <c r="L134" s="29"/>
      <c r="M134" s="35"/>
      <c r="N134" s="36"/>
      <c r="O134" s="36"/>
      <c r="P134" s="29"/>
      <c r="Q134" s="35"/>
      <c r="R134" s="36"/>
      <c r="S134" s="36"/>
      <c r="T134" s="29"/>
      <c r="U134" s="35"/>
      <c r="V134" s="36"/>
      <c r="W134" s="36"/>
      <c r="X134" s="29"/>
      <c r="Y134" s="35"/>
      <c r="Z134" s="36"/>
      <c r="AA134" s="36"/>
      <c r="AB134" s="29"/>
      <c r="AC134" s="35"/>
      <c r="AD134" s="36"/>
      <c r="AE134" s="36"/>
      <c r="AF134" s="29"/>
      <c r="AG134" s="35"/>
      <c r="AH134" s="36"/>
      <c r="AI134" s="36"/>
      <c r="AJ134" s="29"/>
      <c r="AK134" s="35"/>
      <c r="AL134" s="36"/>
      <c r="AM134" s="36"/>
      <c r="AN134" s="29"/>
      <c r="AO134" s="29"/>
      <c r="AP134" s="29"/>
      <c r="AQ134" s="37"/>
      <c r="AR134" s="39" t="str">
        <f aca="false">IF(AN134&lt;&gt;"Yes","",IF(AO134="","SELECT RE-ENTRY STAGE","MOVE TO ACTIVE at "&amp;AO134))</f>
        <v/>
      </c>
      <c r="AS134" s="40" t="str">
        <f aca="false">IF(AN134="Yes",COUNTIF($AN$6:AN134,"Yes"),"")</f>
        <v/>
      </c>
      <c r="AT134" s="29"/>
      <c r="AU134" s="38" t="str">
        <f aca="false">IF($C134="","",IF(OR(F134="Completed",F134="Cancelled"),"",IF(AND(OR(F134="On Hold",ISNUMBER(VALUE(LEFT(H134,2)))),AT134=""),"Reason not given","")))</f>
        <v/>
      </c>
      <c r="AV134" s="30"/>
      <c r="AW134" s="30"/>
    </row>
    <row r="135" customFormat="false" ht="19.5" hidden="false" customHeight="true" outlineLevel="0" collapsed="false">
      <c r="A135" s="28" t="str">
        <f aca="false">IF($C135="","",COUNTA($C$6:$C135))</f>
        <v/>
      </c>
      <c r="B135" s="29"/>
      <c r="C135" s="30"/>
      <c r="D135" s="29"/>
      <c r="E135" s="31" t="str">
        <f aca="false">IF($C135="","",IF(NOT(OR(M135="Completed",M135="NA",M135="Cancelled")),"S1 Schematic",IF(NOT(OR(Q135="Completed",Q135="NA",Q135="Cancelled")),"S2 PCB Layout",IF(NOT(OR(U135="Completed",U135="NA",U135="Cancelled")),"S3 SI &amp; PI",IF(NOT(OR(Y135="Completed",Y135="NA",Y135="Cancelled")),"S4 Bare-PCB Fab",IF(NOT(OR(AC135="Completed",AC135="NA",AC135="Cancelled")),"S5 Assembly",IF(NOT(OR(AG135="Completed",AG135="NA",AG135="Cancelled")),"S6 Bring-up",IF(NOT(OR(AK135="Completed",AK135="NA",AK135="Cancelled")),"S7 BOM Procurement","All Stages Closed"))))))))</f>
        <v/>
      </c>
      <c r="F135" s="32" t="str">
        <f aca="false">IF($C135="","",IF(COUNTIF(M135,"Cancelled")+COUNTIF(Q135,"Cancelled")+COUNTIF(U135,"Cancelled")+COUNTIF(Y135,"Cancelled")+COUNTIF(AC135,"Cancelled")+COUNTIF(AG135,"Cancelled")+COUNTIF(AK135,"Cancelled")&gt;0,"Cancelled",IF(E135="All Stages Closed","Completed",IF(E135="S1 Schematic",M135,IF(E135="S2 PCB Layout",Q135,IF(E135="S3 SI &amp; PI",U135,IF(E135="S4 Bare-PCB Fab",Y135,IF(E135="S5 Assembly",AC135,IF(E135="S6 Bring-up",AG135,AK135)))))))))</f>
        <v/>
      </c>
      <c r="G135" s="33" t="str">
        <f aca="false">IF($C135="","",IF(E135="All Stages Closed","",IF(E135="S1 Schematic",IF(N135="","Not added",N135),IF(E135="S2 PCB Layout",IF(R135="","Not added",R135),IF(E135="S3 SI &amp; PI",IF(V135="","Not added",V135),IF(E135="S4 Bare-PCB Fab",IF(Z135="","Not added",Z135),IF(E135="S5 Assembly",IF(AD135="","Not added",AD135),IF(E135="S6 Bring-up",IF(AH135="","Not added",AH135),IF(AL135="","Not added",AL135)))))))))</f>
        <v/>
      </c>
      <c r="H135" s="32" t="str">
        <f aca="true">IF($C135="","",IF(OR(F135="Completed",F135="Cancelled"),"",IF(NOT(ISNUMBER(G135)),"No date set",IF(TODAY()&gt;G135,TODAY()-G135&amp;" days late",G135-TODAY()&amp;" days left"))))</f>
        <v/>
      </c>
      <c r="I135" s="31" t="str">
        <f aca="false">IF($C135="","",COUNTIF(M135,"Completed")+COUNTIF(Q135,"Completed")+COUNTIF(U135,"Completed")+COUNTIF(Y135,"Completed")+COUNTIF(AC135,"Completed")+COUNTIF(AG135,"Completed")+COUNTIF(AK135,"Completed"))</f>
        <v/>
      </c>
      <c r="J135" s="31" t="str">
        <f aca="false">IF($C135="","",7-(COUNTIF(M135,"NA")+COUNTIF(Q135,"NA")+COUNTIF(U135,"NA")+COUNTIF(Y135,"NA")+COUNTIF(AC135,"NA")+COUNTIF(AG135,"NA")+COUNTIF(AK135,"NA")))</f>
        <v/>
      </c>
      <c r="K135" s="34" t="str">
        <f aca="false">IFERROR(I135/J135,"")</f>
        <v/>
      </c>
      <c r="L135" s="29"/>
      <c r="M135" s="35"/>
      <c r="N135" s="36"/>
      <c r="O135" s="36"/>
      <c r="P135" s="29"/>
      <c r="Q135" s="35"/>
      <c r="R135" s="36"/>
      <c r="S135" s="36"/>
      <c r="T135" s="29"/>
      <c r="U135" s="35"/>
      <c r="V135" s="36"/>
      <c r="W135" s="36"/>
      <c r="X135" s="29"/>
      <c r="Y135" s="35"/>
      <c r="Z135" s="36"/>
      <c r="AA135" s="36"/>
      <c r="AB135" s="29"/>
      <c r="AC135" s="35"/>
      <c r="AD135" s="36"/>
      <c r="AE135" s="36"/>
      <c r="AF135" s="29"/>
      <c r="AG135" s="35"/>
      <c r="AH135" s="36"/>
      <c r="AI135" s="36"/>
      <c r="AJ135" s="29"/>
      <c r="AK135" s="35"/>
      <c r="AL135" s="36"/>
      <c r="AM135" s="36"/>
      <c r="AN135" s="29"/>
      <c r="AO135" s="29"/>
      <c r="AP135" s="29"/>
      <c r="AQ135" s="37"/>
      <c r="AR135" s="39" t="str">
        <f aca="false">IF(AN135&lt;&gt;"Yes","",IF(AO135="","SELECT RE-ENTRY STAGE","MOVE TO ACTIVE at "&amp;AO135))</f>
        <v/>
      </c>
      <c r="AS135" s="40" t="str">
        <f aca="false">IF(AN135="Yes",COUNTIF($AN$6:AN135,"Yes"),"")</f>
        <v/>
      </c>
      <c r="AT135" s="29"/>
      <c r="AU135" s="38" t="str">
        <f aca="false">IF($C135="","",IF(OR(F135="Completed",F135="Cancelled"),"",IF(AND(OR(F135="On Hold",ISNUMBER(VALUE(LEFT(H135,2)))),AT135=""),"Reason not given","")))</f>
        <v/>
      </c>
      <c r="AV135" s="30"/>
      <c r="AW135" s="30"/>
    </row>
    <row r="136" customFormat="false" ht="19.5" hidden="false" customHeight="true" outlineLevel="0" collapsed="false">
      <c r="A136" s="28" t="str">
        <f aca="false">IF($C136="","",COUNTA($C$6:$C136))</f>
        <v/>
      </c>
      <c r="B136" s="29"/>
      <c r="C136" s="30"/>
      <c r="D136" s="29"/>
      <c r="E136" s="31" t="str">
        <f aca="false">IF($C136="","",IF(NOT(OR(M136="Completed",M136="NA",M136="Cancelled")),"S1 Schematic",IF(NOT(OR(Q136="Completed",Q136="NA",Q136="Cancelled")),"S2 PCB Layout",IF(NOT(OR(U136="Completed",U136="NA",U136="Cancelled")),"S3 SI &amp; PI",IF(NOT(OR(Y136="Completed",Y136="NA",Y136="Cancelled")),"S4 Bare-PCB Fab",IF(NOT(OR(AC136="Completed",AC136="NA",AC136="Cancelled")),"S5 Assembly",IF(NOT(OR(AG136="Completed",AG136="NA",AG136="Cancelled")),"S6 Bring-up",IF(NOT(OR(AK136="Completed",AK136="NA",AK136="Cancelled")),"S7 BOM Procurement","All Stages Closed"))))))))</f>
        <v/>
      </c>
      <c r="F136" s="32" t="str">
        <f aca="false">IF($C136="","",IF(COUNTIF(M136,"Cancelled")+COUNTIF(Q136,"Cancelled")+COUNTIF(U136,"Cancelled")+COUNTIF(Y136,"Cancelled")+COUNTIF(AC136,"Cancelled")+COUNTIF(AG136,"Cancelled")+COUNTIF(AK136,"Cancelled")&gt;0,"Cancelled",IF(E136="All Stages Closed","Completed",IF(E136="S1 Schematic",M136,IF(E136="S2 PCB Layout",Q136,IF(E136="S3 SI &amp; PI",U136,IF(E136="S4 Bare-PCB Fab",Y136,IF(E136="S5 Assembly",AC136,IF(E136="S6 Bring-up",AG136,AK136)))))))))</f>
        <v/>
      </c>
      <c r="G136" s="33" t="str">
        <f aca="false">IF($C136="","",IF(E136="All Stages Closed","",IF(E136="S1 Schematic",IF(N136="","Not added",N136),IF(E136="S2 PCB Layout",IF(R136="","Not added",R136),IF(E136="S3 SI &amp; PI",IF(V136="","Not added",V136),IF(E136="S4 Bare-PCB Fab",IF(Z136="","Not added",Z136),IF(E136="S5 Assembly",IF(AD136="","Not added",AD136),IF(E136="S6 Bring-up",IF(AH136="","Not added",AH136),IF(AL136="","Not added",AL136)))))))))</f>
        <v/>
      </c>
      <c r="H136" s="32" t="str">
        <f aca="true">IF($C136="","",IF(OR(F136="Completed",F136="Cancelled"),"",IF(NOT(ISNUMBER(G136)),"No date set",IF(TODAY()&gt;G136,TODAY()-G136&amp;" days late",G136-TODAY()&amp;" days left"))))</f>
        <v/>
      </c>
      <c r="I136" s="31" t="str">
        <f aca="false">IF($C136="","",COUNTIF(M136,"Completed")+COUNTIF(Q136,"Completed")+COUNTIF(U136,"Completed")+COUNTIF(Y136,"Completed")+COUNTIF(AC136,"Completed")+COUNTIF(AG136,"Completed")+COUNTIF(AK136,"Completed"))</f>
        <v/>
      </c>
      <c r="J136" s="31" t="str">
        <f aca="false">IF($C136="","",7-(COUNTIF(M136,"NA")+COUNTIF(Q136,"NA")+COUNTIF(U136,"NA")+COUNTIF(Y136,"NA")+COUNTIF(AC136,"NA")+COUNTIF(AG136,"NA")+COUNTIF(AK136,"NA")))</f>
        <v/>
      </c>
      <c r="K136" s="34" t="str">
        <f aca="false">IFERROR(I136/J136,"")</f>
        <v/>
      </c>
      <c r="L136" s="29"/>
      <c r="M136" s="35"/>
      <c r="N136" s="36"/>
      <c r="O136" s="36"/>
      <c r="P136" s="29"/>
      <c r="Q136" s="35"/>
      <c r="R136" s="36"/>
      <c r="S136" s="36"/>
      <c r="T136" s="29"/>
      <c r="U136" s="35"/>
      <c r="V136" s="36"/>
      <c r="W136" s="36"/>
      <c r="X136" s="29"/>
      <c r="Y136" s="35"/>
      <c r="Z136" s="36"/>
      <c r="AA136" s="36"/>
      <c r="AB136" s="29"/>
      <c r="AC136" s="35"/>
      <c r="AD136" s="36"/>
      <c r="AE136" s="36"/>
      <c r="AF136" s="29"/>
      <c r="AG136" s="35"/>
      <c r="AH136" s="36"/>
      <c r="AI136" s="36"/>
      <c r="AJ136" s="29"/>
      <c r="AK136" s="35"/>
      <c r="AL136" s="36"/>
      <c r="AM136" s="36"/>
      <c r="AN136" s="29"/>
      <c r="AO136" s="29"/>
      <c r="AP136" s="29"/>
      <c r="AQ136" s="37"/>
      <c r="AR136" s="39" t="str">
        <f aca="false">IF(AN136&lt;&gt;"Yes","",IF(AO136="","SELECT RE-ENTRY STAGE","MOVE TO ACTIVE at "&amp;AO136))</f>
        <v/>
      </c>
      <c r="AS136" s="40" t="str">
        <f aca="false">IF(AN136="Yes",COUNTIF($AN$6:AN136,"Yes"),"")</f>
        <v/>
      </c>
      <c r="AT136" s="29"/>
      <c r="AU136" s="38" t="str">
        <f aca="false">IF($C136="","",IF(OR(F136="Completed",F136="Cancelled"),"",IF(AND(OR(F136="On Hold",ISNUMBER(VALUE(LEFT(H136,2)))),AT136=""),"Reason not given","")))</f>
        <v/>
      </c>
      <c r="AV136" s="30"/>
      <c r="AW136" s="30"/>
    </row>
    <row r="137" customFormat="false" ht="19.5" hidden="false" customHeight="true" outlineLevel="0" collapsed="false">
      <c r="A137" s="28" t="str">
        <f aca="false">IF($C137="","",COUNTA($C$6:$C137))</f>
        <v/>
      </c>
      <c r="B137" s="29"/>
      <c r="C137" s="30"/>
      <c r="D137" s="29"/>
      <c r="E137" s="31" t="str">
        <f aca="false">IF($C137="","",IF(NOT(OR(M137="Completed",M137="NA",M137="Cancelled")),"S1 Schematic",IF(NOT(OR(Q137="Completed",Q137="NA",Q137="Cancelled")),"S2 PCB Layout",IF(NOT(OR(U137="Completed",U137="NA",U137="Cancelled")),"S3 SI &amp; PI",IF(NOT(OR(Y137="Completed",Y137="NA",Y137="Cancelled")),"S4 Bare-PCB Fab",IF(NOT(OR(AC137="Completed",AC137="NA",AC137="Cancelled")),"S5 Assembly",IF(NOT(OR(AG137="Completed",AG137="NA",AG137="Cancelled")),"S6 Bring-up",IF(NOT(OR(AK137="Completed",AK137="NA",AK137="Cancelled")),"S7 BOM Procurement","All Stages Closed"))))))))</f>
        <v/>
      </c>
      <c r="F137" s="32" t="str">
        <f aca="false">IF($C137="","",IF(COUNTIF(M137,"Cancelled")+COUNTIF(Q137,"Cancelled")+COUNTIF(U137,"Cancelled")+COUNTIF(Y137,"Cancelled")+COUNTIF(AC137,"Cancelled")+COUNTIF(AG137,"Cancelled")+COUNTIF(AK137,"Cancelled")&gt;0,"Cancelled",IF(E137="All Stages Closed","Completed",IF(E137="S1 Schematic",M137,IF(E137="S2 PCB Layout",Q137,IF(E137="S3 SI &amp; PI",U137,IF(E137="S4 Bare-PCB Fab",Y137,IF(E137="S5 Assembly",AC137,IF(E137="S6 Bring-up",AG137,AK137)))))))))</f>
        <v/>
      </c>
      <c r="G137" s="33" t="str">
        <f aca="false">IF($C137="","",IF(E137="All Stages Closed","",IF(E137="S1 Schematic",IF(N137="","Not added",N137),IF(E137="S2 PCB Layout",IF(R137="","Not added",R137),IF(E137="S3 SI &amp; PI",IF(V137="","Not added",V137),IF(E137="S4 Bare-PCB Fab",IF(Z137="","Not added",Z137),IF(E137="S5 Assembly",IF(AD137="","Not added",AD137),IF(E137="S6 Bring-up",IF(AH137="","Not added",AH137),IF(AL137="","Not added",AL137)))))))))</f>
        <v/>
      </c>
      <c r="H137" s="32" t="str">
        <f aca="true">IF($C137="","",IF(OR(F137="Completed",F137="Cancelled"),"",IF(NOT(ISNUMBER(G137)),"No date set",IF(TODAY()&gt;G137,TODAY()-G137&amp;" days late",G137-TODAY()&amp;" days left"))))</f>
        <v/>
      </c>
      <c r="I137" s="31" t="str">
        <f aca="false">IF($C137="","",COUNTIF(M137,"Completed")+COUNTIF(Q137,"Completed")+COUNTIF(U137,"Completed")+COUNTIF(Y137,"Completed")+COUNTIF(AC137,"Completed")+COUNTIF(AG137,"Completed")+COUNTIF(AK137,"Completed"))</f>
        <v/>
      </c>
      <c r="J137" s="31" t="str">
        <f aca="false">IF($C137="","",7-(COUNTIF(M137,"NA")+COUNTIF(Q137,"NA")+COUNTIF(U137,"NA")+COUNTIF(Y137,"NA")+COUNTIF(AC137,"NA")+COUNTIF(AG137,"NA")+COUNTIF(AK137,"NA")))</f>
        <v/>
      </c>
      <c r="K137" s="34" t="str">
        <f aca="false">IFERROR(I137/J137,"")</f>
        <v/>
      </c>
      <c r="L137" s="29"/>
      <c r="M137" s="35"/>
      <c r="N137" s="36"/>
      <c r="O137" s="36"/>
      <c r="P137" s="29"/>
      <c r="Q137" s="35"/>
      <c r="R137" s="36"/>
      <c r="S137" s="36"/>
      <c r="T137" s="29"/>
      <c r="U137" s="35"/>
      <c r="V137" s="36"/>
      <c r="W137" s="36"/>
      <c r="X137" s="29"/>
      <c r="Y137" s="35"/>
      <c r="Z137" s="36"/>
      <c r="AA137" s="36"/>
      <c r="AB137" s="29"/>
      <c r="AC137" s="35"/>
      <c r="AD137" s="36"/>
      <c r="AE137" s="36"/>
      <c r="AF137" s="29"/>
      <c r="AG137" s="35"/>
      <c r="AH137" s="36"/>
      <c r="AI137" s="36"/>
      <c r="AJ137" s="29"/>
      <c r="AK137" s="35"/>
      <c r="AL137" s="36"/>
      <c r="AM137" s="36"/>
      <c r="AN137" s="29"/>
      <c r="AO137" s="29"/>
      <c r="AP137" s="29"/>
      <c r="AQ137" s="37"/>
      <c r="AR137" s="39" t="str">
        <f aca="false">IF(AN137&lt;&gt;"Yes","",IF(AO137="","SELECT RE-ENTRY STAGE","MOVE TO ACTIVE at "&amp;AO137))</f>
        <v/>
      </c>
      <c r="AS137" s="40" t="str">
        <f aca="false">IF(AN137="Yes",COUNTIF($AN$6:AN137,"Yes"),"")</f>
        <v/>
      </c>
      <c r="AT137" s="29"/>
      <c r="AU137" s="38" t="str">
        <f aca="false">IF($C137="","",IF(OR(F137="Completed",F137="Cancelled"),"",IF(AND(OR(F137="On Hold",ISNUMBER(VALUE(LEFT(H137,2)))),AT137=""),"Reason not given","")))</f>
        <v/>
      </c>
      <c r="AV137" s="30"/>
      <c r="AW137" s="30"/>
    </row>
    <row r="138" customFormat="false" ht="19.5" hidden="false" customHeight="true" outlineLevel="0" collapsed="false">
      <c r="A138" s="28" t="str">
        <f aca="false">IF($C138="","",COUNTA($C$6:$C138))</f>
        <v/>
      </c>
      <c r="B138" s="29"/>
      <c r="C138" s="30"/>
      <c r="D138" s="29"/>
      <c r="E138" s="31" t="str">
        <f aca="false">IF($C138="","",IF(NOT(OR(M138="Completed",M138="NA",M138="Cancelled")),"S1 Schematic",IF(NOT(OR(Q138="Completed",Q138="NA",Q138="Cancelled")),"S2 PCB Layout",IF(NOT(OR(U138="Completed",U138="NA",U138="Cancelled")),"S3 SI &amp; PI",IF(NOT(OR(Y138="Completed",Y138="NA",Y138="Cancelled")),"S4 Bare-PCB Fab",IF(NOT(OR(AC138="Completed",AC138="NA",AC138="Cancelled")),"S5 Assembly",IF(NOT(OR(AG138="Completed",AG138="NA",AG138="Cancelled")),"S6 Bring-up",IF(NOT(OR(AK138="Completed",AK138="NA",AK138="Cancelled")),"S7 BOM Procurement","All Stages Closed"))))))))</f>
        <v/>
      </c>
      <c r="F138" s="32" t="str">
        <f aca="false">IF($C138="","",IF(COUNTIF(M138,"Cancelled")+COUNTIF(Q138,"Cancelled")+COUNTIF(U138,"Cancelled")+COUNTIF(Y138,"Cancelled")+COUNTIF(AC138,"Cancelled")+COUNTIF(AG138,"Cancelled")+COUNTIF(AK138,"Cancelled")&gt;0,"Cancelled",IF(E138="All Stages Closed","Completed",IF(E138="S1 Schematic",M138,IF(E138="S2 PCB Layout",Q138,IF(E138="S3 SI &amp; PI",U138,IF(E138="S4 Bare-PCB Fab",Y138,IF(E138="S5 Assembly",AC138,IF(E138="S6 Bring-up",AG138,AK138)))))))))</f>
        <v/>
      </c>
      <c r="G138" s="33" t="str">
        <f aca="false">IF($C138="","",IF(E138="All Stages Closed","",IF(E138="S1 Schematic",IF(N138="","Not added",N138),IF(E138="S2 PCB Layout",IF(R138="","Not added",R138),IF(E138="S3 SI &amp; PI",IF(V138="","Not added",V138),IF(E138="S4 Bare-PCB Fab",IF(Z138="","Not added",Z138),IF(E138="S5 Assembly",IF(AD138="","Not added",AD138),IF(E138="S6 Bring-up",IF(AH138="","Not added",AH138),IF(AL138="","Not added",AL138)))))))))</f>
        <v/>
      </c>
      <c r="H138" s="32" t="str">
        <f aca="true">IF($C138="","",IF(OR(F138="Completed",F138="Cancelled"),"",IF(NOT(ISNUMBER(G138)),"No date set",IF(TODAY()&gt;G138,TODAY()-G138&amp;" days late",G138-TODAY()&amp;" days left"))))</f>
        <v/>
      </c>
      <c r="I138" s="31" t="str">
        <f aca="false">IF($C138="","",COUNTIF(M138,"Completed")+COUNTIF(Q138,"Completed")+COUNTIF(U138,"Completed")+COUNTIF(Y138,"Completed")+COUNTIF(AC138,"Completed")+COUNTIF(AG138,"Completed")+COUNTIF(AK138,"Completed"))</f>
        <v/>
      </c>
      <c r="J138" s="31" t="str">
        <f aca="false">IF($C138="","",7-(COUNTIF(M138,"NA")+COUNTIF(Q138,"NA")+COUNTIF(U138,"NA")+COUNTIF(Y138,"NA")+COUNTIF(AC138,"NA")+COUNTIF(AG138,"NA")+COUNTIF(AK138,"NA")))</f>
        <v/>
      </c>
      <c r="K138" s="34" t="str">
        <f aca="false">IFERROR(I138/J138,"")</f>
        <v/>
      </c>
      <c r="L138" s="29"/>
      <c r="M138" s="35"/>
      <c r="N138" s="36"/>
      <c r="O138" s="36"/>
      <c r="P138" s="29"/>
      <c r="Q138" s="35"/>
      <c r="R138" s="36"/>
      <c r="S138" s="36"/>
      <c r="T138" s="29"/>
      <c r="U138" s="35"/>
      <c r="V138" s="36"/>
      <c r="W138" s="36"/>
      <c r="X138" s="29"/>
      <c r="Y138" s="35"/>
      <c r="Z138" s="36"/>
      <c r="AA138" s="36"/>
      <c r="AB138" s="29"/>
      <c r="AC138" s="35"/>
      <c r="AD138" s="36"/>
      <c r="AE138" s="36"/>
      <c r="AF138" s="29"/>
      <c r="AG138" s="35"/>
      <c r="AH138" s="36"/>
      <c r="AI138" s="36"/>
      <c r="AJ138" s="29"/>
      <c r="AK138" s="35"/>
      <c r="AL138" s="36"/>
      <c r="AM138" s="36"/>
      <c r="AN138" s="29"/>
      <c r="AO138" s="29"/>
      <c r="AP138" s="29"/>
      <c r="AQ138" s="37"/>
      <c r="AR138" s="39" t="str">
        <f aca="false">IF(AN138&lt;&gt;"Yes","",IF(AO138="","SELECT RE-ENTRY STAGE","MOVE TO ACTIVE at "&amp;AO138))</f>
        <v/>
      </c>
      <c r="AS138" s="40" t="str">
        <f aca="false">IF(AN138="Yes",COUNTIF($AN$6:AN138,"Yes"),"")</f>
        <v/>
      </c>
      <c r="AT138" s="29"/>
      <c r="AU138" s="38" t="str">
        <f aca="false">IF($C138="","",IF(OR(F138="Completed",F138="Cancelled"),"",IF(AND(OR(F138="On Hold",ISNUMBER(VALUE(LEFT(H138,2)))),AT138=""),"Reason not given","")))</f>
        <v/>
      </c>
      <c r="AV138" s="30"/>
      <c r="AW138" s="30"/>
    </row>
    <row r="139" customFormat="false" ht="19.5" hidden="false" customHeight="true" outlineLevel="0" collapsed="false">
      <c r="A139" s="28" t="str">
        <f aca="false">IF($C139="","",COUNTA($C$6:$C139))</f>
        <v/>
      </c>
      <c r="B139" s="29"/>
      <c r="C139" s="30"/>
      <c r="D139" s="29"/>
      <c r="E139" s="31" t="str">
        <f aca="false">IF($C139="","",IF(NOT(OR(M139="Completed",M139="NA",M139="Cancelled")),"S1 Schematic",IF(NOT(OR(Q139="Completed",Q139="NA",Q139="Cancelled")),"S2 PCB Layout",IF(NOT(OR(U139="Completed",U139="NA",U139="Cancelled")),"S3 SI &amp; PI",IF(NOT(OR(Y139="Completed",Y139="NA",Y139="Cancelled")),"S4 Bare-PCB Fab",IF(NOT(OR(AC139="Completed",AC139="NA",AC139="Cancelled")),"S5 Assembly",IF(NOT(OR(AG139="Completed",AG139="NA",AG139="Cancelled")),"S6 Bring-up",IF(NOT(OR(AK139="Completed",AK139="NA",AK139="Cancelled")),"S7 BOM Procurement","All Stages Closed"))))))))</f>
        <v/>
      </c>
      <c r="F139" s="32" t="str">
        <f aca="false">IF($C139="","",IF(COUNTIF(M139,"Cancelled")+COUNTIF(Q139,"Cancelled")+COUNTIF(U139,"Cancelled")+COUNTIF(Y139,"Cancelled")+COUNTIF(AC139,"Cancelled")+COUNTIF(AG139,"Cancelled")+COUNTIF(AK139,"Cancelled")&gt;0,"Cancelled",IF(E139="All Stages Closed","Completed",IF(E139="S1 Schematic",M139,IF(E139="S2 PCB Layout",Q139,IF(E139="S3 SI &amp; PI",U139,IF(E139="S4 Bare-PCB Fab",Y139,IF(E139="S5 Assembly",AC139,IF(E139="S6 Bring-up",AG139,AK139)))))))))</f>
        <v/>
      </c>
      <c r="G139" s="33" t="str">
        <f aca="false">IF($C139="","",IF(E139="All Stages Closed","",IF(E139="S1 Schematic",IF(N139="","Not added",N139),IF(E139="S2 PCB Layout",IF(R139="","Not added",R139),IF(E139="S3 SI &amp; PI",IF(V139="","Not added",V139),IF(E139="S4 Bare-PCB Fab",IF(Z139="","Not added",Z139),IF(E139="S5 Assembly",IF(AD139="","Not added",AD139),IF(E139="S6 Bring-up",IF(AH139="","Not added",AH139),IF(AL139="","Not added",AL139)))))))))</f>
        <v/>
      </c>
      <c r="H139" s="32" t="str">
        <f aca="true">IF($C139="","",IF(OR(F139="Completed",F139="Cancelled"),"",IF(NOT(ISNUMBER(G139)),"No date set",IF(TODAY()&gt;G139,TODAY()-G139&amp;" days late",G139-TODAY()&amp;" days left"))))</f>
        <v/>
      </c>
      <c r="I139" s="31" t="str">
        <f aca="false">IF($C139="","",COUNTIF(M139,"Completed")+COUNTIF(Q139,"Completed")+COUNTIF(U139,"Completed")+COUNTIF(Y139,"Completed")+COUNTIF(AC139,"Completed")+COUNTIF(AG139,"Completed")+COUNTIF(AK139,"Completed"))</f>
        <v/>
      </c>
      <c r="J139" s="31" t="str">
        <f aca="false">IF($C139="","",7-(COUNTIF(M139,"NA")+COUNTIF(Q139,"NA")+COUNTIF(U139,"NA")+COUNTIF(Y139,"NA")+COUNTIF(AC139,"NA")+COUNTIF(AG139,"NA")+COUNTIF(AK139,"NA")))</f>
        <v/>
      </c>
      <c r="K139" s="34" t="str">
        <f aca="false">IFERROR(I139/J139,"")</f>
        <v/>
      </c>
      <c r="L139" s="29"/>
      <c r="M139" s="35"/>
      <c r="N139" s="36"/>
      <c r="O139" s="36"/>
      <c r="P139" s="29"/>
      <c r="Q139" s="35"/>
      <c r="R139" s="36"/>
      <c r="S139" s="36"/>
      <c r="T139" s="29"/>
      <c r="U139" s="35"/>
      <c r="V139" s="36"/>
      <c r="W139" s="36"/>
      <c r="X139" s="29"/>
      <c r="Y139" s="35"/>
      <c r="Z139" s="36"/>
      <c r="AA139" s="36"/>
      <c r="AB139" s="29"/>
      <c r="AC139" s="35"/>
      <c r="AD139" s="36"/>
      <c r="AE139" s="36"/>
      <c r="AF139" s="29"/>
      <c r="AG139" s="35"/>
      <c r="AH139" s="36"/>
      <c r="AI139" s="36"/>
      <c r="AJ139" s="29"/>
      <c r="AK139" s="35"/>
      <c r="AL139" s="36"/>
      <c r="AM139" s="36"/>
      <c r="AN139" s="29"/>
      <c r="AO139" s="29"/>
      <c r="AP139" s="29"/>
      <c r="AQ139" s="37"/>
      <c r="AR139" s="39" t="str">
        <f aca="false">IF(AN139&lt;&gt;"Yes","",IF(AO139="","SELECT RE-ENTRY STAGE","MOVE TO ACTIVE at "&amp;AO139))</f>
        <v/>
      </c>
      <c r="AS139" s="40" t="str">
        <f aca="false">IF(AN139="Yes",COUNTIF($AN$6:AN139,"Yes"),"")</f>
        <v/>
      </c>
      <c r="AT139" s="29"/>
      <c r="AU139" s="38" t="str">
        <f aca="false">IF($C139="","",IF(OR(F139="Completed",F139="Cancelled"),"",IF(AND(OR(F139="On Hold",ISNUMBER(VALUE(LEFT(H139,2)))),AT139=""),"Reason not given","")))</f>
        <v/>
      </c>
      <c r="AV139" s="30"/>
      <c r="AW139" s="30"/>
    </row>
    <row r="140" customFormat="false" ht="19.5" hidden="false" customHeight="true" outlineLevel="0" collapsed="false">
      <c r="A140" s="28" t="str">
        <f aca="false">IF($C140="","",COUNTA($C$6:$C140))</f>
        <v/>
      </c>
      <c r="B140" s="29"/>
      <c r="C140" s="30"/>
      <c r="D140" s="29"/>
      <c r="E140" s="31" t="str">
        <f aca="false">IF($C140="","",IF(NOT(OR(M140="Completed",M140="NA",M140="Cancelled")),"S1 Schematic",IF(NOT(OR(Q140="Completed",Q140="NA",Q140="Cancelled")),"S2 PCB Layout",IF(NOT(OR(U140="Completed",U140="NA",U140="Cancelled")),"S3 SI &amp; PI",IF(NOT(OR(Y140="Completed",Y140="NA",Y140="Cancelled")),"S4 Bare-PCB Fab",IF(NOT(OR(AC140="Completed",AC140="NA",AC140="Cancelled")),"S5 Assembly",IF(NOT(OR(AG140="Completed",AG140="NA",AG140="Cancelled")),"S6 Bring-up",IF(NOT(OR(AK140="Completed",AK140="NA",AK140="Cancelled")),"S7 BOM Procurement","All Stages Closed"))))))))</f>
        <v/>
      </c>
      <c r="F140" s="32" t="str">
        <f aca="false">IF($C140="","",IF(COUNTIF(M140,"Cancelled")+COUNTIF(Q140,"Cancelled")+COUNTIF(U140,"Cancelled")+COUNTIF(Y140,"Cancelled")+COUNTIF(AC140,"Cancelled")+COUNTIF(AG140,"Cancelled")+COUNTIF(AK140,"Cancelled")&gt;0,"Cancelled",IF(E140="All Stages Closed","Completed",IF(E140="S1 Schematic",M140,IF(E140="S2 PCB Layout",Q140,IF(E140="S3 SI &amp; PI",U140,IF(E140="S4 Bare-PCB Fab",Y140,IF(E140="S5 Assembly",AC140,IF(E140="S6 Bring-up",AG140,AK140)))))))))</f>
        <v/>
      </c>
      <c r="G140" s="33" t="str">
        <f aca="false">IF($C140="","",IF(E140="All Stages Closed","",IF(E140="S1 Schematic",IF(N140="","Not added",N140),IF(E140="S2 PCB Layout",IF(R140="","Not added",R140),IF(E140="S3 SI &amp; PI",IF(V140="","Not added",V140),IF(E140="S4 Bare-PCB Fab",IF(Z140="","Not added",Z140),IF(E140="S5 Assembly",IF(AD140="","Not added",AD140),IF(E140="S6 Bring-up",IF(AH140="","Not added",AH140),IF(AL140="","Not added",AL140)))))))))</f>
        <v/>
      </c>
      <c r="H140" s="32" t="str">
        <f aca="true">IF($C140="","",IF(OR(F140="Completed",F140="Cancelled"),"",IF(NOT(ISNUMBER(G140)),"No date set",IF(TODAY()&gt;G140,TODAY()-G140&amp;" days late",G140-TODAY()&amp;" days left"))))</f>
        <v/>
      </c>
      <c r="I140" s="31" t="str">
        <f aca="false">IF($C140="","",COUNTIF(M140,"Completed")+COUNTIF(Q140,"Completed")+COUNTIF(U140,"Completed")+COUNTIF(Y140,"Completed")+COUNTIF(AC140,"Completed")+COUNTIF(AG140,"Completed")+COUNTIF(AK140,"Completed"))</f>
        <v/>
      </c>
      <c r="J140" s="31" t="str">
        <f aca="false">IF($C140="","",7-(COUNTIF(M140,"NA")+COUNTIF(Q140,"NA")+COUNTIF(U140,"NA")+COUNTIF(Y140,"NA")+COUNTIF(AC140,"NA")+COUNTIF(AG140,"NA")+COUNTIF(AK140,"NA")))</f>
        <v/>
      </c>
      <c r="K140" s="34" t="str">
        <f aca="false">IFERROR(I140/J140,"")</f>
        <v/>
      </c>
      <c r="L140" s="29"/>
      <c r="M140" s="35"/>
      <c r="N140" s="36"/>
      <c r="O140" s="36"/>
      <c r="P140" s="29"/>
      <c r="Q140" s="35"/>
      <c r="R140" s="36"/>
      <c r="S140" s="36"/>
      <c r="T140" s="29"/>
      <c r="U140" s="35"/>
      <c r="V140" s="36"/>
      <c r="W140" s="36"/>
      <c r="X140" s="29"/>
      <c r="Y140" s="35"/>
      <c r="Z140" s="36"/>
      <c r="AA140" s="36"/>
      <c r="AB140" s="29"/>
      <c r="AC140" s="35"/>
      <c r="AD140" s="36"/>
      <c r="AE140" s="36"/>
      <c r="AF140" s="29"/>
      <c r="AG140" s="35"/>
      <c r="AH140" s="36"/>
      <c r="AI140" s="36"/>
      <c r="AJ140" s="29"/>
      <c r="AK140" s="35"/>
      <c r="AL140" s="36"/>
      <c r="AM140" s="36"/>
      <c r="AN140" s="29"/>
      <c r="AO140" s="29"/>
      <c r="AP140" s="29"/>
      <c r="AQ140" s="37"/>
      <c r="AR140" s="39" t="str">
        <f aca="false">IF(AN140&lt;&gt;"Yes","",IF(AO140="","SELECT RE-ENTRY STAGE","MOVE TO ACTIVE at "&amp;AO140))</f>
        <v/>
      </c>
      <c r="AS140" s="40" t="str">
        <f aca="false">IF(AN140="Yes",COUNTIF($AN$6:AN140,"Yes"),"")</f>
        <v/>
      </c>
      <c r="AT140" s="29"/>
      <c r="AU140" s="38" t="str">
        <f aca="false">IF($C140="","",IF(OR(F140="Completed",F140="Cancelled"),"",IF(AND(OR(F140="On Hold",ISNUMBER(VALUE(LEFT(H140,2)))),AT140=""),"Reason not given","")))</f>
        <v/>
      </c>
      <c r="AV140" s="30"/>
      <c r="AW140" s="30"/>
    </row>
    <row r="141" customFormat="false" ht="19.5" hidden="false" customHeight="true" outlineLevel="0" collapsed="false">
      <c r="A141" s="28" t="str">
        <f aca="false">IF($C141="","",COUNTA($C$6:$C141))</f>
        <v/>
      </c>
      <c r="B141" s="29"/>
      <c r="C141" s="30"/>
      <c r="D141" s="29"/>
      <c r="E141" s="31" t="str">
        <f aca="false">IF($C141="","",IF(NOT(OR(M141="Completed",M141="NA",M141="Cancelled")),"S1 Schematic",IF(NOT(OR(Q141="Completed",Q141="NA",Q141="Cancelled")),"S2 PCB Layout",IF(NOT(OR(U141="Completed",U141="NA",U141="Cancelled")),"S3 SI &amp; PI",IF(NOT(OR(Y141="Completed",Y141="NA",Y141="Cancelled")),"S4 Bare-PCB Fab",IF(NOT(OR(AC141="Completed",AC141="NA",AC141="Cancelled")),"S5 Assembly",IF(NOT(OR(AG141="Completed",AG141="NA",AG141="Cancelled")),"S6 Bring-up",IF(NOT(OR(AK141="Completed",AK141="NA",AK141="Cancelled")),"S7 BOM Procurement","All Stages Closed"))))))))</f>
        <v/>
      </c>
      <c r="F141" s="32" t="str">
        <f aca="false">IF($C141="","",IF(COUNTIF(M141,"Cancelled")+COUNTIF(Q141,"Cancelled")+COUNTIF(U141,"Cancelled")+COUNTIF(Y141,"Cancelled")+COUNTIF(AC141,"Cancelled")+COUNTIF(AG141,"Cancelled")+COUNTIF(AK141,"Cancelled")&gt;0,"Cancelled",IF(E141="All Stages Closed","Completed",IF(E141="S1 Schematic",M141,IF(E141="S2 PCB Layout",Q141,IF(E141="S3 SI &amp; PI",U141,IF(E141="S4 Bare-PCB Fab",Y141,IF(E141="S5 Assembly",AC141,IF(E141="S6 Bring-up",AG141,AK141)))))))))</f>
        <v/>
      </c>
      <c r="G141" s="33" t="str">
        <f aca="false">IF($C141="","",IF(E141="All Stages Closed","",IF(E141="S1 Schematic",IF(N141="","Not added",N141),IF(E141="S2 PCB Layout",IF(R141="","Not added",R141),IF(E141="S3 SI &amp; PI",IF(V141="","Not added",V141),IF(E141="S4 Bare-PCB Fab",IF(Z141="","Not added",Z141),IF(E141="S5 Assembly",IF(AD141="","Not added",AD141),IF(E141="S6 Bring-up",IF(AH141="","Not added",AH141),IF(AL141="","Not added",AL141)))))))))</f>
        <v/>
      </c>
      <c r="H141" s="32" t="str">
        <f aca="true">IF($C141="","",IF(OR(F141="Completed",F141="Cancelled"),"",IF(NOT(ISNUMBER(G141)),"No date set",IF(TODAY()&gt;G141,TODAY()-G141&amp;" days late",G141-TODAY()&amp;" days left"))))</f>
        <v/>
      </c>
      <c r="I141" s="31" t="str">
        <f aca="false">IF($C141="","",COUNTIF(M141,"Completed")+COUNTIF(Q141,"Completed")+COUNTIF(U141,"Completed")+COUNTIF(Y141,"Completed")+COUNTIF(AC141,"Completed")+COUNTIF(AG141,"Completed")+COUNTIF(AK141,"Completed"))</f>
        <v/>
      </c>
      <c r="J141" s="31" t="str">
        <f aca="false">IF($C141="","",7-(COUNTIF(M141,"NA")+COUNTIF(Q141,"NA")+COUNTIF(U141,"NA")+COUNTIF(Y141,"NA")+COUNTIF(AC141,"NA")+COUNTIF(AG141,"NA")+COUNTIF(AK141,"NA")))</f>
        <v/>
      </c>
      <c r="K141" s="34" t="str">
        <f aca="false">IFERROR(I141/J141,"")</f>
        <v/>
      </c>
      <c r="L141" s="29"/>
      <c r="M141" s="35"/>
      <c r="N141" s="36"/>
      <c r="O141" s="36"/>
      <c r="P141" s="29"/>
      <c r="Q141" s="35"/>
      <c r="R141" s="36"/>
      <c r="S141" s="36"/>
      <c r="T141" s="29"/>
      <c r="U141" s="35"/>
      <c r="V141" s="36"/>
      <c r="W141" s="36"/>
      <c r="X141" s="29"/>
      <c r="Y141" s="35"/>
      <c r="Z141" s="36"/>
      <c r="AA141" s="36"/>
      <c r="AB141" s="29"/>
      <c r="AC141" s="35"/>
      <c r="AD141" s="36"/>
      <c r="AE141" s="36"/>
      <c r="AF141" s="29"/>
      <c r="AG141" s="35"/>
      <c r="AH141" s="36"/>
      <c r="AI141" s="36"/>
      <c r="AJ141" s="29"/>
      <c r="AK141" s="35"/>
      <c r="AL141" s="36"/>
      <c r="AM141" s="36"/>
      <c r="AN141" s="29"/>
      <c r="AO141" s="29"/>
      <c r="AP141" s="29"/>
      <c r="AQ141" s="37"/>
      <c r="AR141" s="39" t="str">
        <f aca="false">IF(AN141&lt;&gt;"Yes","",IF(AO141="","SELECT RE-ENTRY STAGE","MOVE TO ACTIVE at "&amp;AO141))</f>
        <v/>
      </c>
      <c r="AS141" s="40" t="str">
        <f aca="false">IF(AN141="Yes",COUNTIF($AN$6:AN141,"Yes"),"")</f>
        <v/>
      </c>
      <c r="AT141" s="29"/>
      <c r="AU141" s="38" t="str">
        <f aca="false">IF($C141="","",IF(OR(F141="Completed",F141="Cancelled"),"",IF(AND(OR(F141="On Hold",ISNUMBER(VALUE(LEFT(H141,2)))),AT141=""),"Reason not given","")))</f>
        <v/>
      </c>
      <c r="AV141" s="30"/>
      <c r="AW141" s="30"/>
    </row>
    <row r="142" customFormat="false" ht="19.5" hidden="false" customHeight="true" outlineLevel="0" collapsed="false">
      <c r="A142" s="28" t="str">
        <f aca="false">IF($C142="","",COUNTA($C$6:$C142))</f>
        <v/>
      </c>
      <c r="B142" s="29"/>
      <c r="C142" s="30"/>
      <c r="D142" s="29"/>
      <c r="E142" s="31" t="str">
        <f aca="false">IF($C142="","",IF(NOT(OR(M142="Completed",M142="NA",M142="Cancelled")),"S1 Schematic",IF(NOT(OR(Q142="Completed",Q142="NA",Q142="Cancelled")),"S2 PCB Layout",IF(NOT(OR(U142="Completed",U142="NA",U142="Cancelled")),"S3 SI &amp; PI",IF(NOT(OR(Y142="Completed",Y142="NA",Y142="Cancelled")),"S4 Bare-PCB Fab",IF(NOT(OR(AC142="Completed",AC142="NA",AC142="Cancelled")),"S5 Assembly",IF(NOT(OR(AG142="Completed",AG142="NA",AG142="Cancelled")),"S6 Bring-up",IF(NOT(OR(AK142="Completed",AK142="NA",AK142="Cancelled")),"S7 BOM Procurement","All Stages Closed"))))))))</f>
        <v/>
      </c>
      <c r="F142" s="32" t="str">
        <f aca="false">IF($C142="","",IF(COUNTIF(M142,"Cancelled")+COUNTIF(Q142,"Cancelled")+COUNTIF(U142,"Cancelled")+COUNTIF(Y142,"Cancelled")+COUNTIF(AC142,"Cancelled")+COUNTIF(AG142,"Cancelled")+COUNTIF(AK142,"Cancelled")&gt;0,"Cancelled",IF(E142="All Stages Closed","Completed",IF(E142="S1 Schematic",M142,IF(E142="S2 PCB Layout",Q142,IF(E142="S3 SI &amp; PI",U142,IF(E142="S4 Bare-PCB Fab",Y142,IF(E142="S5 Assembly",AC142,IF(E142="S6 Bring-up",AG142,AK142)))))))))</f>
        <v/>
      </c>
      <c r="G142" s="33" t="str">
        <f aca="false">IF($C142="","",IF(E142="All Stages Closed","",IF(E142="S1 Schematic",IF(N142="","Not added",N142),IF(E142="S2 PCB Layout",IF(R142="","Not added",R142),IF(E142="S3 SI &amp; PI",IF(V142="","Not added",V142),IF(E142="S4 Bare-PCB Fab",IF(Z142="","Not added",Z142),IF(E142="S5 Assembly",IF(AD142="","Not added",AD142),IF(E142="S6 Bring-up",IF(AH142="","Not added",AH142),IF(AL142="","Not added",AL142)))))))))</f>
        <v/>
      </c>
      <c r="H142" s="32" t="str">
        <f aca="true">IF($C142="","",IF(OR(F142="Completed",F142="Cancelled"),"",IF(NOT(ISNUMBER(G142)),"No date set",IF(TODAY()&gt;G142,TODAY()-G142&amp;" days late",G142-TODAY()&amp;" days left"))))</f>
        <v/>
      </c>
      <c r="I142" s="31" t="str">
        <f aca="false">IF($C142="","",COUNTIF(M142,"Completed")+COUNTIF(Q142,"Completed")+COUNTIF(U142,"Completed")+COUNTIF(Y142,"Completed")+COUNTIF(AC142,"Completed")+COUNTIF(AG142,"Completed")+COUNTIF(AK142,"Completed"))</f>
        <v/>
      </c>
      <c r="J142" s="31" t="str">
        <f aca="false">IF($C142="","",7-(COUNTIF(M142,"NA")+COUNTIF(Q142,"NA")+COUNTIF(U142,"NA")+COUNTIF(Y142,"NA")+COUNTIF(AC142,"NA")+COUNTIF(AG142,"NA")+COUNTIF(AK142,"NA")))</f>
        <v/>
      </c>
      <c r="K142" s="34" t="str">
        <f aca="false">IFERROR(I142/J142,"")</f>
        <v/>
      </c>
      <c r="L142" s="29"/>
      <c r="M142" s="35"/>
      <c r="N142" s="36"/>
      <c r="O142" s="36"/>
      <c r="P142" s="29"/>
      <c r="Q142" s="35"/>
      <c r="R142" s="36"/>
      <c r="S142" s="36"/>
      <c r="T142" s="29"/>
      <c r="U142" s="35"/>
      <c r="V142" s="36"/>
      <c r="W142" s="36"/>
      <c r="X142" s="29"/>
      <c r="Y142" s="35"/>
      <c r="Z142" s="36"/>
      <c r="AA142" s="36"/>
      <c r="AB142" s="29"/>
      <c r="AC142" s="35"/>
      <c r="AD142" s="36"/>
      <c r="AE142" s="36"/>
      <c r="AF142" s="29"/>
      <c r="AG142" s="35"/>
      <c r="AH142" s="36"/>
      <c r="AI142" s="36"/>
      <c r="AJ142" s="29"/>
      <c r="AK142" s="35"/>
      <c r="AL142" s="36"/>
      <c r="AM142" s="36"/>
      <c r="AN142" s="29"/>
      <c r="AO142" s="29"/>
      <c r="AP142" s="29"/>
      <c r="AQ142" s="37"/>
      <c r="AR142" s="39" t="str">
        <f aca="false">IF(AN142&lt;&gt;"Yes","",IF(AO142="","SELECT RE-ENTRY STAGE","MOVE TO ACTIVE at "&amp;AO142))</f>
        <v/>
      </c>
      <c r="AS142" s="40" t="str">
        <f aca="false">IF(AN142="Yes",COUNTIF($AN$6:AN142,"Yes"),"")</f>
        <v/>
      </c>
      <c r="AT142" s="29"/>
      <c r="AU142" s="38" t="str">
        <f aca="false">IF($C142="","",IF(OR(F142="Completed",F142="Cancelled"),"",IF(AND(OR(F142="On Hold",ISNUMBER(VALUE(LEFT(H142,2)))),AT142=""),"Reason not given","")))</f>
        <v/>
      </c>
      <c r="AV142" s="30"/>
      <c r="AW142" s="30"/>
    </row>
    <row r="143" customFormat="false" ht="19.5" hidden="false" customHeight="true" outlineLevel="0" collapsed="false">
      <c r="A143" s="28" t="str">
        <f aca="false">IF($C143="","",COUNTA($C$6:$C143))</f>
        <v/>
      </c>
      <c r="B143" s="29"/>
      <c r="C143" s="30"/>
      <c r="D143" s="29"/>
      <c r="E143" s="31" t="str">
        <f aca="false">IF($C143="","",IF(NOT(OR(M143="Completed",M143="NA",M143="Cancelled")),"S1 Schematic",IF(NOT(OR(Q143="Completed",Q143="NA",Q143="Cancelled")),"S2 PCB Layout",IF(NOT(OR(U143="Completed",U143="NA",U143="Cancelled")),"S3 SI &amp; PI",IF(NOT(OR(Y143="Completed",Y143="NA",Y143="Cancelled")),"S4 Bare-PCB Fab",IF(NOT(OR(AC143="Completed",AC143="NA",AC143="Cancelled")),"S5 Assembly",IF(NOT(OR(AG143="Completed",AG143="NA",AG143="Cancelled")),"S6 Bring-up",IF(NOT(OR(AK143="Completed",AK143="NA",AK143="Cancelled")),"S7 BOM Procurement","All Stages Closed"))))))))</f>
        <v/>
      </c>
      <c r="F143" s="32" t="str">
        <f aca="false">IF($C143="","",IF(COUNTIF(M143,"Cancelled")+COUNTIF(Q143,"Cancelled")+COUNTIF(U143,"Cancelled")+COUNTIF(Y143,"Cancelled")+COUNTIF(AC143,"Cancelled")+COUNTIF(AG143,"Cancelled")+COUNTIF(AK143,"Cancelled")&gt;0,"Cancelled",IF(E143="All Stages Closed","Completed",IF(E143="S1 Schematic",M143,IF(E143="S2 PCB Layout",Q143,IF(E143="S3 SI &amp; PI",U143,IF(E143="S4 Bare-PCB Fab",Y143,IF(E143="S5 Assembly",AC143,IF(E143="S6 Bring-up",AG143,AK143)))))))))</f>
        <v/>
      </c>
      <c r="G143" s="33" t="str">
        <f aca="false">IF($C143="","",IF(E143="All Stages Closed","",IF(E143="S1 Schematic",IF(N143="","Not added",N143),IF(E143="S2 PCB Layout",IF(R143="","Not added",R143),IF(E143="S3 SI &amp; PI",IF(V143="","Not added",V143),IF(E143="S4 Bare-PCB Fab",IF(Z143="","Not added",Z143),IF(E143="S5 Assembly",IF(AD143="","Not added",AD143),IF(E143="S6 Bring-up",IF(AH143="","Not added",AH143),IF(AL143="","Not added",AL143)))))))))</f>
        <v/>
      </c>
      <c r="H143" s="32" t="str">
        <f aca="true">IF($C143="","",IF(OR(F143="Completed",F143="Cancelled"),"",IF(NOT(ISNUMBER(G143)),"No date set",IF(TODAY()&gt;G143,TODAY()-G143&amp;" days late",G143-TODAY()&amp;" days left"))))</f>
        <v/>
      </c>
      <c r="I143" s="31" t="str">
        <f aca="false">IF($C143="","",COUNTIF(M143,"Completed")+COUNTIF(Q143,"Completed")+COUNTIF(U143,"Completed")+COUNTIF(Y143,"Completed")+COUNTIF(AC143,"Completed")+COUNTIF(AG143,"Completed")+COUNTIF(AK143,"Completed"))</f>
        <v/>
      </c>
      <c r="J143" s="31" t="str">
        <f aca="false">IF($C143="","",7-(COUNTIF(M143,"NA")+COUNTIF(Q143,"NA")+COUNTIF(U143,"NA")+COUNTIF(Y143,"NA")+COUNTIF(AC143,"NA")+COUNTIF(AG143,"NA")+COUNTIF(AK143,"NA")))</f>
        <v/>
      </c>
      <c r="K143" s="34" t="str">
        <f aca="false">IFERROR(I143/J143,"")</f>
        <v/>
      </c>
      <c r="L143" s="29"/>
      <c r="M143" s="35"/>
      <c r="N143" s="36"/>
      <c r="O143" s="36"/>
      <c r="P143" s="29"/>
      <c r="Q143" s="35"/>
      <c r="R143" s="36"/>
      <c r="S143" s="36"/>
      <c r="T143" s="29"/>
      <c r="U143" s="35"/>
      <c r="V143" s="36"/>
      <c r="W143" s="36"/>
      <c r="X143" s="29"/>
      <c r="Y143" s="35"/>
      <c r="Z143" s="36"/>
      <c r="AA143" s="36"/>
      <c r="AB143" s="29"/>
      <c r="AC143" s="35"/>
      <c r="AD143" s="36"/>
      <c r="AE143" s="36"/>
      <c r="AF143" s="29"/>
      <c r="AG143" s="35"/>
      <c r="AH143" s="36"/>
      <c r="AI143" s="36"/>
      <c r="AJ143" s="29"/>
      <c r="AK143" s="35"/>
      <c r="AL143" s="36"/>
      <c r="AM143" s="36"/>
      <c r="AN143" s="29"/>
      <c r="AO143" s="29"/>
      <c r="AP143" s="29"/>
      <c r="AQ143" s="37"/>
      <c r="AR143" s="39" t="str">
        <f aca="false">IF(AN143&lt;&gt;"Yes","",IF(AO143="","SELECT RE-ENTRY STAGE","MOVE TO ACTIVE at "&amp;AO143))</f>
        <v/>
      </c>
      <c r="AS143" s="40" t="str">
        <f aca="false">IF(AN143="Yes",COUNTIF($AN$6:AN143,"Yes"),"")</f>
        <v/>
      </c>
      <c r="AT143" s="29"/>
      <c r="AU143" s="38" t="str">
        <f aca="false">IF($C143="","",IF(OR(F143="Completed",F143="Cancelled"),"",IF(AND(OR(F143="On Hold",ISNUMBER(VALUE(LEFT(H143,2)))),AT143=""),"Reason not given","")))</f>
        <v/>
      </c>
      <c r="AV143" s="30"/>
      <c r="AW143" s="30"/>
    </row>
    <row r="144" customFormat="false" ht="19.5" hidden="false" customHeight="true" outlineLevel="0" collapsed="false">
      <c r="A144" s="28" t="str">
        <f aca="false">IF($C144="","",COUNTA($C$6:$C144))</f>
        <v/>
      </c>
      <c r="B144" s="29"/>
      <c r="C144" s="30"/>
      <c r="D144" s="29"/>
      <c r="E144" s="31" t="str">
        <f aca="false">IF($C144="","",IF(NOT(OR(M144="Completed",M144="NA",M144="Cancelled")),"S1 Schematic",IF(NOT(OR(Q144="Completed",Q144="NA",Q144="Cancelled")),"S2 PCB Layout",IF(NOT(OR(U144="Completed",U144="NA",U144="Cancelled")),"S3 SI &amp; PI",IF(NOT(OR(Y144="Completed",Y144="NA",Y144="Cancelled")),"S4 Bare-PCB Fab",IF(NOT(OR(AC144="Completed",AC144="NA",AC144="Cancelled")),"S5 Assembly",IF(NOT(OR(AG144="Completed",AG144="NA",AG144="Cancelled")),"S6 Bring-up",IF(NOT(OR(AK144="Completed",AK144="NA",AK144="Cancelled")),"S7 BOM Procurement","All Stages Closed"))))))))</f>
        <v/>
      </c>
      <c r="F144" s="32" t="str">
        <f aca="false">IF($C144="","",IF(COUNTIF(M144,"Cancelled")+COUNTIF(Q144,"Cancelled")+COUNTIF(U144,"Cancelled")+COUNTIF(Y144,"Cancelled")+COUNTIF(AC144,"Cancelled")+COUNTIF(AG144,"Cancelled")+COUNTIF(AK144,"Cancelled")&gt;0,"Cancelled",IF(E144="All Stages Closed","Completed",IF(E144="S1 Schematic",M144,IF(E144="S2 PCB Layout",Q144,IF(E144="S3 SI &amp; PI",U144,IF(E144="S4 Bare-PCB Fab",Y144,IF(E144="S5 Assembly",AC144,IF(E144="S6 Bring-up",AG144,AK144)))))))))</f>
        <v/>
      </c>
      <c r="G144" s="33" t="str">
        <f aca="false">IF($C144="","",IF(E144="All Stages Closed","",IF(E144="S1 Schematic",IF(N144="","Not added",N144),IF(E144="S2 PCB Layout",IF(R144="","Not added",R144),IF(E144="S3 SI &amp; PI",IF(V144="","Not added",V144),IF(E144="S4 Bare-PCB Fab",IF(Z144="","Not added",Z144),IF(E144="S5 Assembly",IF(AD144="","Not added",AD144),IF(E144="S6 Bring-up",IF(AH144="","Not added",AH144),IF(AL144="","Not added",AL144)))))))))</f>
        <v/>
      </c>
      <c r="H144" s="32" t="str">
        <f aca="true">IF($C144="","",IF(OR(F144="Completed",F144="Cancelled"),"",IF(NOT(ISNUMBER(G144)),"No date set",IF(TODAY()&gt;G144,TODAY()-G144&amp;" days late",G144-TODAY()&amp;" days left"))))</f>
        <v/>
      </c>
      <c r="I144" s="31" t="str">
        <f aca="false">IF($C144="","",COUNTIF(M144,"Completed")+COUNTIF(Q144,"Completed")+COUNTIF(U144,"Completed")+COUNTIF(Y144,"Completed")+COUNTIF(AC144,"Completed")+COUNTIF(AG144,"Completed")+COUNTIF(AK144,"Completed"))</f>
        <v/>
      </c>
      <c r="J144" s="31" t="str">
        <f aca="false">IF($C144="","",7-(COUNTIF(M144,"NA")+COUNTIF(Q144,"NA")+COUNTIF(U144,"NA")+COUNTIF(Y144,"NA")+COUNTIF(AC144,"NA")+COUNTIF(AG144,"NA")+COUNTIF(AK144,"NA")))</f>
        <v/>
      </c>
      <c r="K144" s="34" t="str">
        <f aca="false">IFERROR(I144/J144,"")</f>
        <v/>
      </c>
      <c r="L144" s="29"/>
      <c r="M144" s="35"/>
      <c r="N144" s="36"/>
      <c r="O144" s="36"/>
      <c r="P144" s="29"/>
      <c r="Q144" s="35"/>
      <c r="R144" s="36"/>
      <c r="S144" s="36"/>
      <c r="T144" s="29"/>
      <c r="U144" s="35"/>
      <c r="V144" s="36"/>
      <c r="W144" s="36"/>
      <c r="X144" s="29"/>
      <c r="Y144" s="35"/>
      <c r="Z144" s="36"/>
      <c r="AA144" s="36"/>
      <c r="AB144" s="29"/>
      <c r="AC144" s="35"/>
      <c r="AD144" s="36"/>
      <c r="AE144" s="36"/>
      <c r="AF144" s="29"/>
      <c r="AG144" s="35"/>
      <c r="AH144" s="36"/>
      <c r="AI144" s="36"/>
      <c r="AJ144" s="29"/>
      <c r="AK144" s="35"/>
      <c r="AL144" s="36"/>
      <c r="AM144" s="36"/>
      <c r="AN144" s="29"/>
      <c r="AO144" s="29"/>
      <c r="AP144" s="29"/>
      <c r="AQ144" s="37"/>
      <c r="AR144" s="39" t="str">
        <f aca="false">IF(AN144&lt;&gt;"Yes","",IF(AO144="","SELECT RE-ENTRY STAGE","MOVE TO ACTIVE at "&amp;AO144))</f>
        <v/>
      </c>
      <c r="AS144" s="40" t="str">
        <f aca="false">IF(AN144="Yes",COUNTIF($AN$6:AN144,"Yes"),"")</f>
        <v/>
      </c>
      <c r="AT144" s="29"/>
      <c r="AU144" s="38" t="str">
        <f aca="false">IF($C144="","",IF(OR(F144="Completed",F144="Cancelled"),"",IF(AND(OR(F144="On Hold",ISNUMBER(VALUE(LEFT(H144,2)))),AT144=""),"Reason not given","")))</f>
        <v/>
      </c>
      <c r="AV144" s="30"/>
      <c r="AW144" s="30"/>
    </row>
    <row r="145" customFormat="false" ht="19.5" hidden="false" customHeight="true" outlineLevel="0" collapsed="false">
      <c r="A145" s="28" t="str">
        <f aca="false">IF($C145="","",COUNTA($C$6:$C145))</f>
        <v/>
      </c>
      <c r="B145" s="29"/>
      <c r="C145" s="30"/>
      <c r="D145" s="29"/>
      <c r="E145" s="31" t="str">
        <f aca="false">IF($C145="","",IF(NOT(OR(M145="Completed",M145="NA",M145="Cancelled")),"S1 Schematic",IF(NOT(OR(Q145="Completed",Q145="NA",Q145="Cancelled")),"S2 PCB Layout",IF(NOT(OR(U145="Completed",U145="NA",U145="Cancelled")),"S3 SI &amp; PI",IF(NOT(OR(Y145="Completed",Y145="NA",Y145="Cancelled")),"S4 Bare-PCB Fab",IF(NOT(OR(AC145="Completed",AC145="NA",AC145="Cancelled")),"S5 Assembly",IF(NOT(OR(AG145="Completed",AG145="NA",AG145="Cancelled")),"S6 Bring-up",IF(NOT(OR(AK145="Completed",AK145="NA",AK145="Cancelled")),"S7 BOM Procurement","All Stages Closed"))))))))</f>
        <v/>
      </c>
      <c r="F145" s="32" t="str">
        <f aca="false">IF($C145="","",IF(COUNTIF(M145,"Cancelled")+COUNTIF(Q145,"Cancelled")+COUNTIF(U145,"Cancelled")+COUNTIF(Y145,"Cancelled")+COUNTIF(AC145,"Cancelled")+COUNTIF(AG145,"Cancelled")+COUNTIF(AK145,"Cancelled")&gt;0,"Cancelled",IF(E145="All Stages Closed","Completed",IF(E145="S1 Schematic",M145,IF(E145="S2 PCB Layout",Q145,IF(E145="S3 SI &amp; PI",U145,IF(E145="S4 Bare-PCB Fab",Y145,IF(E145="S5 Assembly",AC145,IF(E145="S6 Bring-up",AG145,AK145)))))))))</f>
        <v/>
      </c>
      <c r="G145" s="33" t="str">
        <f aca="false">IF($C145="","",IF(E145="All Stages Closed","",IF(E145="S1 Schematic",IF(N145="","Not added",N145),IF(E145="S2 PCB Layout",IF(R145="","Not added",R145),IF(E145="S3 SI &amp; PI",IF(V145="","Not added",V145),IF(E145="S4 Bare-PCB Fab",IF(Z145="","Not added",Z145),IF(E145="S5 Assembly",IF(AD145="","Not added",AD145),IF(E145="S6 Bring-up",IF(AH145="","Not added",AH145),IF(AL145="","Not added",AL145)))))))))</f>
        <v/>
      </c>
      <c r="H145" s="32" t="str">
        <f aca="true">IF($C145="","",IF(OR(F145="Completed",F145="Cancelled"),"",IF(NOT(ISNUMBER(G145)),"No date set",IF(TODAY()&gt;G145,TODAY()-G145&amp;" days late",G145-TODAY()&amp;" days left"))))</f>
        <v/>
      </c>
      <c r="I145" s="31" t="str">
        <f aca="false">IF($C145="","",COUNTIF(M145,"Completed")+COUNTIF(Q145,"Completed")+COUNTIF(U145,"Completed")+COUNTIF(Y145,"Completed")+COUNTIF(AC145,"Completed")+COUNTIF(AG145,"Completed")+COUNTIF(AK145,"Completed"))</f>
        <v/>
      </c>
      <c r="J145" s="31" t="str">
        <f aca="false">IF($C145="","",7-(COUNTIF(M145,"NA")+COUNTIF(Q145,"NA")+COUNTIF(U145,"NA")+COUNTIF(Y145,"NA")+COUNTIF(AC145,"NA")+COUNTIF(AG145,"NA")+COUNTIF(AK145,"NA")))</f>
        <v/>
      </c>
      <c r="K145" s="34" t="str">
        <f aca="false">IFERROR(I145/J145,"")</f>
        <v/>
      </c>
      <c r="L145" s="29"/>
      <c r="M145" s="35"/>
      <c r="N145" s="36"/>
      <c r="O145" s="36"/>
      <c r="P145" s="29"/>
      <c r="Q145" s="35"/>
      <c r="R145" s="36"/>
      <c r="S145" s="36"/>
      <c r="T145" s="29"/>
      <c r="U145" s="35"/>
      <c r="V145" s="36"/>
      <c r="W145" s="36"/>
      <c r="X145" s="29"/>
      <c r="Y145" s="35"/>
      <c r="Z145" s="36"/>
      <c r="AA145" s="36"/>
      <c r="AB145" s="29"/>
      <c r="AC145" s="35"/>
      <c r="AD145" s="36"/>
      <c r="AE145" s="36"/>
      <c r="AF145" s="29"/>
      <c r="AG145" s="35"/>
      <c r="AH145" s="36"/>
      <c r="AI145" s="36"/>
      <c r="AJ145" s="29"/>
      <c r="AK145" s="35"/>
      <c r="AL145" s="36"/>
      <c r="AM145" s="36"/>
      <c r="AN145" s="29"/>
      <c r="AO145" s="29"/>
      <c r="AP145" s="29"/>
      <c r="AQ145" s="37"/>
      <c r="AR145" s="39" t="str">
        <f aca="false">IF(AN145&lt;&gt;"Yes","",IF(AO145="","SELECT RE-ENTRY STAGE","MOVE TO ACTIVE at "&amp;AO145))</f>
        <v/>
      </c>
      <c r="AS145" s="40" t="str">
        <f aca="false">IF(AN145="Yes",COUNTIF($AN$6:AN145,"Yes"),"")</f>
        <v/>
      </c>
      <c r="AT145" s="29"/>
      <c r="AU145" s="38" t="str">
        <f aca="false">IF($C145="","",IF(OR(F145="Completed",F145="Cancelled"),"",IF(AND(OR(F145="On Hold",ISNUMBER(VALUE(LEFT(H145,2)))),AT145=""),"Reason not given","")))</f>
        <v/>
      </c>
      <c r="AV145" s="30"/>
      <c r="AW145" s="30"/>
    </row>
    <row r="146" customFormat="false" ht="19.5" hidden="false" customHeight="true" outlineLevel="0" collapsed="false">
      <c r="A146" s="28" t="str">
        <f aca="false">IF($C146="","",COUNTA($C$6:$C146))</f>
        <v/>
      </c>
      <c r="B146" s="29"/>
      <c r="C146" s="30"/>
      <c r="D146" s="29"/>
      <c r="E146" s="31" t="str">
        <f aca="false">IF($C146="","",IF(NOT(OR(M146="Completed",M146="NA",M146="Cancelled")),"S1 Schematic",IF(NOT(OR(Q146="Completed",Q146="NA",Q146="Cancelled")),"S2 PCB Layout",IF(NOT(OR(U146="Completed",U146="NA",U146="Cancelled")),"S3 SI &amp; PI",IF(NOT(OR(Y146="Completed",Y146="NA",Y146="Cancelled")),"S4 Bare-PCB Fab",IF(NOT(OR(AC146="Completed",AC146="NA",AC146="Cancelled")),"S5 Assembly",IF(NOT(OR(AG146="Completed",AG146="NA",AG146="Cancelled")),"S6 Bring-up",IF(NOT(OR(AK146="Completed",AK146="NA",AK146="Cancelled")),"S7 BOM Procurement","All Stages Closed"))))))))</f>
        <v/>
      </c>
      <c r="F146" s="32" t="str">
        <f aca="false">IF($C146="","",IF(COUNTIF(M146,"Cancelled")+COUNTIF(Q146,"Cancelled")+COUNTIF(U146,"Cancelled")+COUNTIF(Y146,"Cancelled")+COUNTIF(AC146,"Cancelled")+COUNTIF(AG146,"Cancelled")+COUNTIF(AK146,"Cancelled")&gt;0,"Cancelled",IF(E146="All Stages Closed","Completed",IF(E146="S1 Schematic",M146,IF(E146="S2 PCB Layout",Q146,IF(E146="S3 SI &amp; PI",U146,IF(E146="S4 Bare-PCB Fab",Y146,IF(E146="S5 Assembly",AC146,IF(E146="S6 Bring-up",AG146,AK146)))))))))</f>
        <v/>
      </c>
      <c r="G146" s="33" t="str">
        <f aca="false">IF($C146="","",IF(E146="All Stages Closed","",IF(E146="S1 Schematic",IF(N146="","Not added",N146),IF(E146="S2 PCB Layout",IF(R146="","Not added",R146),IF(E146="S3 SI &amp; PI",IF(V146="","Not added",V146),IF(E146="S4 Bare-PCB Fab",IF(Z146="","Not added",Z146),IF(E146="S5 Assembly",IF(AD146="","Not added",AD146),IF(E146="S6 Bring-up",IF(AH146="","Not added",AH146),IF(AL146="","Not added",AL146)))))))))</f>
        <v/>
      </c>
      <c r="H146" s="32" t="str">
        <f aca="true">IF($C146="","",IF(OR(F146="Completed",F146="Cancelled"),"",IF(NOT(ISNUMBER(G146)),"No date set",IF(TODAY()&gt;G146,TODAY()-G146&amp;" days late",G146-TODAY()&amp;" days left"))))</f>
        <v/>
      </c>
      <c r="I146" s="31" t="str">
        <f aca="false">IF($C146="","",COUNTIF(M146,"Completed")+COUNTIF(Q146,"Completed")+COUNTIF(U146,"Completed")+COUNTIF(Y146,"Completed")+COUNTIF(AC146,"Completed")+COUNTIF(AG146,"Completed")+COUNTIF(AK146,"Completed"))</f>
        <v/>
      </c>
      <c r="J146" s="31" t="str">
        <f aca="false">IF($C146="","",7-(COUNTIF(M146,"NA")+COUNTIF(Q146,"NA")+COUNTIF(U146,"NA")+COUNTIF(Y146,"NA")+COUNTIF(AC146,"NA")+COUNTIF(AG146,"NA")+COUNTIF(AK146,"NA")))</f>
        <v/>
      </c>
      <c r="K146" s="34" t="str">
        <f aca="false">IFERROR(I146/J146,"")</f>
        <v/>
      </c>
      <c r="L146" s="29"/>
      <c r="M146" s="35"/>
      <c r="N146" s="36"/>
      <c r="O146" s="36"/>
      <c r="P146" s="29"/>
      <c r="Q146" s="35"/>
      <c r="R146" s="36"/>
      <c r="S146" s="36"/>
      <c r="T146" s="29"/>
      <c r="U146" s="35"/>
      <c r="V146" s="36"/>
      <c r="W146" s="36"/>
      <c r="X146" s="29"/>
      <c r="Y146" s="35"/>
      <c r="Z146" s="36"/>
      <c r="AA146" s="36"/>
      <c r="AB146" s="29"/>
      <c r="AC146" s="35"/>
      <c r="AD146" s="36"/>
      <c r="AE146" s="36"/>
      <c r="AF146" s="29"/>
      <c r="AG146" s="35"/>
      <c r="AH146" s="36"/>
      <c r="AI146" s="36"/>
      <c r="AJ146" s="29"/>
      <c r="AK146" s="35"/>
      <c r="AL146" s="36"/>
      <c r="AM146" s="36"/>
      <c r="AN146" s="29"/>
      <c r="AO146" s="29"/>
      <c r="AP146" s="29"/>
      <c r="AQ146" s="37"/>
      <c r="AR146" s="39" t="str">
        <f aca="false">IF(AN146&lt;&gt;"Yes","",IF(AO146="","SELECT RE-ENTRY STAGE","MOVE TO ACTIVE at "&amp;AO146))</f>
        <v/>
      </c>
      <c r="AS146" s="40" t="str">
        <f aca="false">IF(AN146="Yes",COUNTIF($AN$6:AN146,"Yes"),"")</f>
        <v/>
      </c>
      <c r="AT146" s="29"/>
      <c r="AU146" s="38" t="str">
        <f aca="false">IF($C146="","",IF(OR(F146="Completed",F146="Cancelled"),"",IF(AND(OR(F146="On Hold",ISNUMBER(VALUE(LEFT(H146,2)))),AT146=""),"Reason not given","")))</f>
        <v/>
      </c>
      <c r="AV146" s="30"/>
      <c r="AW146" s="30"/>
    </row>
    <row r="147" customFormat="false" ht="19.5" hidden="false" customHeight="true" outlineLevel="0" collapsed="false">
      <c r="A147" s="28" t="str">
        <f aca="false">IF($C147="","",COUNTA($C$6:$C147))</f>
        <v/>
      </c>
      <c r="B147" s="29"/>
      <c r="C147" s="30"/>
      <c r="D147" s="29"/>
      <c r="E147" s="31" t="str">
        <f aca="false">IF($C147="","",IF(NOT(OR(M147="Completed",M147="NA",M147="Cancelled")),"S1 Schematic",IF(NOT(OR(Q147="Completed",Q147="NA",Q147="Cancelled")),"S2 PCB Layout",IF(NOT(OR(U147="Completed",U147="NA",U147="Cancelled")),"S3 SI &amp; PI",IF(NOT(OR(Y147="Completed",Y147="NA",Y147="Cancelled")),"S4 Bare-PCB Fab",IF(NOT(OR(AC147="Completed",AC147="NA",AC147="Cancelled")),"S5 Assembly",IF(NOT(OR(AG147="Completed",AG147="NA",AG147="Cancelled")),"S6 Bring-up",IF(NOT(OR(AK147="Completed",AK147="NA",AK147="Cancelled")),"S7 BOM Procurement","All Stages Closed"))))))))</f>
        <v/>
      </c>
      <c r="F147" s="32" t="str">
        <f aca="false">IF($C147="","",IF(COUNTIF(M147,"Cancelled")+COUNTIF(Q147,"Cancelled")+COUNTIF(U147,"Cancelled")+COUNTIF(Y147,"Cancelled")+COUNTIF(AC147,"Cancelled")+COUNTIF(AG147,"Cancelled")+COUNTIF(AK147,"Cancelled")&gt;0,"Cancelled",IF(E147="All Stages Closed","Completed",IF(E147="S1 Schematic",M147,IF(E147="S2 PCB Layout",Q147,IF(E147="S3 SI &amp; PI",U147,IF(E147="S4 Bare-PCB Fab",Y147,IF(E147="S5 Assembly",AC147,IF(E147="S6 Bring-up",AG147,AK147)))))))))</f>
        <v/>
      </c>
      <c r="G147" s="33" t="str">
        <f aca="false">IF($C147="","",IF(E147="All Stages Closed","",IF(E147="S1 Schematic",IF(N147="","Not added",N147),IF(E147="S2 PCB Layout",IF(R147="","Not added",R147),IF(E147="S3 SI &amp; PI",IF(V147="","Not added",V147),IF(E147="S4 Bare-PCB Fab",IF(Z147="","Not added",Z147),IF(E147="S5 Assembly",IF(AD147="","Not added",AD147),IF(E147="S6 Bring-up",IF(AH147="","Not added",AH147),IF(AL147="","Not added",AL147)))))))))</f>
        <v/>
      </c>
      <c r="H147" s="32" t="str">
        <f aca="true">IF($C147="","",IF(OR(F147="Completed",F147="Cancelled"),"",IF(NOT(ISNUMBER(G147)),"No date set",IF(TODAY()&gt;G147,TODAY()-G147&amp;" days late",G147-TODAY()&amp;" days left"))))</f>
        <v/>
      </c>
      <c r="I147" s="31" t="str">
        <f aca="false">IF($C147="","",COUNTIF(M147,"Completed")+COUNTIF(Q147,"Completed")+COUNTIF(U147,"Completed")+COUNTIF(Y147,"Completed")+COUNTIF(AC147,"Completed")+COUNTIF(AG147,"Completed")+COUNTIF(AK147,"Completed"))</f>
        <v/>
      </c>
      <c r="J147" s="31" t="str">
        <f aca="false">IF($C147="","",7-(COUNTIF(M147,"NA")+COUNTIF(Q147,"NA")+COUNTIF(U147,"NA")+COUNTIF(Y147,"NA")+COUNTIF(AC147,"NA")+COUNTIF(AG147,"NA")+COUNTIF(AK147,"NA")))</f>
        <v/>
      </c>
      <c r="K147" s="34" t="str">
        <f aca="false">IFERROR(I147/J147,"")</f>
        <v/>
      </c>
      <c r="L147" s="29"/>
      <c r="M147" s="35"/>
      <c r="N147" s="36"/>
      <c r="O147" s="36"/>
      <c r="P147" s="29"/>
      <c r="Q147" s="35"/>
      <c r="R147" s="36"/>
      <c r="S147" s="36"/>
      <c r="T147" s="29"/>
      <c r="U147" s="35"/>
      <c r="V147" s="36"/>
      <c r="W147" s="36"/>
      <c r="X147" s="29"/>
      <c r="Y147" s="35"/>
      <c r="Z147" s="36"/>
      <c r="AA147" s="36"/>
      <c r="AB147" s="29"/>
      <c r="AC147" s="35"/>
      <c r="AD147" s="36"/>
      <c r="AE147" s="36"/>
      <c r="AF147" s="29"/>
      <c r="AG147" s="35"/>
      <c r="AH147" s="36"/>
      <c r="AI147" s="36"/>
      <c r="AJ147" s="29"/>
      <c r="AK147" s="35"/>
      <c r="AL147" s="36"/>
      <c r="AM147" s="36"/>
      <c r="AN147" s="29"/>
      <c r="AO147" s="29"/>
      <c r="AP147" s="29"/>
      <c r="AQ147" s="37"/>
      <c r="AR147" s="39" t="str">
        <f aca="false">IF(AN147&lt;&gt;"Yes","",IF(AO147="","SELECT RE-ENTRY STAGE","MOVE TO ACTIVE at "&amp;AO147))</f>
        <v/>
      </c>
      <c r="AS147" s="40" t="str">
        <f aca="false">IF(AN147="Yes",COUNTIF($AN$6:AN147,"Yes"),"")</f>
        <v/>
      </c>
      <c r="AT147" s="29"/>
      <c r="AU147" s="38" t="str">
        <f aca="false">IF($C147="","",IF(OR(F147="Completed",F147="Cancelled"),"",IF(AND(OR(F147="On Hold",ISNUMBER(VALUE(LEFT(H147,2)))),AT147=""),"Reason not given","")))</f>
        <v/>
      </c>
      <c r="AV147" s="30"/>
      <c r="AW147" s="30"/>
    </row>
    <row r="148" customFormat="false" ht="19.5" hidden="false" customHeight="true" outlineLevel="0" collapsed="false">
      <c r="A148" s="28" t="str">
        <f aca="false">IF($C148="","",COUNTA($C$6:$C148))</f>
        <v/>
      </c>
      <c r="B148" s="29"/>
      <c r="C148" s="30"/>
      <c r="D148" s="29"/>
      <c r="E148" s="31" t="str">
        <f aca="false">IF($C148="","",IF(NOT(OR(M148="Completed",M148="NA",M148="Cancelled")),"S1 Schematic",IF(NOT(OR(Q148="Completed",Q148="NA",Q148="Cancelled")),"S2 PCB Layout",IF(NOT(OR(U148="Completed",U148="NA",U148="Cancelled")),"S3 SI &amp; PI",IF(NOT(OR(Y148="Completed",Y148="NA",Y148="Cancelled")),"S4 Bare-PCB Fab",IF(NOT(OR(AC148="Completed",AC148="NA",AC148="Cancelled")),"S5 Assembly",IF(NOT(OR(AG148="Completed",AG148="NA",AG148="Cancelled")),"S6 Bring-up",IF(NOT(OR(AK148="Completed",AK148="NA",AK148="Cancelled")),"S7 BOM Procurement","All Stages Closed"))))))))</f>
        <v/>
      </c>
      <c r="F148" s="32" t="str">
        <f aca="false">IF($C148="","",IF(COUNTIF(M148,"Cancelled")+COUNTIF(Q148,"Cancelled")+COUNTIF(U148,"Cancelled")+COUNTIF(Y148,"Cancelled")+COUNTIF(AC148,"Cancelled")+COUNTIF(AG148,"Cancelled")+COUNTIF(AK148,"Cancelled")&gt;0,"Cancelled",IF(E148="All Stages Closed","Completed",IF(E148="S1 Schematic",M148,IF(E148="S2 PCB Layout",Q148,IF(E148="S3 SI &amp; PI",U148,IF(E148="S4 Bare-PCB Fab",Y148,IF(E148="S5 Assembly",AC148,IF(E148="S6 Bring-up",AG148,AK148)))))))))</f>
        <v/>
      </c>
      <c r="G148" s="33" t="str">
        <f aca="false">IF($C148="","",IF(E148="All Stages Closed","",IF(E148="S1 Schematic",IF(N148="","Not added",N148),IF(E148="S2 PCB Layout",IF(R148="","Not added",R148),IF(E148="S3 SI &amp; PI",IF(V148="","Not added",V148),IF(E148="S4 Bare-PCB Fab",IF(Z148="","Not added",Z148),IF(E148="S5 Assembly",IF(AD148="","Not added",AD148),IF(E148="S6 Bring-up",IF(AH148="","Not added",AH148),IF(AL148="","Not added",AL148)))))))))</f>
        <v/>
      </c>
      <c r="H148" s="32" t="str">
        <f aca="true">IF($C148="","",IF(OR(F148="Completed",F148="Cancelled"),"",IF(NOT(ISNUMBER(G148)),"No date set",IF(TODAY()&gt;G148,TODAY()-G148&amp;" days late",G148-TODAY()&amp;" days left"))))</f>
        <v/>
      </c>
      <c r="I148" s="31" t="str">
        <f aca="false">IF($C148="","",COUNTIF(M148,"Completed")+COUNTIF(Q148,"Completed")+COUNTIF(U148,"Completed")+COUNTIF(Y148,"Completed")+COUNTIF(AC148,"Completed")+COUNTIF(AG148,"Completed")+COUNTIF(AK148,"Completed"))</f>
        <v/>
      </c>
      <c r="J148" s="31" t="str">
        <f aca="false">IF($C148="","",7-(COUNTIF(M148,"NA")+COUNTIF(Q148,"NA")+COUNTIF(U148,"NA")+COUNTIF(Y148,"NA")+COUNTIF(AC148,"NA")+COUNTIF(AG148,"NA")+COUNTIF(AK148,"NA")))</f>
        <v/>
      </c>
      <c r="K148" s="34" t="str">
        <f aca="false">IFERROR(I148/J148,"")</f>
        <v/>
      </c>
      <c r="L148" s="29"/>
      <c r="M148" s="35"/>
      <c r="N148" s="36"/>
      <c r="O148" s="36"/>
      <c r="P148" s="29"/>
      <c r="Q148" s="35"/>
      <c r="R148" s="36"/>
      <c r="S148" s="36"/>
      <c r="T148" s="29"/>
      <c r="U148" s="35"/>
      <c r="V148" s="36"/>
      <c r="W148" s="36"/>
      <c r="X148" s="29"/>
      <c r="Y148" s="35"/>
      <c r="Z148" s="36"/>
      <c r="AA148" s="36"/>
      <c r="AB148" s="29"/>
      <c r="AC148" s="35"/>
      <c r="AD148" s="36"/>
      <c r="AE148" s="36"/>
      <c r="AF148" s="29"/>
      <c r="AG148" s="35"/>
      <c r="AH148" s="36"/>
      <c r="AI148" s="36"/>
      <c r="AJ148" s="29"/>
      <c r="AK148" s="35"/>
      <c r="AL148" s="36"/>
      <c r="AM148" s="36"/>
      <c r="AN148" s="29"/>
      <c r="AO148" s="29"/>
      <c r="AP148" s="29"/>
      <c r="AQ148" s="37"/>
      <c r="AR148" s="39" t="str">
        <f aca="false">IF(AN148&lt;&gt;"Yes","",IF(AO148="","SELECT RE-ENTRY STAGE","MOVE TO ACTIVE at "&amp;AO148))</f>
        <v/>
      </c>
      <c r="AS148" s="40" t="str">
        <f aca="false">IF(AN148="Yes",COUNTIF($AN$6:AN148,"Yes"),"")</f>
        <v/>
      </c>
      <c r="AT148" s="29"/>
      <c r="AU148" s="38" t="str">
        <f aca="false">IF($C148="","",IF(OR(F148="Completed",F148="Cancelled"),"",IF(AND(OR(F148="On Hold",ISNUMBER(VALUE(LEFT(H148,2)))),AT148=""),"Reason not given","")))</f>
        <v/>
      </c>
      <c r="AV148" s="30"/>
      <c r="AW148" s="30"/>
    </row>
    <row r="149" customFormat="false" ht="19.5" hidden="false" customHeight="true" outlineLevel="0" collapsed="false">
      <c r="A149" s="28" t="str">
        <f aca="false">IF($C149="","",COUNTA($C$6:$C149))</f>
        <v/>
      </c>
      <c r="B149" s="29"/>
      <c r="C149" s="30"/>
      <c r="D149" s="29"/>
      <c r="E149" s="31" t="str">
        <f aca="false">IF($C149="","",IF(NOT(OR(M149="Completed",M149="NA",M149="Cancelled")),"S1 Schematic",IF(NOT(OR(Q149="Completed",Q149="NA",Q149="Cancelled")),"S2 PCB Layout",IF(NOT(OR(U149="Completed",U149="NA",U149="Cancelled")),"S3 SI &amp; PI",IF(NOT(OR(Y149="Completed",Y149="NA",Y149="Cancelled")),"S4 Bare-PCB Fab",IF(NOT(OR(AC149="Completed",AC149="NA",AC149="Cancelled")),"S5 Assembly",IF(NOT(OR(AG149="Completed",AG149="NA",AG149="Cancelled")),"S6 Bring-up",IF(NOT(OR(AK149="Completed",AK149="NA",AK149="Cancelled")),"S7 BOM Procurement","All Stages Closed"))))))))</f>
        <v/>
      </c>
      <c r="F149" s="32" t="str">
        <f aca="false">IF($C149="","",IF(COUNTIF(M149,"Cancelled")+COUNTIF(Q149,"Cancelled")+COUNTIF(U149,"Cancelled")+COUNTIF(Y149,"Cancelled")+COUNTIF(AC149,"Cancelled")+COUNTIF(AG149,"Cancelled")+COUNTIF(AK149,"Cancelled")&gt;0,"Cancelled",IF(E149="All Stages Closed","Completed",IF(E149="S1 Schematic",M149,IF(E149="S2 PCB Layout",Q149,IF(E149="S3 SI &amp; PI",U149,IF(E149="S4 Bare-PCB Fab",Y149,IF(E149="S5 Assembly",AC149,IF(E149="S6 Bring-up",AG149,AK149)))))))))</f>
        <v/>
      </c>
      <c r="G149" s="33" t="str">
        <f aca="false">IF($C149="","",IF(E149="All Stages Closed","",IF(E149="S1 Schematic",IF(N149="","Not added",N149),IF(E149="S2 PCB Layout",IF(R149="","Not added",R149),IF(E149="S3 SI &amp; PI",IF(V149="","Not added",V149),IF(E149="S4 Bare-PCB Fab",IF(Z149="","Not added",Z149),IF(E149="S5 Assembly",IF(AD149="","Not added",AD149),IF(E149="S6 Bring-up",IF(AH149="","Not added",AH149),IF(AL149="","Not added",AL149)))))))))</f>
        <v/>
      </c>
      <c r="H149" s="32" t="str">
        <f aca="true">IF($C149="","",IF(OR(F149="Completed",F149="Cancelled"),"",IF(NOT(ISNUMBER(G149)),"No date set",IF(TODAY()&gt;G149,TODAY()-G149&amp;" days late",G149-TODAY()&amp;" days left"))))</f>
        <v/>
      </c>
      <c r="I149" s="31" t="str">
        <f aca="false">IF($C149="","",COUNTIF(M149,"Completed")+COUNTIF(Q149,"Completed")+COUNTIF(U149,"Completed")+COUNTIF(Y149,"Completed")+COUNTIF(AC149,"Completed")+COUNTIF(AG149,"Completed")+COUNTIF(AK149,"Completed"))</f>
        <v/>
      </c>
      <c r="J149" s="31" t="str">
        <f aca="false">IF($C149="","",7-(COUNTIF(M149,"NA")+COUNTIF(Q149,"NA")+COUNTIF(U149,"NA")+COUNTIF(Y149,"NA")+COUNTIF(AC149,"NA")+COUNTIF(AG149,"NA")+COUNTIF(AK149,"NA")))</f>
        <v/>
      </c>
      <c r="K149" s="34" t="str">
        <f aca="false">IFERROR(I149/J149,"")</f>
        <v/>
      </c>
      <c r="L149" s="29"/>
      <c r="M149" s="35"/>
      <c r="N149" s="36"/>
      <c r="O149" s="36"/>
      <c r="P149" s="29"/>
      <c r="Q149" s="35"/>
      <c r="R149" s="36"/>
      <c r="S149" s="36"/>
      <c r="T149" s="29"/>
      <c r="U149" s="35"/>
      <c r="V149" s="36"/>
      <c r="W149" s="36"/>
      <c r="X149" s="29"/>
      <c r="Y149" s="35"/>
      <c r="Z149" s="36"/>
      <c r="AA149" s="36"/>
      <c r="AB149" s="29"/>
      <c r="AC149" s="35"/>
      <c r="AD149" s="36"/>
      <c r="AE149" s="36"/>
      <c r="AF149" s="29"/>
      <c r="AG149" s="35"/>
      <c r="AH149" s="36"/>
      <c r="AI149" s="36"/>
      <c r="AJ149" s="29"/>
      <c r="AK149" s="35"/>
      <c r="AL149" s="36"/>
      <c r="AM149" s="36"/>
      <c r="AN149" s="29"/>
      <c r="AO149" s="29"/>
      <c r="AP149" s="29"/>
      <c r="AQ149" s="37"/>
      <c r="AR149" s="39" t="str">
        <f aca="false">IF(AN149&lt;&gt;"Yes","",IF(AO149="","SELECT RE-ENTRY STAGE","MOVE TO ACTIVE at "&amp;AO149))</f>
        <v/>
      </c>
      <c r="AS149" s="40" t="str">
        <f aca="false">IF(AN149="Yes",COUNTIF($AN$6:AN149,"Yes"),"")</f>
        <v/>
      </c>
      <c r="AT149" s="29"/>
      <c r="AU149" s="38" t="str">
        <f aca="false">IF($C149="","",IF(OR(F149="Completed",F149="Cancelled"),"",IF(AND(OR(F149="On Hold",ISNUMBER(VALUE(LEFT(H149,2)))),AT149=""),"Reason not given","")))</f>
        <v/>
      </c>
      <c r="AV149" s="30"/>
      <c r="AW149" s="30"/>
    </row>
    <row r="150" customFormat="false" ht="19.5" hidden="false" customHeight="true" outlineLevel="0" collapsed="false">
      <c r="A150" s="28" t="str">
        <f aca="false">IF($C150="","",COUNTA($C$6:$C150))</f>
        <v/>
      </c>
      <c r="B150" s="29"/>
      <c r="C150" s="30"/>
      <c r="D150" s="29"/>
      <c r="E150" s="31" t="str">
        <f aca="false">IF($C150="","",IF(NOT(OR(M150="Completed",M150="NA",M150="Cancelled")),"S1 Schematic",IF(NOT(OR(Q150="Completed",Q150="NA",Q150="Cancelled")),"S2 PCB Layout",IF(NOT(OR(U150="Completed",U150="NA",U150="Cancelled")),"S3 SI &amp; PI",IF(NOT(OR(Y150="Completed",Y150="NA",Y150="Cancelled")),"S4 Bare-PCB Fab",IF(NOT(OR(AC150="Completed",AC150="NA",AC150="Cancelled")),"S5 Assembly",IF(NOT(OR(AG150="Completed",AG150="NA",AG150="Cancelled")),"S6 Bring-up",IF(NOT(OR(AK150="Completed",AK150="NA",AK150="Cancelled")),"S7 BOM Procurement","All Stages Closed"))))))))</f>
        <v/>
      </c>
      <c r="F150" s="32" t="str">
        <f aca="false">IF($C150="","",IF(COUNTIF(M150,"Cancelled")+COUNTIF(Q150,"Cancelled")+COUNTIF(U150,"Cancelled")+COUNTIF(Y150,"Cancelled")+COUNTIF(AC150,"Cancelled")+COUNTIF(AG150,"Cancelled")+COUNTIF(AK150,"Cancelled")&gt;0,"Cancelled",IF(E150="All Stages Closed","Completed",IF(E150="S1 Schematic",M150,IF(E150="S2 PCB Layout",Q150,IF(E150="S3 SI &amp; PI",U150,IF(E150="S4 Bare-PCB Fab",Y150,IF(E150="S5 Assembly",AC150,IF(E150="S6 Bring-up",AG150,AK150)))))))))</f>
        <v/>
      </c>
      <c r="G150" s="33" t="str">
        <f aca="false">IF($C150="","",IF(E150="All Stages Closed","",IF(E150="S1 Schematic",IF(N150="","Not added",N150),IF(E150="S2 PCB Layout",IF(R150="","Not added",R150),IF(E150="S3 SI &amp; PI",IF(V150="","Not added",V150),IF(E150="S4 Bare-PCB Fab",IF(Z150="","Not added",Z150),IF(E150="S5 Assembly",IF(AD150="","Not added",AD150),IF(E150="S6 Bring-up",IF(AH150="","Not added",AH150),IF(AL150="","Not added",AL150)))))))))</f>
        <v/>
      </c>
      <c r="H150" s="32" t="str">
        <f aca="true">IF($C150="","",IF(OR(F150="Completed",F150="Cancelled"),"",IF(NOT(ISNUMBER(G150)),"No date set",IF(TODAY()&gt;G150,TODAY()-G150&amp;" days late",G150-TODAY()&amp;" days left"))))</f>
        <v/>
      </c>
      <c r="I150" s="31" t="str">
        <f aca="false">IF($C150="","",COUNTIF(M150,"Completed")+COUNTIF(Q150,"Completed")+COUNTIF(U150,"Completed")+COUNTIF(Y150,"Completed")+COUNTIF(AC150,"Completed")+COUNTIF(AG150,"Completed")+COUNTIF(AK150,"Completed"))</f>
        <v/>
      </c>
      <c r="J150" s="31" t="str">
        <f aca="false">IF($C150="","",7-(COUNTIF(M150,"NA")+COUNTIF(Q150,"NA")+COUNTIF(U150,"NA")+COUNTIF(Y150,"NA")+COUNTIF(AC150,"NA")+COUNTIF(AG150,"NA")+COUNTIF(AK150,"NA")))</f>
        <v/>
      </c>
      <c r="K150" s="34" t="str">
        <f aca="false">IFERROR(I150/J150,"")</f>
        <v/>
      </c>
      <c r="L150" s="29"/>
      <c r="M150" s="35"/>
      <c r="N150" s="36"/>
      <c r="O150" s="36"/>
      <c r="P150" s="29"/>
      <c r="Q150" s="35"/>
      <c r="R150" s="36"/>
      <c r="S150" s="36"/>
      <c r="T150" s="29"/>
      <c r="U150" s="35"/>
      <c r="V150" s="36"/>
      <c r="W150" s="36"/>
      <c r="X150" s="29"/>
      <c r="Y150" s="35"/>
      <c r="Z150" s="36"/>
      <c r="AA150" s="36"/>
      <c r="AB150" s="29"/>
      <c r="AC150" s="35"/>
      <c r="AD150" s="36"/>
      <c r="AE150" s="36"/>
      <c r="AF150" s="29"/>
      <c r="AG150" s="35"/>
      <c r="AH150" s="36"/>
      <c r="AI150" s="36"/>
      <c r="AJ150" s="29"/>
      <c r="AK150" s="35"/>
      <c r="AL150" s="36"/>
      <c r="AM150" s="36"/>
      <c r="AN150" s="29"/>
      <c r="AO150" s="29"/>
      <c r="AP150" s="29"/>
      <c r="AQ150" s="37"/>
      <c r="AR150" s="39" t="str">
        <f aca="false">IF(AN150&lt;&gt;"Yes","",IF(AO150="","SELECT RE-ENTRY STAGE","MOVE TO ACTIVE at "&amp;AO150))</f>
        <v/>
      </c>
      <c r="AS150" s="40" t="str">
        <f aca="false">IF(AN150="Yes",COUNTIF($AN$6:AN150,"Yes"),"")</f>
        <v/>
      </c>
      <c r="AT150" s="29"/>
      <c r="AU150" s="38" t="str">
        <f aca="false">IF($C150="","",IF(OR(F150="Completed",F150="Cancelled"),"",IF(AND(OR(F150="On Hold",ISNUMBER(VALUE(LEFT(H150,2)))),AT150=""),"Reason not given","")))</f>
        <v/>
      </c>
      <c r="AV150" s="30"/>
      <c r="AW150" s="30"/>
    </row>
    <row r="151" customFormat="false" ht="19.5" hidden="false" customHeight="true" outlineLevel="0" collapsed="false">
      <c r="A151" s="28" t="str">
        <f aca="false">IF($C151="","",COUNTA($C$6:$C151))</f>
        <v/>
      </c>
      <c r="B151" s="29"/>
      <c r="C151" s="30"/>
      <c r="D151" s="29"/>
      <c r="E151" s="31" t="str">
        <f aca="false">IF($C151="","",IF(NOT(OR(M151="Completed",M151="NA",M151="Cancelled")),"S1 Schematic",IF(NOT(OR(Q151="Completed",Q151="NA",Q151="Cancelled")),"S2 PCB Layout",IF(NOT(OR(U151="Completed",U151="NA",U151="Cancelled")),"S3 SI &amp; PI",IF(NOT(OR(Y151="Completed",Y151="NA",Y151="Cancelled")),"S4 Bare-PCB Fab",IF(NOT(OR(AC151="Completed",AC151="NA",AC151="Cancelled")),"S5 Assembly",IF(NOT(OR(AG151="Completed",AG151="NA",AG151="Cancelled")),"S6 Bring-up",IF(NOT(OR(AK151="Completed",AK151="NA",AK151="Cancelled")),"S7 BOM Procurement","All Stages Closed"))))))))</f>
        <v/>
      </c>
      <c r="F151" s="32" t="str">
        <f aca="false">IF($C151="","",IF(COUNTIF(M151,"Cancelled")+COUNTIF(Q151,"Cancelled")+COUNTIF(U151,"Cancelled")+COUNTIF(Y151,"Cancelled")+COUNTIF(AC151,"Cancelled")+COUNTIF(AG151,"Cancelled")+COUNTIF(AK151,"Cancelled")&gt;0,"Cancelled",IF(E151="All Stages Closed","Completed",IF(E151="S1 Schematic",M151,IF(E151="S2 PCB Layout",Q151,IF(E151="S3 SI &amp; PI",U151,IF(E151="S4 Bare-PCB Fab",Y151,IF(E151="S5 Assembly",AC151,IF(E151="S6 Bring-up",AG151,AK151)))))))))</f>
        <v/>
      </c>
      <c r="G151" s="33" t="str">
        <f aca="false">IF($C151="","",IF(E151="All Stages Closed","",IF(E151="S1 Schematic",IF(N151="","Not added",N151),IF(E151="S2 PCB Layout",IF(R151="","Not added",R151),IF(E151="S3 SI &amp; PI",IF(V151="","Not added",V151),IF(E151="S4 Bare-PCB Fab",IF(Z151="","Not added",Z151),IF(E151="S5 Assembly",IF(AD151="","Not added",AD151),IF(E151="S6 Bring-up",IF(AH151="","Not added",AH151),IF(AL151="","Not added",AL151)))))))))</f>
        <v/>
      </c>
      <c r="H151" s="32" t="str">
        <f aca="true">IF($C151="","",IF(OR(F151="Completed",F151="Cancelled"),"",IF(NOT(ISNUMBER(G151)),"No date set",IF(TODAY()&gt;G151,TODAY()-G151&amp;" days late",G151-TODAY()&amp;" days left"))))</f>
        <v/>
      </c>
      <c r="I151" s="31" t="str">
        <f aca="false">IF($C151="","",COUNTIF(M151,"Completed")+COUNTIF(Q151,"Completed")+COUNTIF(U151,"Completed")+COUNTIF(Y151,"Completed")+COUNTIF(AC151,"Completed")+COUNTIF(AG151,"Completed")+COUNTIF(AK151,"Completed"))</f>
        <v/>
      </c>
      <c r="J151" s="31" t="str">
        <f aca="false">IF($C151="","",7-(COUNTIF(M151,"NA")+COUNTIF(Q151,"NA")+COUNTIF(U151,"NA")+COUNTIF(Y151,"NA")+COUNTIF(AC151,"NA")+COUNTIF(AG151,"NA")+COUNTIF(AK151,"NA")))</f>
        <v/>
      </c>
      <c r="K151" s="34" t="str">
        <f aca="false">IFERROR(I151/J151,"")</f>
        <v/>
      </c>
      <c r="L151" s="29"/>
      <c r="M151" s="35"/>
      <c r="N151" s="36"/>
      <c r="O151" s="36"/>
      <c r="P151" s="29"/>
      <c r="Q151" s="35"/>
      <c r="R151" s="36"/>
      <c r="S151" s="36"/>
      <c r="T151" s="29"/>
      <c r="U151" s="35"/>
      <c r="V151" s="36"/>
      <c r="W151" s="36"/>
      <c r="X151" s="29"/>
      <c r="Y151" s="35"/>
      <c r="Z151" s="36"/>
      <c r="AA151" s="36"/>
      <c r="AB151" s="29"/>
      <c r="AC151" s="35"/>
      <c r="AD151" s="36"/>
      <c r="AE151" s="36"/>
      <c r="AF151" s="29"/>
      <c r="AG151" s="35"/>
      <c r="AH151" s="36"/>
      <c r="AI151" s="36"/>
      <c r="AJ151" s="29"/>
      <c r="AK151" s="35"/>
      <c r="AL151" s="36"/>
      <c r="AM151" s="36"/>
      <c r="AN151" s="29"/>
      <c r="AO151" s="29"/>
      <c r="AP151" s="29"/>
      <c r="AQ151" s="37"/>
      <c r="AR151" s="39" t="str">
        <f aca="false">IF(AN151&lt;&gt;"Yes","",IF(AO151="","SELECT RE-ENTRY STAGE","MOVE TO ACTIVE at "&amp;AO151))</f>
        <v/>
      </c>
      <c r="AS151" s="40" t="str">
        <f aca="false">IF(AN151="Yes",COUNTIF($AN$6:AN151,"Yes"),"")</f>
        <v/>
      </c>
      <c r="AT151" s="29"/>
      <c r="AU151" s="38" t="str">
        <f aca="false">IF($C151="","",IF(OR(F151="Completed",F151="Cancelled"),"",IF(AND(OR(F151="On Hold",ISNUMBER(VALUE(LEFT(H151,2)))),AT151=""),"Reason not given","")))</f>
        <v/>
      </c>
      <c r="AV151" s="30"/>
      <c r="AW151" s="30"/>
    </row>
    <row r="152" customFormat="false" ht="19.5" hidden="false" customHeight="true" outlineLevel="0" collapsed="false">
      <c r="A152" s="28" t="str">
        <f aca="false">IF($C152="","",COUNTA($C$6:$C152))</f>
        <v/>
      </c>
      <c r="B152" s="29"/>
      <c r="C152" s="30"/>
      <c r="D152" s="29"/>
      <c r="E152" s="31" t="str">
        <f aca="false">IF($C152="","",IF(NOT(OR(M152="Completed",M152="NA",M152="Cancelled")),"S1 Schematic",IF(NOT(OR(Q152="Completed",Q152="NA",Q152="Cancelled")),"S2 PCB Layout",IF(NOT(OR(U152="Completed",U152="NA",U152="Cancelled")),"S3 SI &amp; PI",IF(NOT(OR(Y152="Completed",Y152="NA",Y152="Cancelled")),"S4 Bare-PCB Fab",IF(NOT(OR(AC152="Completed",AC152="NA",AC152="Cancelled")),"S5 Assembly",IF(NOT(OR(AG152="Completed",AG152="NA",AG152="Cancelled")),"S6 Bring-up",IF(NOT(OR(AK152="Completed",AK152="NA",AK152="Cancelled")),"S7 BOM Procurement","All Stages Closed"))))))))</f>
        <v/>
      </c>
      <c r="F152" s="32" t="str">
        <f aca="false">IF($C152="","",IF(COUNTIF(M152,"Cancelled")+COUNTIF(Q152,"Cancelled")+COUNTIF(U152,"Cancelled")+COUNTIF(Y152,"Cancelled")+COUNTIF(AC152,"Cancelled")+COUNTIF(AG152,"Cancelled")+COUNTIF(AK152,"Cancelled")&gt;0,"Cancelled",IF(E152="All Stages Closed","Completed",IF(E152="S1 Schematic",M152,IF(E152="S2 PCB Layout",Q152,IF(E152="S3 SI &amp; PI",U152,IF(E152="S4 Bare-PCB Fab",Y152,IF(E152="S5 Assembly",AC152,IF(E152="S6 Bring-up",AG152,AK152)))))))))</f>
        <v/>
      </c>
      <c r="G152" s="33" t="str">
        <f aca="false">IF($C152="","",IF(E152="All Stages Closed","",IF(E152="S1 Schematic",IF(N152="","Not added",N152),IF(E152="S2 PCB Layout",IF(R152="","Not added",R152),IF(E152="S3 SI &amp; PI",IF(V152="","Not added",V152),IF(E152="S4 Bare-PCB Fab",IF(Z152="","Not added",Z152),IF(E152="S5 Assembly",IF(AD152="","Not added",AD152),IF(E152="S6 Bring-up",IF(AH152="","Not added",AH152),IF(AL152="","Not added",AL152)))))))))</f>
        <v/>
      </c>
      <c r="H152" s="32" t="str">
        <f aca="true">IF($C152="","",IF(OR(F152="Completed",F152="Cancelled"),"",IF(NOT(ISNUMBER(G152)),"No date set",IF(TODAY()&gt;G152,TODAY()-G152&amp;" days late",G152-TODAY()&amp;" days left"))))</f>
        <v/>
      </c>
      <c r="I152" s="31" t="str">
        <f aca="false">IF($C152="","",COUNTIF(M152,"Completed")+COUNTIF(Q152,"Completed")+COUNTIF(U152,"Completed")+COUNTIF(Y152,"Completed")+COUNTIF(AC152,"Completed")+COUNTIF(AG152,"Completed")+COUNTIF(AK152,"Completed"))</f>
        <v/>
      </c>
      <c r="J152" s="31" t="str">
        <f aca="false">IF($C152="","",7-(COUNTIF(M152,"NA")+COUNTIF(Q152,"NA")+COUNTIF(U152,"NA")+COUNTIF(Y152,"NA")+COUNTIF(AC152,"NA")+COUNTIF(AG152,"NA")+COUNTIF(AK152,"NA")))</f>
        <v/>
      </c>
      <c r="K152" s="34" t="str">
        <f aca="false">IFERROR(I152/J152,"")</f>
        <v/>
      </c>
      <c r="L152" s="29"/>
      <c r="M152" s="35"/>
      <c r="N152" s="36"/>
      <c r="O152" s="36"/>
      <c r="P152" s="29"/>
      <c r="Q152" s="35"/>
      <c r="R152" s="36"/>
      <c r="S152" s="36"/>
      <c r="T152" s="29"/>
      <c r="U152" s="35"/>
      <c r="V152" s="36"/>
      <c r="W152" s="36"/>
      <c r="X152" s="29"/>
      <c r="Y152" s="35"/>
      <c r="Z152" s="36"/>
      <c r="AA152" s="36"/>
      <c r="AB152" s="29"/>
      <c r="AC152" s="35"/>
      <c r="AD152" s="36"/>
      <c r="AE152" s="36"/>
      <c r="AF152" s="29"/>
      <c r="AG152" s="35"/>
      <c r="AH152" s="36"/>
      <c r="AI152" s="36"/>
      <c r="AJ152" s="29"/>
      <c r="AK152" s="35"/>
      <c r="AL152" s="36"/>
      <c r="AM152" s="36"/>
      <c r="AN152" s="29"/>
      <c r="AO152" s="29"/>
      <c r="AP152" s="29"/>
      <c r="AQ152" s="37"/>
      <c r="AR152" s="39" t="str">
        <f aca="false">IF(AN152&lt;&gt;"Yes","",IF(AO152="","SELECT RE-ENTRY STAGE","MOVE TO ACTIVE at "&amp;AO152))</f>
        <v/>
      </c>
      <c r="AS152" s="40" t="str">
        <f aca="false">IF(AN152="Yes",COUNTIF($AN$6:AN152,"Yes"),"")</f>
        <v/>
      </c>
      <c r="AT152" s="29"/>
      <c r="AU152" s="38" t="str">
        <f aca="false">IF($C152="","",IF(OR(F152="Completed",F152="Cancelled"),"",IF(AND(OR(F152="On Hold",ISNUMBER(VALUE(LEFT(H152,2)))),AT152=""),"Reason not given","")))</f>
        <v/>
      </c>
      <c r="AV152" s="30"/>
      <c r="AW152" s="30"/>
    </row>
    <row r="153" customFormat="false" ht="19.5" hidden="false" customHeight="true" outlineLevel="0" collapsed="false">
      <c r="A153" s="28" t="str">
        <f aca="false">IF($C153="","",COUNTA($C$6:$C153))</f>
        <v/>
      </c>
      <c r="B153" s="29"/>
      <c r="C153" s="30"/>
      <c r="D153" s="29"/>
      <c r="E153" s="31" t="str">
        <f aca="false">IF($C153="","",IF(NOT(OR(M153="Completed",M153="NA",M153="Cancelled")),"S1 Schematic",IF(NOT(OR(Q153="Completed",Q153="NA",Q153="Cancelled")),"S2 PCB Layout",IF(NOT(OR(U153="Completed",U153="NA",U153="Cancelled")),"S3 SI &amp; PI",IF(NOT(OR(Y153="Completed",Y153="NA",Y153="Cancelled")),"S4 Bare-PCB Fab",IF(NOT(OR(AC153="Completed",AC153="NA",AC153="Cancelled")),"S5 Assembly",IF(NOT(OR(AG153="Completed",AG153="NA",AG153="Cancelled")),"S6 Bring-up",IF(NOT(OR(AK153="Completed",AK153="NA",AK153="Cancelled")),"S7 BOM Procurement","All Stages Closed"))))))))</f>
        <v/>
      </c>
      <c r="F153" s="32" t="str">
        <f aca="false">IF($C153="","",IF(COUNTIF(M153,"Cancelled")+COUNTIF(Q153,"Cancelled")+COUNTIF(U153,"Cancelled")+COUNTIF(Y153,"Cancelled")+COUNTIF(AC153,"Cancelled")+COUNTIF(AG153,"Cancelled")+COUNTIF(AK153,"Cancelled")&gt;0,"Cancelled",IF(E153="All Stages Closed","Completed",IF(E153="S1 Schematic",M153,IF(E153="S2 PCB Layout",Q153,IF(E153="S3 SI &amp; PI",U153,IF(E153="S4 Bare-PCB Fab",Y153,IF(E153="S5 Assembly",AC153,IF(E153="S6 Bring-up",AG153,AK153)))))))))</f>
        <v/>
      </c>
      <c r="G153" s="33" t="str">
        <f aca="false">IF($C153="","",IF(E153="All Stages Closed","",IF(E153="S1 Schematic",IF(N153="","Not added",N153),IF(E153="S2 PCB Layout",IF(R153="","Not added",R153),IF(E153="S3 SI &amp; PI",IF(V153="","Not added",V153),IF(E153="S4 Bare-PCB Fab",IF(Z153="","Not added",Z153),IF(E153="S5 Assembly",IF(AD153="","Not added",AD153),IF(E153="S6 Bring-up",IF(AH153="","Not added",AH153),IF(AL153="","Not added",AL153)))))))))</f>
        <v/>
      </c>
      <c r="H153" s="32" t="str">
        <f aca="true">IF($C153="","",IF(OR(F153="Completed",F153="Cancelled"),"",IF(NOT(ISNUMBER(G153)),"No date set",IF(TODAY()&gt;G153,TODAY()-G153&amp;" days late",G153-TODAY()&amp;" days left"))))</f>
        <v/>
      </c>
      <c r="I153" s="31" t="str">
        <f aca="false">IF($C153="","",COUNTIF(M153,"Completed")+COUNTIF(Q153,"Completed")+COUNTIF(U153,"Completed")+COUNTIF(Y153,"Completed")+COUNTIF(AC153,"Completed")+COUNTIF(AG153,"Completed")+COUNTIF(AK153,"Completed"))</f>
        <v/>
      </c>
      <c r="J153" s="31" t="str">
        <f aca="false">IF($C153="","",7-(COUNTIF(M153,"NA")+COUNTIF(Q153,"NA")+COUNTIF(U153,"NA")+COUNTIF(Y153,"NA")+COUNTIF(AC153,"NA")+COUNTIF(AG153,"NA")+COUNTIF(AK153,"NA")))</f>
        <v/>
      </c>
      <c r="K153" s="34" t="str">
        <f aca="false">IFERROR(I153/J153,"")</f>
        <v/>
      </c>
      <c r="L153" s="29"/>
      <c r="M153" s="35"/>
      <c r="N153" s="36"/>
      <c r="O153" s="36"/>
      <c r="P153" s="29"/>
      <c r="Q153" s="35"/>
      <c r="R153" s="36"/>
      <c r="S153" s="36"/>
      <c r="T153" s="29"/>
      <c r="U153" s="35"/>
      <c r="V153" s="36"/>
      <c r="W153" s="36"/>
      <c r="X153" s="29"/>
      <c r="Y153" s="35"/>
      <c r="Z153" s="36"/>
      <c r="AA153" s="36"/>
      <c r="AB153" s="29"/>
      <c r="AC153" s="35"/>
      <c r="AD153" s="36"/>
      <c r="AE153" s="36"/>
      <c r="AF153" s="29"/>
      <c r="AG153" s="35"/>
      <c r="AH153" s="36"/>
      <c r="AI153" s="36"/>
      <c r="AJ153" s="29"/>
      <c r="AK153" s="35"/>
      <c r="AL153" s="36"/>
      <c r="AM153" s="36"/>
      <c r="AN153" s="29"/>
      <c r="AO153" s="29"/>
      <c r="AP153" s="29"/>
      <c r="AQ153" s="37"/>
      <c r="AR153" s="39" t="str">
        <f aca="false">IF(AN153&lt;&gt;"Yes","",IF(AO153="","SELECT RE-ENTRY STAGE","MOVE TO ACTIVE at "&amp;AO153))</f>
        <v/>
      </c>
      <c r="AS153" s="40" t="str">
        <f aca="false">IF(AN153="Yes",COUNTIF($AN$6:AN153,"Yes"),"")</f>
        <v/>
      </c>
      <c r="AT153" s="29"/>
      <c r="AU153" s="38" t="str">
        <f aca="false">IF($C153="","",IF(OR(F153="Completed",F153="Cancelled"),"",IF(AND(OR(F153="On Hold",ISNUMBER(VALUE(LEFT(H153,2)))),AT153=""),"Reason not given","")))</f>
        <v/>
      </c>
      <c r="AV153" s="30"/>
      <c r="AW153" s="30"/>
    </row>
    <row r="154" customFormat="false" ht="19.5" hidden="false" customHeight="true" outlineLevel="0" collapsed="false">
      <c r="A154" s="28" t="str">
        <f aca="false">IF($C154="","",COUNTA($C$6:$C154))</f>
        <v/>
      </c>
      <c r="B154" s="29"/>
      <c r="C154" s="30"/>
      <c r="D154" s="29"/>
      <c r="E154" s="31" t="str">
        <f aca="false">IF($C154="","",IF(NOT(OR(M154="Completed",M154="NA",M154="Cancelled")),"S1 Schematic",IF(NOT(OR(Q154="Completed",Q154="NA",Q154="Cancelled")),"S2 PCB Layout",IF(NOT(OR(U154="Completed",U154="NA",U154="Cancelled")),"S3 SI &amp; PI",IF(NOT(OR(Y154="Completed",Y154="NA",Y154="Cancelled")),"S4 Bare-PCB Fab",IF(NOT(OR(AC154="Completed",AC154="NA",AC154="Cancelled")),"S5 Assembly",IF(NOT(OR(AG154="Completed",AG154="NA",AG154="Cancelled")),"S6 Bring-up",IF(NOT(OR(AK154="Completed",AK154="NA",AK154="Cancelled")),"S7 BOM Procurement","All Stages Closed"))))))))</f>
        <v/>
      </c>
      <c r="F154" s="32" t="str">
        <f aca="false">IF($C154="","",IF(COUNTIF(M154,"Cancelled")+COUNTIF(Q154,"Cancelled")+COUNTIF(U154,"Cancelled")+COUNTIF(Y154,"Cancelled")+COUNTIF(AC154,"Cancelled")+COUNTIF(AG154,"Cancelled")+COUNTIF(AK154,"Cancelled")&gt;0,"Cancelled",IF(E154="All Stages Closed","Completed",IF(E154="S1 Schematic",M154,IF(E154="S2 PCB Layout",Q154,IF(E154="S3 SI &amp; PI",U154,IF(E154="S4 Bare-PCB Fab",Y154,IF(E154="S5 Assembly",AC154,IF(E154="S6 Bring-up",AG154,AK154)))))))))</f>
        <v/>
      </c>
      <c r="G154" s="33" t="str">
        <f aca="false">IF($C154="","",IF(E154="All Stages Closed","",IF(E154="S1 Schematic",IF(N154="","Not added",N154),IF(E154="S2 PCB Layout",IF(R154="","Not added",R154),IF(E154="S3 SI &amp; PI",IF(V154="","Not added",V154),IF(E154="S4 Bare-PCB Fab",IF(Z154="","Not added",Z154),IF(E154="S5 Assembly",IF(AD154="","Not added",AD154),IF(E154="S6 Bring-up",IF(AH154="","Not added",AH154),IF(AL154="","Not added",AL154)))))))))</f>
        <v/>
      </c>
      <c r="H154" s="32" t="str">
        <f aca="true">IF($C154="","",IF(OR(F154="Completed",F154="Cancelled"),"",IF(NOT(ISNUMBER(G154)),"No date set",IF(TODAY()&gt;G154,TODAY()-G154&amp;" days late",G154-TODAY()&amp;" days left"))))</f>
        <v/>
      </c>
      <c r="I154" s="31" t="str">
        <f aca="false">IF($C154="","",COUNTIF(M154,"Completed")+COUNTIF(Q154,"Completed")+COUNTIF(U154,"Completed")+COUNTIF(Y154,"Completed")+COUNTIF(AC154,"Completed")+COUNTIF(AG154,"Completed")+COUNTIF(AK154,"Completed"))</f>
        <v/>
      </c>
      <c r="J154" s="31" t="str">
        <f aca="false">IF($C154="","",7-(COUNTIF(M154,"NA")+COUNTIF(Q154,"NA")+COUNTIF(U154,"NA")+COUNTIF(Y154,"NA")+COUNTIF(AC154,"NA")+COUNTIF(AG154,"NA")+COUNTIF(AK154,"NA")))</f>
        <v/>
      </c>
      <c r="K154" s="34" t="str">
        <f aca="false">IFERROR(I154/J154,"")</f>
        <v/>
      </c>
      <c r="L154" s="29"/>
      <c r="M154" s="35"/>
      <c r="N154" s="36"/>
      <c r="O154" s="36"/>
      <c r="P154" s="29"/>
      <c r="Q154" s="35"/>
      <c r="R154" s="36"/>
      <c r="S154" s="36"/>
      <c r="T154" s="29"/>
      <c r="U154" s="35"/>
      <c r="V154" s="36"/>
      <c r="W154" s="36"/>
      <c r="X154" s="29"/>
      <c r="Y154" s="35"/>
      <c r="Z154" s="36"/>
      <c r="AA154" s="36"/>
      <c r="AB154" s="29"/>
      <c r="AC154" s="35"/>
      <c r="AD154" s="36"/>
      <c r="AE154" s="36"/>
      <c r="AF154" s="29"/>
      <c r="AG154" s="35"/>
      <c r="AH154" s="36"/>
      <c r="AI154" s="36"/>
      <c r="AJ154" s="29"/>
      <c r="AK154" s="35"/>
      <c r="AL154" s="36"/>
      <c r="AM154" s="36"/>
      <c r="AN154" s="29"/>
      <c r="AO154" s="29"/>
      <c r="AP154" s="29"/>
      <c r="AQ154" s="37"/>
      <c r="AR154" s="39" t="str">
        <f aca="false">IF(AN154&lt;&gt;"Yes","",IF(AO154="","SELECT RE-ENTRY STAGE","MOVE TO ACTIVE at "&amp;AO154))</f>
        <v/>
      </c>
      <c r="AS154" s="40" t="str">
        <f aca="false">IF(AN154="Yes",COUNTIF($AN$6:AN154,"Yes"),"")</f>
        <v/>
      </c>
      <c r="AT154" s="29"/>
      <c r="AU154" s="38" t="str">
        <f aca="false">IF($C154="","",IF(OR(F154="Completed",F154="Cancelled"),"",IF(AND(OR(F154="On Hold",ISNUMBER(VALUE(LEFT(H154,2)))),AT154=""),"Reason not given","")))</f>
        <v/>
      </c>
      <c r="AV154" s="30"/>
      <c r="AW154" s="30"/>
    </row>
    <row r="155" customFormat="false" ht="19.5" hidden="false" customHeight="true" outlineLevel="0" collapsed="false">
      <c r="A155" s="28" t="str">
        <f aca="false">IF($C155="","",COUNTA($C$6:$C155))</f>
        <v/>
      </c>
      <c r="B155" s="29"/>
      <c r="C155" s="30"/>
      <c r="D155" s="29"/>
      <c r="E155" s="31" t="str">
        <f aca="false">IF($C155="","",IF(NOT(OR(M155="Completed",M155="NA",M155="Cancelled")),"S1 Schematic",IF(NOT(OR(Q155="Completed",Q155="NA",Q155="Cancelled")),"S2 PCB Layout",IF(NOT(OR(U155="Completed",U155="NA",U155="Cancelled")),"S3 SI &amp; PI",IF(NOT(OR(Y155="Completed",Y155="NA",Y155="Cancelled")),"S4 Bare-PCB Fab",IF(NOT(OR(AC155="Completed",AC155="NA",AC155="Cancelled")),"S5 Assembly",IF(NOT(OR(AG155="Completed",AG155="NA",AG155="Cancelled")),"S6 Bring-up",IF(NOT(OR(AK155="Completed",AK155="NA",AK155="Cancelled")),"S7 BOM Procurement","All Stages Closed"))))))))</f>
        <v/>
      </c>
      <c r="F155" s="32" t="str">
        <f aca="false">IF($C155="","",IF(COUNTIF(M155,"Cancelled")+COUNTIF(Q155,"Cancelled")+COUNTIF(U155,"Cancelled")+COUNTIF(Y155,"Cancelled")+COUNTIF(AC155,"Cancelled")+COUNTIF(AG155,"Cancelled")+COUNTIF(AK155,"Cancelled")&gt;0,"Cancelled",IF(E155="All Stages Closed","Completed",IF(E155="S1 Schematic",M155,IF(E155="S2 PCB Layout",Q155,IF(E155="S3 SI &amp; PI",U155,IF(E155="S4 Bare-PCB Fab",Y155,IF(E155="S5 Assembly",AC155,IF(E155="S6 Bring-up",AG155,AK155)))))))))</f>
        <v/>
      </c>
      <c r="G155" s="33" t="str">
        <f aca="false">IF($C155="","",IF(E155="All Stages Closed","",IF(E155="S1 Schematic",IF(N155="","Not added",N155),IF(E155="S2 PCB Layout",IF(R155="","Not added",R155),IF(E155="S3 SI &amp; PI",IF(V155="","Not added",V155),IF(E155="S4 Bare-PCB Fab",IF(Z155="","Not added",Z155),IF(E155="S5 Assembly",IF(AD155="","Not added",AD155),IF(E155="S6 Bring-up",IF(AH155="","Not added",AH155),IF(AL155="","Not added",AL155)))))))))</f>
        <v/>
      </c>
      <c r="H155" s="32" t="str">
        <f aca="true">IF($C155="","",IF(OR(F155="Completed",F155="Cancelled"),"",IF(NOT(ISNUMBER(G155)),"No date set",IF(TODAY()&gt;G155,TODAY()-G155&amp;" days late",G155-TODAY()&amp;" days left"))))</f>
        <v/>
      </c>
      <c r="I155" s="31" t="str">
        <f aca="false">IF($C155="","",COUNTIF(M155,"Completed")+COUNTIF(Q155,"Completed")+COUNTIF(U155,"Completed")+COUNTIF(Y155,"Completed")+COUNTIF(AC155,"Completed")+COUNTIF(AG155,"Completed")+COUNTIF(AK155,"Completed"))</f>
        <v/>
      </c>
      <c r="J155" s="31" t="str">
        <f aca="false">IF($C155="","",7-(COUNTIF(M155,"NA")+COUNTIF(Q155,"NA")+COUNTIF(U155,"NA")+COUNTIF(Y155,"NA")+COUNTIF(AC155,"NA")+COUNTIF(AG155,"NA")+COUNTIF(AK155,"NA")))</f>
        <v/>
      </c>
      <c r="K155" s="34" t="str">
        <f aca="false">IFERROR(I155/J155,"")</f>
        <v/>
      </c>
      <c r="L155" s="29"/>
      <c r="M155" s="35"/>
      <c r="N155" s="36"/>
      <c r="O155" s="36"/>
      <c r="P155" s="29"/>
      <c r="Q155" s="35"/>
      <c r="R155" s="36"/>
      <c r="S155" s="36"/>
      <c r="T155" s="29"/>
      <c r="U155" s="35"/>
      <c r="V155" s="36"/>
      <c r="W155" s="36"/>
      <c r="X155" s="29"/>
      <c r="Y155" s="35"/>
      <c r="Z155" s="36"/>
      <c r="AA155" s="36"/>
      <c r="AB155" s="29"/>
      <c r="AC155" s="35"/>
      <c r="AD155" s="36"/>
      <c r="AE155" s="36"/>
      <c r="AF155" s="29"/>
      <c r="AG155" s="35"/>
      <c r="AH155" s="36"/>
      <c r="AI155" s="36"/>
      <c r="AJ155" s="29"/>
      <c r="AK155" s="35"/>
      <c r="AL155" s="36"/>
      <c r="AM155" s="36"/>
      <c r="AN155" s="29"/>
      <c r="AO155" s="29"/>
      <c r="AP155" s="29"/>
      <c r="AQ155" s="37"/>
      <c r="AR155" s="39" t="str">
        <f aca="false">IF(AN155&lt;&gt;"Yes","",IF(AO155="","SELECT RE-ENTRY STAGE","MOVE TO ACTIVE at "&amp;AO155))</f>
        <v/>
      </c>
      <c r="AS155" s="40" t="str">
        <f aca="false">IF(AN155="Yes",COUNTIF($AN$6:AN155,"Yes"),"")</f>
        <v/>
      </c>
      <c r="AT155" s="29"/>
      <c r="AU155" s="38" t="str">
        <f aca="false">IF($C155="","",IF(OR(F155="Completed",F155="Cancelled"),"",IF(AND(OR(F155="On Hold",ISNUMBER(VALUE(LEFT(H155,2)))),AT155=""),"Reason not given","")))</f>
        <v/>
      </c>
      <c r="AV155" s="30"/>
      <c r="AW155" s="30"/>
    </row>
    <row r="156" customFormat="false" ht="19.5" hidden="false" customHeight="true" outlineLevel="0" collapsed="false">
      <c r="A156" s="28" t="str">
        <f aca="false">IF($C156="","",COUNTA($C$6:$C156))</f>
        <v/>
      </c>
      <c r="B156" s="29"/>
      <c r="C156" s="30"/>
      <c r="D156" s="29"/>
      <c r="E156" s="31" t="str">
        <f aca="false">IF($C156="","",IF(NOT(OR(M156="Completed",M156="NA",M156="Cancelled")),"S1 Schematic",IF(NOT(OR(Q156="Completed",Q156="NA",Q156="Cancelled")),"S2 PCB Layout",IF(NOT(OR(U156="Completed",U156="NA",U156="Cancelled")),"S3 SI &amp; PI",IF(NOT(OR(Y156="Completed",Y156="NA",Y156="Cancelled")),"S4 Bare-PCB Fab",IF(NOT(OR(AC156="Completed",AC156="NA",AC156="Cancelled")),"S5 Assembly",IF(NOT(OR(AG156="Completed",AG156="NA",AG156="Cancelled")),"S6 Bring-up",IF(NOT(OR(AK156="Completed",AK156="NA",AK156="Cancelled")),"S7 BOM Procurement","All Stages Closed"))))))))</f>
        <v/>
      </c>
      <c r="F156" s="32" t="str">
        <f aca="false">IF($C156="","",IF(COUNTIF(M156,"Cancelled")+COUNTIF(Q156,"Cancelled")+COUNTIF(U156,"Cancelled")+COUNTIF(Y156,"Cancelled")+COUNTIF(AC156,"Cancelled")+COUNTIF(AG156,"Cancelled")+COUNTIF(AK156,"Cancelled")&gt;0,"Cancelled",IF(E156="All Stages Closed","Completed",IF(E156="S1 Schematic",M156,IF(E156="S2 PCB Layout",Q156,IF(E156="S3 SI &amp; PI",U156,IF(E156="S4 Bare-PCB Fab",Y156,IF(E156="S5 Assembly",AC156,IF(E156="S6 Bring-up",AG156,AK156)))))))))</f>
        <v/>
      </c>
      <c r="G156" s="33" t="str">
        <f aca="false">IF($C156="","",IF(E156="All Stages Closed","",IF(E156="S1 Schematic",IF(N156="","Not added",N156),IF(E156="S2 PCB Layout",IF(R156="","Not added",R156),IF(E156="S3 SI &amp; PI",IF(V156="","Not added",V156),IF(E156="S4 Bare-PCB Fab",IF(Z156="","Not added",Z156),IF(E156="S5 Assembly",IF(AD156="","Not added",AD156),IF(E156="S6 Bring-up",IF(AH156="","Not added",AH156),IF(AL156="","Not added",AL156)))))))))</f>
        <v/>
      </c>
      <c r="H156" s="32" t="str">
        <f aca="true">IF($C156="","",IF(OR(F156="Completed",F156="Cancelled"),"",IF(NOT(ISNUMBER(G156)),"No date set",IF(TODAY()&gt;G156,TODAY()-G156&amp;" days late",G156-TODAY()&amp;" days left"))))</f>
        <v/>
      </c>
      <c r="I156" s="31" t="str">
        <f aca="false">IF($C156="","",COUNTIF(M156,"Completed")+COUNTIF(Q156,"Completed")+COUNTIF(U156,"Completed")+COUNTIF(Y156,"Completed")+COUNTIF(AC156,"Completed")+COUNTIF(AG156,"Completed")+COUNTIF(AK156,"Completed"))</f>
        <v/>
      </c>
      <c r="J156" s="31" t="str">
        <f aca="false">IF($C156="","",7-(COUNTIF(M156,"NA")+COUNTIF(Q156,"NA")+COUNTIF(U156,"NA")+COUNTIF(Y156,"NA")+COUNTIF(AC156,"NA")+COUNTIF(AG156,"NA")+COUNTIF(AK156,"NA")))</f>
        <v/>
      </c>
      <c r="K156" s="34" t="str">
        <f aca="false">IFERROR(I156/J156,"")</f>
        <v/>
      </c>
      <c r="L156" s="29"/>
      <c r="M156" s="35"/>
      <c r="N156" s="36"/>
      <c r="O156" s="36"/>
      <c r="P156" s="29"/>
      <c r="Q156" s="35"/>
      <c r="R156" s="36"/>
      <c r="S156" s="36"/>
      <c r="T156" s="29"/>
      <c r="U156" s="35"/>
      <c r="V156" s="36"/>
      <c r="W156" s="36"/>
      <c r="X156" s="29"/>
      <c r="Y156" s="35"/>
      <c r="Z156" s="36"/>
      <c r="AA156" s="36"/>
      <c r="AB156" s="29"/>
      <c r="AC156" s="35"/>
      <c r="AD156" s="36"/>
      <c r="AE156" s="36"/>
      <c r="AF156" s="29"/>
      <c r="AG156" s="35"/>
      <c r="AH156" s="36"/>
      <c r="AI156" s="36"/>
      <c r="AJ156" s="29"/>
      <c r="AK156" s="35"/>
      <c r="AL156" s="36"/>
      <c r="AM156" s="36"/>
      <c r="AN156" s="29"/>
      <c r="AO156" s="29"/>
      <c r="AP156" s="29"/>
      <c r="AQ156" s="37"/>
      <c r="AR156" s="39" t="str">
        <f aca="false">IF(AN156&lt;&gt;"Yes","",IF(AO156="","SELECT RE-ENTRY STAGE","MOVE TO ACTIVE at "&amp;AO156))</f>
        <v/>
      </c>
      <c r="AS156" s="40" t="str">
        <f aca="false">IF(AN156="Yes",COUNTIF($AN$6:AN156,"Yes"),"")</f>
        <v/>
      </c>
      <c r="AT156" s="29"/>
      <c r="AU156" s="38" t="str">
        <f aca="false">IF($C156="","",IF(OR(F156="Completed",F156="Cancelled"),"",IF(AND(OR(F156="On Hold",ISNUMBER(VALUE(LEFT(H156,2)))),AT156=""),"Reason not given","")))</f>
        <v/>
      </c>
      <c r="AV156" s="30"/>
      <c r="AW156" s="30"/>
    </row>
    <row r="157" customFormat="false" ht="19.5" hidden="false" customHeight="true" outlineLevel="0" collapsed="false">
      <c r="A157" s="28" t="str">
        <f aca="false">IF($C157="","",COUNTA($C$6:$C157))</f>
        <v/>
      </c>
      <c r="B157" s="29"/>
      <c r="C157" s="30"/>
      <c r="D157" s="29"/>
      <c r="E157" s="31" t="str">
        <f aca="false">IF($C157="","",IF(NOT(OR(M157="Completed",M157="NA",M157="Cancelled")),"S1 Schematic",IF(NOT(OR(Q157="Completed",Q157="NA",Q157="Cancelled")),"S2 PCB Layout",IF(NOT(OR(U157="Completed",U157="NA",U157="Cancelled")),"S3 SI &amp; PI",IF(NOT(OR(Y157="Completed",Y157="NA",Y157="Cancelled")),"S4 Bare-PCB Fab",IF(NOT(OR(AC157="Completed",AC157="NA",AC157="Cancelled")),"S5 Assembly",IF(NOT(OR(AG157="Completed",AG157="NA",AG157="Cancelled")),"S6 Bring-up",IF(NOT(OR(AK157="Completed",AK157="NA",AK157="Cancelled")),"S7 BOM Procurement","All Stages Closed"))))))))</f>
        <v/>
      </c>
      <c r="F157" s="32" t="str">
        <f aca="false">IF($C157="","",IF(COUNTIF(M157,"Cancelled")+COUNTIF(Q157,"Cancelled")+COUNTIF(U157,"Cancelled")+COUNTIF(Y157,"Cancelled")+COUNTIF(AC157,"Cancelled")+COUNTIF(AG157,"Cancelled")+COUNTIF(AK157,"Cancelled")&gt;0,"Cancelled",IF(E157="All Stages Closed","Completed",IF(E157="S1 Schematic",M157,IF(E157="S2 PCB Layout",Q157,IF(E157="S3 SI &amp; PI",U157,IF(E157="S4 Bare-PCB Fab",Y157,IF(E157="S5 Assembly",AC157,IF(E157="S6 Bring-up",AG157,AK157)))))))))</f>
        <v/>
      </c>
      <c r="G157" s="33" t="str">
        <f aca="false">IF($C157="","",IF(E157="All Stages Closed","",IF(E157="S1 Schematic",IF(N157="","Not added",N157),IF(E157="S2 PCB Layout",IF(R157="","Not added",R157),IF(E157="S3 SI &amp; PI",IF(V157="","Not added",V157),IF(E157="S4 Bare-PCB Fab",IF(Z157="","Not added",Z157),IF(E157="S5 Assembly",IF(AD157="","Not added",AD157),IF(E157="S6 Bring-up",IF(AH157="","Not added",AH157),IF(AL157="","Not added",AL157)))))))))</f>
        <v/>
      </c>
      <c r="H157" s="32" t="str">
        <f aca="true">IF($C157="","",IF(OR(F157="Completed",F157="Cancelled"),"",IF(NOT(ISNUMBER(G157)),"No date set",IF(TODAY()&gt;G157,TODAY()-G157&amp;" days late",G157-TODAY()&amp;" days left"))))</f>
        <v/>
      </c>
      <c r="I157" s="31" t="str">
        <f aca="false">IF($C157="","",COUNTIF(M157,"Completed")+COUNTIF(Q157,"Completed")+COUNTIF(U157,"Completed")+COUNTIF(Y157,"Completed")+COUNTIF(AC157,"Completed")+COUNTIF(AG157,"Completed")+COUNTIF(AK157,"Completed"))</f>
        <v/>
      </c>
      <c r="J157" s="31" t="str">
        <f aca="false">IF($C157="","",7-(COUNTIF(M157,"NA")+COUNTIF(Q157,"NA")+COUNTIF(U157,"NA")+COUNTIF(Y157,"NA")+COUNTIF(AC157,"NA")+COUNTIF(AG157,"NA")+COUNTIF(AK157,"NA")))</f>
        <v/>
      </c>
      <c r="K157" s="34" t="str">
        <f aca="false">IFERROR(I157/J157,"")</f>
        <v/>
      </c>
      <c r="L157" s="29"/>
      <c r="M157" s="35"/>
      <c r="N157" s="36"/>
      <c r="O157" s="36"/>
      <c r="P157" s="29"/>
      <c r="Q157" s="35"/>
      <c r="R157" s="36"/>
      <c r="S157" s="36"/>
      <c r="T157" s="29"/>
      <c r="U157" s="35"/>
      <c r="V157" s="36"/>
      <c r="W157" s="36"/>
      <c r="X157" s="29"/>
      <c r="Y157" s="35"/>
      <c r="Z157" s="36"/>
      <c r="AA157" s="36"/>
      <c r="AB157" s="29"/>
      <c r="AC157" s="35"/>
      <c r="AD157" s="36"/>
      <c r="AE157" s="36"/>
      <c r="AF157" s="29"/>
      <c r="AG157" s="35"/>
      <c r="AH157" s="36"/>
      <c r="AI157" s="36"/>
      <c r="AJ157" s="29"/>
      <c r="AK157" s="35"/>
      <c r="AL157" s="36"/>
      <c r="AM157" s="36"/>
      <c r="AN157" s="29"/>
      <c r="AO157" s="29"/>
      <c r="AP157" s="29"/>
      <c r="AQ157" s="37"/>
      <c r="AR157" s="39" t="str">
        <f aca="false">IF(AN157&lt;&gt;"Yes","",IF(AO157="","SELECT RE-ENTRY STAGE","MOVE TO ACTIVE at "&amp;AO157))</f>
        <v/>
      </c>
      <c r="AS157" s="40" t="str">
        <f aca="false">IF(AN157="Yes",COUNTIF($AN$6:AN157,"Yes"),"")</f>
        <v/>
      </c>
      <c r="AT157" s="29"/>
      <c r="AU157" s="38" t="str">
        <f aca="false">IF($C157="","",IF(OR(F157="Completed",F157="Cancelled"),"",IF(AND(OR(F157="On Hold",ISNUMBER(VALUE(LEFT(H157,2)))),AT157=""),"Reason not given","")))</f>
        <v/>
      </c>
      <c r="AV157" s="30"/>
      <c r="AW157" s="30"/>
    </row>
    <row r="158" customFormat="false" ht="19.5" hidden="false" customHeight="true" outlineLevel="0" collapsed="false">
      <c r="A158" s="28" t="str">
        <f aca="false">IF($C158="","",COUNTA($C$6:$C158))</f>
        <v/>
      </c>
      <c r="B158" s="29"/>
      <c r="C158" s="30"/>
      <c r="D158" s="29"/>
      <c r="E158" s="31" t="str">
        <f aca="false">IF($C158="","",IF(NOT(OR(M158="Completed",M158="NA",M158="Cancelled")),"S1 Schematic",IF(NOT(OR(Q158="Completed",Q158="NA",Q158="Cancelled")),"S2 PCB Layout",IF(NOT(OR(U158="Completed",U158="NA",U158="Cancelled")),"S3 SI &amp; PI",IF(NOT(OR(Y158="Completed",Y158="NA",Y158="Cancelled")),"S4 Bare-PCB Fab",IF(NOT(OR(AC158="Completed",AC158="NA",AC158="Cancelled")),"S5 Assembly",IF(NOT(OR(AG158="Completed",AG158="NA",AG158="Cancelled")),"S6 Bring-up",IF(NOT(OR(AK158="Completed",AK158="NA",AK158="Cancelled")),"S7 BOM Procurement","All Stages Closed"))))))))</f>
        <v/>
      </c>
      <c r="F158" s="32" t="str">
        <f aca="false">IF($C158="","",IF(COUNTIF(M158,"Cancelled")+COUNTIF(Q158,"Cancelled")+COUNTIF(U158,"Cancelled")+COUNTIF(Y158,"Cancelled")+COUNTIF(AC158,"Cancelled")+COUNTIF(AG158,"Cancelled")+COUNTIF(AK158,"Cancelled")&gt;0,"Cancelled",IF(E158="All Stages Closed","Completed",IF(E158="S1 Schematic",M158,IF(E158="S2 PCB Layout",Q158,IF(E158="S3 SI &amp; PI",U158,IF(E158="S4 Bare-PCB Fab",Y158,IF(E158="S5 Assembly",AC158,IF(E158="S6 Bring-up",AG158,AK158)))))))))</f>
        <v/>
      </c>
      <c r="G158" s="33" t="str">
        <f aca="false">IF($C158="","",IF(E158="All Stages Closed","",IF(E158="S1 Schematic",IF(N158="","Not added",N158),IF(E158="S2 PCB Layout",IF(R158="","Not added",R158),IF(E158="S3 SI &amp; PI",IF(V158="","Not added",V158),IF(E158="S4 Bare-PCB Fab",IF(Z158="","Not added",Z158),IF(E158="S5 Assembly",IF(AD158="","Not added",AD158),IF(E158="S6 Bring-up",IF(AH158="","Not added",AH158),IF(AL158="","Not added",AL158)))))))))</f>
        <v/>
      </c>
      <c r="H158" s="32" t="str">
        <f aca="true">IF($C158="","",IF(OR(F158="Completed",F158="Cancelled"),"",IF(NOT(ISNUMBER(G158)),"No date set",IF(TODAY()&gt;G158,TODAY()-G158&amp;" days late",G158-TODAY()&amp;" days left"))))</f>
        <v/>
      </c>
      <c r="I158" s="31" t="str">
        <f aca="false">IF($C158="","",COUNTIF(M158,"Completed")+COUNTIF(Q158,"Completed")+COUNTIF(U158,"Completed")+COUNTIF(Y158,"Completed")+COUNTIF(AC158,"Completed")+COUNTIF(AG158,"Completed")+COUNTIF(AK158,"Completed"))</f>
        <v/>
      </c>
      <c r="J158" s="31" t="str">
        <f aca="false">IF($C158="","",7-(COUNTIF(M158,"NA")+COUNTIF(Q158,"NA")+COUNTIF(U158,"NA")+COUNTIF(Y158,"NA")+COUNTIF(AC158,"NA")+COUNTIF(AG158,"NA")+COUNTIF(AK158,"NA")))</f>
        <v/>
      </c>
      <c r="K158" s="34" t="str">
        <f aca="false">IFERROR(I158/J158,"")</f>
        <v/>
      </c>
      <c r="L158" s="29"/>
      <c r="M158" s="35"/>
      <c r="N158" s="36"/>
      <c r="O158" s="36"/>
      <c r="P158" s="29"/>
      <c r="Q158" s="35"/>
      <c r="R158" s="36"/>
      <c r="S158" s="36"/>
      <c r="T158" s="29"/>
      <c r="U158" s="35"/>
      <c r="V158" s="36"/>
      <c r="W158" s="36"/>
      <c r="X158" s="29"/>
      <c r="Y158" s="35"/>
      <c r="Z158" s="36"/>
      <c r="AA158" s="36"/>
      <c r="AB158" s="29"/>
      <c r="AC158" s="35"/>
      <c r="AD158" s="36"/>
      <c r="AE158" s="36"/>
      <c r="AF158" s="29"/>
      <c r="AG158" s="35"/>
      <c r="AH158" s="36"/>
      <c r="AI158" s="36"/>
      <c r="AJ158" s="29"/>
      <c r="AK158" s="35"/>
      <c r="AL158" s="36"/>
      <c r="AM158" s="36"/>
      <c r="AN158" s="29"/>
      <c r="AO158" s="29"/>
      <c r="AP158" s="29"/>
      <c r="AQ158" s="37"/>
      <c r="AR158" s="39" t="str">
        <f aca="false">IF(AN158&lt;&gt;"Yes","",IF(AO158="","SELECT RE-ENTRY STAGE","MOVE TO ACTIVE at "&amp;AO158))</f>
        <v/>
      </c>
      <c r="AS158" s="40" t="str">
        <f aca="false">IF(AN158="Yes",COUNTIF($AN$6:AN158,"Yes"),"")</f>
        <v/>
      </c>
      <c r="AT158" s="29"/>
      <c r="AU158" s="38" t="str">
        <f aca="false">IF($C158="","",IF(OR(F158="Completed",F158="Cancelled"),"",IF(AND(OR(F158="On Hold",ISNUMBER(VALUE(LEFT(H158,2)))),AT158=""),"Reason not given","")))</f>
        <v/>
      </c>
      <c r="AV158" s="30"/>
      <c r="AW158" s="30"/>
    </row>
    <row r="159" customFormat="false" ht="19.5" hidden="false" customHeight="true" outlineLevel="0" collapsed="false">
      <c r="A159" s="28" t="str">
        <f aca="false">IF($C159="","",COUNTA($C$6:$C159))</f>
        <v/>
      </c>
      <c r="B159" s="29"/>
      <c r="C159" s="30"/>
      <c r="D159" s="29"/>
      <c r="E159" s="31" t="str">
        <f aca="false">IF($C159="","",IF(NOT(OR(M159="Completed",M159="NA",M159="Cancelled")),"S1 Schematic",IF(NOT(OR(Q159="Completed",Q159="NA",Q159="Cancelled")),"S2 PCB Layout",IF(NOT(OR(U159="Completed",U159="NA",U159="Cancelled")),"S3 SI &amp; PI",IF(NOT(OR(Y159="Completed",Y159="NA",Y159="Cancelled")),"S4 Bare-PCB Fab",IF(NOT(OR(AC159="Completed",AC159="NA",AC159="Cancelled")),"S5 Assembly",IF(NOT(OR(AG159="Completed",AG159="NA",AG159="Cancelled")),"S6 Bring-up",IF(NOT(OR(AK159="Completed",AK159="NA",AK159="Cancelled")),"S7 BOM Procurement","All Stages Closed"))))))))</f>
        <v/>
      </c>
      <c r="F159" s="32" t="str">
        <f aca="false">IF($C159="","",IF(COUNTIF(M159,"Cancelled")+COUNTIF(Q159,"Cancelled")+COUNTIF(U159,"Cancelled")+COUNTIF(Y159,"Cancelled")+COUNTIF(AC159,"Cancelled")+COUNTIF(AG159,"Cancelled")+COUNTIF(AK159,"Cancelled")&gt;0,"Cancelled",IF(E159="All Stages Closed","Completed",IF(E159="S1 Schematic",M159,IF(E159="S2 PCB Layout",Q159,IF(E159="S3 SI &amp; PI",U159,IF(E159="S4 Bare-PCB Fab",Y159,IF(E159="S5 Assembly",AC159,IF(E159="S6 Bring-up",AG159,AK159)))))))))</f>
        <v/>
      </c>
      <c r="G159" s="33" t="str">
        <f aca="false">IF($C159="","",IF(E159="All Stages Closed","",IF(E159="S1 Schematic",IF(N159="","Not added",N159),IF(E159="S2 PCB Layout",IF(R159="","Not added",R159),IF(E159="S3 SI &amp; PI",IF(V159="","Not added",V159),IF(E159="S4 Bare-PCB Fab",IF(Z159="","Not added",Z159),IF(E159="S5 Assembly",IF(AD159="","Not added",AD159),IF(E159="S6 Bring-up",IF(AH159="","Not added",AH159),IF(AL159="","Not added",AL159)))))))))</f>
        <v/>
      </c>
      <c r="H159" s="32" t="str">
        <f aca="true">IF($C159="","",IF(OR(F159="Completed",F159="Cancelled"),"",IF(NOT(ISNUMBER(G159)),"No date set",IF(TODAY()&gt;G159,TODAY()-G159&amp;" days late",G159-TODAY()&amp;" days left"))))</f>
        <v/>
      </c>
      <c r="I159" s="31" t="str">
        <f aca="false">IF($C159="","",COUNTIF(M159,"Completed")+COUNTIF(Q159,"Completed")+COUNTIF(U159,"Completed")+COUNTIF(Y159,"Completed")+COUNTIF(AC159,"Completed")+COUNTIF(AG159,"Completed")+COUNTIF(AK159,"Completed"))</f>
        <v/>
      </c>
      <c r="J159" s="31" t="str">
        <f aca="false">IF($C159="","",7-(COUNTIF(M159,"NA")+COUNTIF(Q159,"NA")+COUNTIF(U159,"NA")+COUNTIF(Y159,"NA")+COUNTIF(AC159,"NA")+COUNTIF(AG159,"NA")+COUNTIF(AK159,"NA")))</f>
        <v/>
      </c>
      <c r="K159" s="34" t="str">
        <f aca="false">IFERROR(I159/J159,"")</f>
        <v/>
      </c>
      <c r="L159" s="29"/>
      <c r="M159" s="35"/>
      <c r="N159" s="36"/>
      <c r="O159" s="36"/>
      <c r="P159" s="29"/>
      <c r="Q159" s="35"/>
      <c r="R159" s="36"/>
      <c r="S159" s="36"/>
      <c r="T159" s="29"/>
      <c r="U159" s="35"/>
      <c r="V159" s="36"/>
      <c r="W159" s="36"/>
      <c r="X159" s="29"/>
      <c r="Y159" s="35"/>
      <c r="Z159" s="36"/>
      <c r="AA159" s="36"/>
      <c r="AB159" s="29"/>
      <c r="AC159" s="35"/>
      <c r="AD159" s="36"/>
      <c r="AE159" s="36"/>
      <c r="AF159" s="29"/>
      <c r="AG159" s="35"/>
      <c r="AH159" s="36"/>
      <c r="AI159" s="36"/>
      <c r="AJ159" s="29"/>
      <c r="AK159" s="35"/>
      <c r="AL159" s="36"/>
      <c r="AM159" s="36"/>
      <c r="AN159" s="29"/>
      <c r="AO159" s="29"/>
      <c r="AP159" s="29"/>
      <c r="AQ159" s="37"/>
      <c r="AR159" s="39" t="str">
        <f aca="false">IF(AN159&lt;&gt;"Yes","",IF(AO159="","SELECT RE-ENTRY STAGE","MOVE TO ACTIVE at "&amp;AO159))</f>
        <v/>
      </c>
      <c r="AS159" s="40" t="str">
        <f aca="false">IF(AN159="Yes",COUNTIF($AN$6:AN159,"Yes"),"")</f>
        <v/>
      </c>
      <c r="AT159" s="29"/>
      <c r="AU159" s="38" t="str">
        <f aca="false">IF($C159="","",IF(OR(F159="Completed",F159="Cancelled"),"",IF(AND(OR(F159="On Hold",ISNUMBER(VALUE(LEFT(H159,2)))),AT159=""),"Reason not given","")))</f>
        <v/>
      </c>
      <c r="AV159" s="30"/>
      <c r="AW159" s="30"/>
    </row>
    <row r="160" customFormat="false" ht="19.5" hidden="false" customHeight="true" outlineLevel="0" collapsed="false">
      <c r="A160" s="28" t="str">
        <f aca="false">IF($C160="","",COUNTA($C$6:$C160))</f>
        <v/>
      </c>
      <c r="B160" s="29"/>
      <c r="C160" s="30"/>
      <c r="D160" s="29"/>
      <c r="E160" s="31" t="str">
        <f aca="false">IF($C160="","",IF(NOT(OR(M160="Completed",M160="NA",M160="Cancelled")),"S1 Schematic",IF(NOT(OR(Q160="Completed",Q160="NA",Q160="Cancelled")),"S2 PCB Layout",IF(NOT(OR(U160="Completed",U160="NA",U160="Cancelled")),"S3 SI &amp; PI",IF(NOT(OR(Y160="Completed",Y160="NA",Y160="Cancelled")),"S4 Bare-PCB Fab",IF(NOT(OR(AC160="Completed",AC160="NA",AC160="Cancelled")),"S5 Assembly",IF(NOT(OR(AG160="Completed",AG160="NA",AG160="Cancelled")),"S6 Bring-up",IF(NOT(OR(AK160="Completed",AK160="NA",AK160="Cancelled")),"S7 BOM Procurement","All Stages Closed"))))))))</f>
        <v/>
      </c>
      <c r="F160" s="32" t="str">
        <f aca="false">IF($C160="","",IF(COUNTIF(M160,"Cancelled")+COUNTIF(Q160,"Cancelled")+COUNTIF(U160,"Cancelled")+COUNTIF(Y160,"Cancelled")+COUNTIF(AC160,"Cancelled")+COUNTIF(AG160,"Cancelled")+COUNTIF(AK160,"Cancelled")&gt;0,"Cancelled",IF(E160="All Stages Closed","Completed",IF(E160="S1 Schematic",M160,IF(E160="S2 PCB Layout",Q160,IF(E160="S3 SI &amp; PI",U160,IF(E160="S4 Bare-PCB Fab",Y160,IF(E160="S5 Assembly",AC160,IF(E160="S6 Bring-up",AG160,AK160)))))))))</f>
        <v/>
      </c>
      <c r="G160" s="33" t="str">
        <f aca="false">IF($C160="","",IF(E160="All Stages Closed","",IF(E160="S1 Schematic",IF(N160="","Not added",N160),IF(E160="S2 PCB Layout",IF(R160="","Not added",R160),IF(E160="S3 SI &amp; PI",IF(V160="","Not added",V160),IF(E160="S4 Bare-PCB Fab",IF(Z160="","Not added",Z160),IF(E160="S5 Assembly",IF(AD160="","Not added",AD160),IF(E160="S6 Bring-up",IF(AH160="","Not added",AH160),IF(AL160="","Not added",AL160)))))))))</f>
        <v/>
      </c>
      <c r="H160" s="32" t="str">
        <f aca="true">IF($C160="","",IF(OR(F160="Completed",F160="Cancelled"),"",IF(NOT(ISNUMBER(G160)),"No date set",IF(TODAY()&gt;G160,TODAY()-G160&amp;" days late",G160-TODAY()&amp;" days left"))))</f>
        <v/>
      </c>
      <c r="I160" s="31" t="str">
        <f aca="false">IF($C160="","",COUNTIF(M160,"Completed")+COUNTIF(Q160,"Completed")+COUNTIF(U160,"Completed")+COUNTIF(Y160,"Completed")+COUNTIF(AC160,"Completed")+COUNTIF(AG160,"Completed")+COUNTIF(AK160,"Completed"))</f>
        <v/>
      </c>
      <c r="J160" s="31" t="str">
        <f aca="false">IF($C160="","",7-(COUNTIF(M160,"NA")+COUNTIF(Q160,"NA")+COUNTIF(U160,"NA")+COUNTIF(Y160,"NA")+COUNTIF(AC160,"NA")+COUNTIF(AG160,"NA")+COUNTIF(AK160,"NA")))</f>
        <v/>
      </c>
      <c r="K160" s="34" t="str">
        <f aca="false">IFERROR(I160/J160,"")</f>
        <v/>
      </c>
      <c r="L160" s="29"/>
      <c r="M160" s="35"/>
      <c r="N160" s="36"/>
      <c r="O160" s="36"/>
      <c r="P160" s="29"/>
      <c r="Q160" s="35"/>
      <c r="R160" s="36"/>
      <c r="S160" s="36"/>
      <c r="T160" s="29"/>
      <c r="U160" s="35"/>
      <c r="V160" s="36"/>
      <c r="W160" s="36"/>
      <c r="X160" s="29"/>
      <c r="Y160" s="35"/>
      <c r="Z160" s="36"/>
      <c r="AA160" s="36"/>
      <c r="AB160" s="29"/>
      <c r="AC160" s="35"/>
      <c r="AD160" s="36"/>
      <c r="AE160" s="36"/>
      <c r="AF160" s="29"/>
      <c r="AG160" s="35"/>
      <c r="AH160" s="36"/>
      <c r="AI160" s="36"/>
      <c r="AJ160" s="29"/>
      <c r="AK160" s="35"/>
      <c r="AL160" s="36"/>
      <c r="AM160" s="36"/>
      <c r="AN160" s="29"/>
      <c r="AO160" s="29"/>
      <c r="AP160" s="29"/>
      <c r="AQ160" s="37"/>
      <c r="AR160" s="39" t="str">
        <f aca="false">IF(AN160&lt;&gt;"Yes","",IF(AO160="","SELECT RE-ENTRY STAGE","MOVE TO ACTIVE at "&amp;AO160))</f>
        <v/>
      </c>
      <c r="AS160" s="40" t="str">
        <f aca="false">IF(AN160="Yes",COUNTIF($AN$6:AN160,"Yes"),"")</f>
        <v/>
      </c>
      <c r="AT160" s="29"/>
      <c r="AU160" s="38" t="str">
        <f aca="false">IF($C160="","",IF(OR(F160="Completed",F160="Cancelled"),"",IF(AND(OR(F160="On Hold",ISNUMBER(VALUE(LEFT(H160,2)))),AT160=""),"Reason not given","")))</f>
        <v/>
      </c>
      <c r="AV160" s="30"/>
      <c r="AW160" s="30"/>
    </row>
    <row r="161" customFormat="false" ht="19.5" hidden="false" customHeight="true" outlineLevel="0" collapsed="false">
      <c r="A161" s="28" t="str">
        <f aca="false">IF($C161="","",COUNTA($C$6:$C161))</f>
        <v/>
      </c>
      <c r="B161" s="29"/>
      <c r="C161" s="30"/>
      <c r="D161" s="29"/>
      <c r="E161" s="31" t="str">
        <f aca="false">IF($C161="","",IF(NOT(OR(M161="Completed",M161="NA",M161="Cancelled")),"S1 Schematic",IF(NOT(OR(Q161="Completed",Q161="NA",Q161="Cancelled")),"S2 PCB Layout",IF(NOT(OR(U161="Completed",U161="NA",U161="Cancelled")),"S3 SI &amp; PI",IF(NOT(OR(Y161="Completed",Y161="NA",Y161="Cancelled")),"S4 Bare-PCB Fab",IF(NOT(OR(AC161="Completed",AC161="NA",AC161="Cancelled")),"S5 Assembly",IF(NOT(OR(AG161="Completed",AG161="NA",AG161="Cancelled")),"S6 Bring-up",IF(NOT(OR(AK161="Completed",AK161="NA",AK161="Cancelled")),"S7 BOM Procurement","All Stages Closed"))))))))</f>
        <v/>
      </c>
      <c r="F161" s="32" t="str">
        <f aca="false">IF($C161="","",IF(COUNTIF(M161,"Cancelled")+COUNTIF(Q161,"Cancelled")+COUNTIF(U161,"Cancelled")+COUNTIF(Y161,"Cancelled")+COUNTIF(AC161,"Cancelled")+COUNTIF(AG161,"Cancelled")+COUNTIF(AK161,"Cancelled")&gt;0,"Cancelled",IF(E161="All Stages Closed","Completed",IF(E161="S1 Schematic",M161,IF(E161="S2 PCB Layout",Q161,IF(E161="S3 SI &amp; PI",U161,IF(E161="S4 Bare-PCB Fab",Y161,IF(E161="S5 Assembly",AC161,IF(E161="S6 Bring-up",AG161,AK161)))))))))</f>
        <v/>
      </c>
      <c r="G161" s="33" t="str">
        <f aca="false">IF($C161="","",IF(E161="All Stages Closed","",IF(E161="S1 Schematic",IF(N161="","Not added",N161),IF(E161="S2 PCB Layout",IF(R161="","Not added",R161),IF(E161="S3 SI &amp; PI",IF(V161="","Not added",V161),IF(E161="S4 Bare-PCB Fab",IF(Z161="","Not added",Z161),IF(E161="S5 Assembly",IF(AD161="","Not added",AD161),IF(E161="S6 Bring-up",IF(AH161="","Not added",AH161),IF(AL161="","Not added",AL161)))))))))</f>
        <v/>
      </c>
      <c r="H161" s="32" t="str">
        <f aca="true">IF($C161="","",IF(OR(F161="Completed",F161="Cancelled"),"",IF(NOT(ISNUMBER(G161)),"No date set",IF(TODAY()&gt;G161,TODAY()-G161&amp;" days late",G161-TODAY()&amp;" days left"))))</f>
        <v/>
      </c>
      <c r="I161" s="31" t="str">
        <f aca="false">IF($C161="","",COUNTIF(M161,"Completed")+COUNTIF(Q161,"Completed")+COUNTIF(U161,"Completed")+COUNTIF(Y161,"Completed")+COUNTIF(AC161,"Completed")+COUNTIF(AG161,"Completed")+COUNTIF(AK161,"Completed"))</f>
        <v/>
      </c>
      <c r="J161" s="31" t="str">
        <f aca="false">IF($C161="","",7-(COUNTIF(M161,"NA")+COUNTIF(Q161,"NA")+COUNTIF(U161,"NA")+COUNTIF(Y161,"NA")+COUNTIF(AC161,"NA")+COUNTIF(AG161,"NA")+COUNTIF(AK161,"NA")))</f>
        <v/>
      </c>
      <c r="K161" s="34" t="str">
        <f aca="false">IFERROR(I161/J161,"")</f>
        <v/>
      </c>
      <c r="L161" s="29"/>
      <c r="M161" s="35"/>
      <c r="N161" s="36"/>
      <c r="O161" s="36"/>
      <c r="P161" s="29"/>
      <c r="Q161" s="35"/>
      <c r="R161" s="36"/>
      <c r="S161" s="36"/>
      <c r="T161" s="29"/>
      <c r="U161" s="35"/>
      <c r="V161" s="36"/>
      <c r="W161" s="36"/>
      <c r="X161" s="29"/>
      <c r="Y161" s="35"/>
      <c r="Z161" s="36"/>
      <c r="AA161" s="36"/>
      <c r="AB161" s="29"/>
      <c r="AC161" s="35"/>
      <c r="AD161" s="36"/>
      <c r="AE161" s="36"/>
      <c r="AF161" s="29"/>
      <c r="AG161" s="35"/>
      <c r="AH161" s="36"/>
      <c r="AI161" s="36"/>
      <c r="AJ161" s="29"/>
      <c r="AK161" s="35"/>
      <c r="AL161" s="36"/>
      <c r="AM161" s="36"/>
      <c r="AN161" s="29"/>
      <c r="AO161" s="29"/>
      <c r="AP161" s="29"/>
      <c r="AQ161" s="37"/>
      <c r="AR161" s="39" t="str">
        <f aca="false">IF(AN161&lt;&gt;"Yes","",IF(AO161="","SELECT RE-ENTRY STAGE","MOVE TO ACTIVE at "&amp;AO161))</f>
        <v/>
      </c>
      <c r="AS161" s="40" t="str">
        <f aca="false">IF(AN161="Yes",COUNTIF($AN$6:AN161,"Yes"),"")</f>
        <v/>
      </c>
      <c r="AT161" s="29"/>
      <c r="AU161" s="38" t="str">
        <f aca="false">IF($C161="","",IF(OR(F161="Completed",F161="Cancelled"),"",IF(AND(OR(F161="On Hold",ISNUMBER(VALUE(LEFT(H161,2)))),AT161=""),"Reason not given","")))</f>
        <v/>
      </c>
      <c r="AV161" s="30"/>
      <c r="AW161" s="30"/>
    </row>
    <row r="162" customFormat="false" ht="19.5" hidden="false" customHeight="true" outlineLevel="0" collapsed="false">
      <c r="A162" s="28" t="str">
        <f aca="false">IF($C162="","",COUNTA($C$6:$C162))</f>
        <v/>
      </c>
      <c r="B162" s="29"/>
      <c r="C162" s="30"/>
      <c r="D162" s="29"/>
      <c r="E162" s="31" t="str">
        <f aca="false">IF($C162="","",IF(NOT(OR(M162="Completed",M162="NA",M162="Cancelled")),"S1 Schematic",IF(NOT(OR(Q162="Completed",Q162="NA",Q162="Cancelled")),"S2 PCB Layout",IF(NOT(OR(U162="Completed",U162="NA",U162="Cancelled")),"S3 SI &amp; PI",IF(NOT(OR(Y162="Completed",Y162="NA",Y162="Cancelled")),"S4 Bare-PCB Fab",IF(NOT(OR(AC162="Completed",AC162="NA",AC162="Cancelled")),"S5 Assembly",IF(NOT(OR(AG162="Completed",AG162="NA",AG162="Cancelled")),"S6 Bring-up",IF(NOT(OR(AK162="Completed",AK162="NA",AK162="Cancelled")),"S7 BOM Procurement","All Stages Closed"))))))))</f>
        <v/>
      </c>
      <c r="F162" s="32" t="str">
        <f aca="false">IF($C162="","",IF(COUNTIF(M162,"Cancelled")+COUNTIF(Q162,"Cancelled")+COUNTIF(U162,"Cancelled")+COUNTIF(Y162,"Cancelled")+COUNTIF(AC162,"Cancelled")+COUNTIF(AG162,"Cancelled")+COUNTIF(AK162,"Cancelled")&gt;0,"Cancelled",IF(E162="All Stages Closed","Completed",IF(E162="S1 Schematic",M162,IF(E162="S2 PCB Layout",Q162,IF(E162="S3 SI &amp; PI",U162,IF(E162="S4 Bare-PCB Fab",Y162,IF(E162="S5 Assembly",AC162,IF(E162="S6 Bring-up",AG162,AK162)))))))))</f>
        <v/>
      </c>
      <c r="G162" s="33" t="str">
        <f aca="false">IF($C162="","",IF(E162="All Stages Closed","",IF(E162="S1 Schematic",IF(N162="","Not added",N162),IF(E162="S2 PCB Layout",IF(R162="","Not added",R162),IF(E162="S3 SI &amp; PI",IF(V162="","Not added",V162),IF(E162="S4 Bare-PCB Fab",IF(Z162="","Not added",Z162),IF(E162="S5 Assembly",IF(AD162="","Not added",AD162),IF(E162="S6 Bring-up",IF(AH162="","Not added",AH162),IF(AL162="","Not added",AL162)))))))))</f>
        <v/>
      </c>
      <c r="H162" s="32" t="str">
        <f aca="true">IF($C162="","",IF(OR(F162="Completed",F162="Cancelled"),"",IF(NOT(ISNUMBER(G162)),"No date set",IF(TODAY()&gt;G162,TODAY()-G162&amp;" days late",G162-TODAY()&amp;" days left"))))</f>
        <v/>
      </c>
      <c r="I162" s="31" t="str">
        <f aca="false">IF($C162="","",COUNTIF(M162,"Completed")+COUNTIF(Q162,"Completed")+COUNTIF(U162,"Completed")+COUNTIF(Y162,"Completed")+COUNTIF(AC162,"Completed")+COUNTIF(AG162,"Completed")+COUNTIF(AK162,"Completed"))</f>
        <v/>
      </c>
      <c r="J162" s="31" t="str">
        <f aca="false">IF($C162="","",7-(COUNTIF(M162,"NA")+COUNTIF(Q162,"NA")+COUNTIF(U162,"NA")+COUNTIF(Y162,"NA")+COUNTIF(AC162,"NA")+COUNTIF(AG162,"NA")+COUNTIF(AK162,"NA")))</f>
        <v/>
      </c>
      <c r="K162" s="34" t="str">
        <f aca="false">IFERROR(I162/J162,"")</f>
        <v/>
      </c>
      <c r="L162" s="29"/>
      <c r="M162" s="35"/>
      <c r="N162" s="36"/>
      <c r="O162" s="36"/>
      <c r="P162" s="29"/>
      <c r="Q162" s="35"/>
      <c r="R162" s="36"/>
      <c r="S162" s="36"/>
      <c r="T162" s="29"/>
      <c r="U162" s="35"/>
      <c r="V162" s="36"/>
      <c r="W162" s="36"/>
      <c r="X162" s="29"/>
      <c r="Y162" s="35"/>
      <c r="Z162" s="36"/>
      <c r="AA162" s="36"/>
      <c r="AB162" s="29"/>
      <c r="AC162" s="35"/>
      <c r="AD162" s="36"/>
      <c r="AE162" s="36"/>
      <c r="AF162" s="29"/>
      <c r="AG162" s="35"/>
      <c r="AH162" s="36"/>
      <c r="AI162" s="36"/>
      <c r="AJ162" s="29"/>
      <c r="AK162" s="35"/>
      <c r="AL162" s="36"/>
      <c r="AM162" s="36"/>
      <c r="AN162" s="29"/>
      <c r="AO162" s="29"/>
      <c r="AP162" s="29"/>
      <c r="AQ162" s="37"/>
      <c r="AR162" s="39" t="str">
        <f aca="false">IF(AN162&lt;&gt;"Yes","",IF(AO162="","SELECT RE-ENTRY STAGE","MOVE TO ACTIVE at "&amp;AO162))</f>
        <v/>
      </c>
      <c r="AS162" s="40" t="str">
        <f aca="false">IF(AN162="Yes",COUNTIF($AN$6:AN162,"Yes"),"")</f>
        <v/>
      </c>
      <c r="AT162" s="29"/>
      <c r="AU162" s="38" t="str">
        <f aca="false">IF($C162="","",IF(OR(F162="Completed",F162="Cancelled"),"",IF(AND(OR(F162="On Hold",ISNUMBER(VALUE(LEFT(H162,2)))),AT162=""),"Reason not given","")))</f>
        <v/>
      </c>
      <c r="AV162" s="30"/>
      <c r="AW162" s="30"/>
    </row>
    <row r="163" customFormat="false" ht="19.5" hidden="false" customHeight="true" outlineLevel="0" collapsed="false">
      <c r="A163" s="28" t="str">
        <f aca="false">IF($C163="","",COUNTA($C$6:$C163))</f>
        <v/>
      </c>
      <c r="B163" s="29"/>
      <c r="C163" s="30"/>
      <c r="D163" s="29"/>
      <c r="E163" s="31" t="str">
        <f aca="false">IF($C163="","",IF(NOT(OR(M163="Completed",M163="NA",M163="Cancelled")),"S1 Schematic",IF(NOT(OR(Q163="Completed",Q163="NA",Q163="Cancelled")),"S2 PCB Layout",IF(NOT(OR(U163="Completed",U163="NA",U163="Cancelled")),"S3 SI &amp; PI",IF(NOT(OR(Y163="Completed",Y163="NA",Y163="Cancelled")),"S4 Bare-PCB Fab",IF(NOT(OR(AC163="Completed",AC163="NA",AC163="Cancelled")),"S5 Assembly",IF(NOT(OR(AG163="Completed",AG163="NA",AG163="Cancelled")),"S6 Bring-up",IF(NOT(OR(AK163="Completed",AK163="NA",AK163="Cancelled")),"S7 BOM Procurement","All Stages Closed"))))))))</f>
        <v/>
      </c>
      <c r="F163" s="32" t="str">
        <f aca="false">IF($C163="","",IF(COUNTIF(M163,"Cancelled")+COUNTIF(Q163,"Cancelled")+COUNTIF(U163,"Cancelled")+COUNTIF(Y163,"Cancelled")+COUNTIF(AC163,"Cancelled")+COUNTIF(AG163,"Cancelled")+COUNTIF(AK163,"Cancelled")&gt;0,"Cancelled",IF(E163="All Stages Closed","Completed",IF(E163="S1 Schematic",M163,IF(E163="S2 PCB Layout",Q163,IF(E163="S3 SI &amp; PI",U163,IF(E163="S4 Bare-PCB Fab",Y163,IF(E163="S5 Assembly",AC163,IF(E163="S6 Bring-up",AG163,AK163)))))))))</f>
        <v/>
      </c>
      <c r="G163" s="33" t="str">
        <f aca="false">IF($C163="","",IF(E163="All Stages Closed","",IF(E163="S1 Schematic",IF(N163="","Not added",N163),IF(E163="S2 PCB Layout",IF(R163="","Not added",R163),IF(E163="S3 SI &amp; PI",IF(V163="","Not added",V163),IF(E163="S4 Bare-PCB Fab",IF(Z163="","Not added",Z163),IF(E163="S5 Assembly",IF(AD163="","Not added",AD163),IF(E163="S6 Bring-up",IF(AH163="","Not added",AH163),IF(AL163="","Not added",AL163)))))))))</f>
        <v/>
      </c>
      <c r="H163" s="32" t="str">
        <f aca="true">IF($C163="","",IF(OR(F163="Completed",F163="Cancelled"),"",IF(NOT(ISNUMBER(G163)),"No date set",IF(TODAY()&gt;G163,TODAY()-G163&amp;" days late",G163-TODAY()&amp;" days left"))))</f>
        <v/>
      </c>
      <c r="I163" s="31" t="str">
        <f aca="false">IF($C163="","",COUNTIF(M163,"Completed")+COUNTIF(Q163,"Completed")+COUNTIF(U163,"Completed")+COUNTIF(Y163,"Completed")+COUNTIF(AC163,"Completed")+COUNTIF(AG163,"Completed")+COUNTIF(AK163,"Completed"))</f>
        <v/>
      </c>
      <c r="J163" s="31" t="str">
        <f aca="false">IF($C163="","",7-(COUNTIF(M163,"NA")+COUNTIF(Q163,"NA")+COUNTIF(U163,"NA")+COUNTIF(Y163,"NA")+COUNTIF(AC163,"NA")+COUNTIF(AG163,"NA")+COUNTIF(AK163,"NA")))</f>
        <v/>
      </c>
      <c r="K163" s="34" t="str">
        <f aca="false">IFERROR(I163/J163,"")</f>
        <v/>
      </c>
      <c r="L163" s="29"/>
      <c r="M163" s="35"/>
      <c r="N163" s="36"/>
      <c r="O163" s="36"/>
      <c r="P163" s="29"/>
      <c r="Q163" s="35"/>
      <c r="R163" s="36"/>
      <c r="S163" s="36"/>
      <c r="T163" s="29"/>
      <c r="U163" s="35"/>
      <c r="V163" s="36"/>
      <c r="W163" s="36"/>
      <c r="X163" s="29"/>
      <c r="Y163" s="35"/>
      <c r="Z163" s="36"/>
      <c r="AA163" s="36"/>
      <c r="AB163" s="29"/>
      <c r="AC163" s="35"/>
      <c r="AD163" s="36"/>
      <c r="AE163" s="36"/>
      <c r="AF163" s="29"/>
      <c r="AG163" s="35"/>
      <c r="AH163" s="36"/>
      <c r="AI163" s="36"/>
      <c r="AJ163" s="29"/>
      <c r="AK163" s="35"/>
      <c r="AL163" s="36"/>
      <c r="AM163" s="36"/>
      <c r="AN163" s="29"/>
      <c r="AO163" s="29"/>
      <c r="AP163" s="29"/>
      <c r="AQ163" s="37"/>
      <c r="AR163" s="39" t="str">
        <f aca="false">IF(AN163&lt;&gt;"Yes","",IF(AO163="","SELECT RE-ENTRY STAGE","MOVE TO ACTIVE at "&amp;AO163))</f>
        <v/>
      </c>
      <c r="AS163" s="40" t="str">
        <f aca="false">IF(AN163="Yes",COUNTIF($AN$6:AN163,"Yes"),"")</f>
        <v/>
      </c>
      <c r="AT163" s="29"/>
      <c r="AU163" s="38" t="str">
        <f aca="false">IF($C163="","",IF(OR(F163="Completed",F163="Cancelled"),"",IF(AND(OR(F163="On Hold",ISNUMBER(VALUE(LEFT(H163,2)))),AT163=""),"Reason not given","")))</f>
        <v/>
      </c>
      <c r="AV163" s="30"/>
      <c r="AW163" s="30"/>
    </row>
    <row r="164" customFormat="false" ht="19.5" hidden="false" customHeight="true" outlineLevel="0" collapsed="false">
      <c r="A164" s="28" t="str">
        <f aca="false">IF($C164="","",COUNTA($C$6:$C164))</f>
        <v/>
      </c>
      <c r="B164" s="29"/>
      <c r="C164" s="30"/>
      <c r="D164" s="29"/>
      <c r="E164" s="31" t="str">
        <f aca="false">IF($C164="","",IF(NOT(OR(M164="Completed",M164="NA",M164="Cancelled")),"S1 Schematic",IF(NOT(OR(Q164="Completed",Q164="NA",Q164="Cancelled")),"S2 PCB Layout",IF(NOT(OR(U164="Completed",U164="NA",U164="Cancelled")),"S3 SI &amp; PI",IF(NOT(OR(Y164="Completed",Y164="NA",Y164="Cancelled")),"S4 Bare-PCB Fab",IF(NOT(OR(AC164="Completed",AC164="NA",AC164="Cancelled")),"S5 Assembly",IF(NOT(OR(AG164="Completed",AG164="NA",AG164="Cancelled")),"S6 Bring-up",IF(NOT(OR(AK164="Completed",AK164="NA",AK164="Cancelled")),"S7 BOM Procurement","All Stages Closed"))))))))</f>
        <v/>
      </c>
      <c r="F164" s="32" t="str">
        <f aca="false">IF($C164="","",IF(COUNTIF(M164,"Cancelled")+COUNTIF(Q164,"Cancelled")+COUNTIF(U164,"Cancelled")+COUNTIF(Y164,"Cancelled")+COUNTIF(AC164,"Cancelled")+COUNTIF(AG164,"Cancelled")+COUNTIF(AK164,"Cancelled")&gt;0,"Cancelled",IF(E164="All Stages Closed","Completed",IF(E164="S1 Schematic",M164,IF(E164="S2 PCB Layout",Q164,IF(E164="S3 SI &amp; PI",U164,IF(E164="S4 Bare-PCB Fab",Y164,IF(E164="S5 Assembly",AC164,IF(E164="S6 Bring-up",AG164,AK164)))))))))</f>
        <v/>
      </c>
      <c r="G164" s="33" t="str">
        <f aca="false">IF($C164="","",IF(E164="All Stages Closed","",IF(E164="S1 Schematic",IF(N164="","Not added",N164),IF(E164="S2 PCB Layout",IF(R164="","Not added",R164),IF(E164="S3 SI &amp; PI",IF(V164="","Not added",V164),IF(E164="S4 Bare-PCB Fab",IF(Z164="","Not added",Z164),IF(E164="S5 Assembly",IF(AD164="","Not added",AD164),IF(E164="S6 Bring-up",IF(AH164="","Not added",AH164),IF(AL164="","Not added",AL164)))))))))</f>
        <v/>
      </c>
      <c r="H164" s="32" t="str">
        <f aca="true">IF($C164="","",IF(OR(F164="Completed",F164="Cancelled"),"",IF(NOT(ISNUMBER(G164)),"No date set",IF(TODAY()&gt;G164,TODAY()-G164&amp;" days late",G164-TODAY()&amp;" days left"))))</f>
        <v/>
      </c>
      <c r="I164" s="31" t="str">
        <f aca="false">IF($C164="","",COUNTIF(M164,"Completed")+COUNTIF(Q164,"Completed")+COUNTIF(U164,"Completed")+COUNTIF(Y164,"Completed")+COUNTIF(AC164,"Completed")+COUNTIF(AG164,"Completed")+COUNTIF(AK164,"Completed"))</f>
        <v/>
      </c>
      <c r="J164" s="31" t="str">
        <f aca="false">IF($C164="","",7-(COUNTIF(M164,"NA")+COUNTIF(Q164,"NA")+COUNTIF(U164,"NA")+COUNTIF(Y164,"NA")+COUNTIF(AC164,"NA")+COUNTIF(AG164,"NA")+COUNTIF(AK164,"NA")))</f>
        <v/>
      </c>
      <c r="K164" s="34" t="str">
        <f aca="false">IFERROR(I164/J164,"")</f>
        <v/>
      </c>
      <c r="L164" s="29"/>
      <c r="M164" s="35"/>
      <c r="N164" s="36"/>
      <c r="O164" s="36"/>
      <c r="P164" s="29"/>
      <c r="Q164" s="35"/>
      <c r="R164" s="36"/>
      <c r="S164" s="36"/>
      <c r="T164" s="29"/>
      <c r="U164" s="35"/>
      <c r="V164" s="36"/>
      <c r="W164" s="36"/>
      <c r="X164" s="29"/>
      <c r="Y164" s="35"/>
      <c r="Z164" s="36"/>
      <c r="AA164" s="36"/>
      <c r="AB164" s="29"/>
      <c r="AC164" s="35"/>
      <c r="AD164" s="36"/>
      <c r="AE164" s="36"/>
      <c r="AF164" s="29"/>
      <c r="AG164" s="35"/>
      <c r="AH164" s="36"/>
      <c r="AI164" s="36"/>
      <c r="AJ164" s="29"/>
      <c r="AK164" s="35"/>
      <c r="AL164" s="36"/>
      <c r="AM164" s="36"/>
      <c r="AN164" s="29"/>
      <c r="AO164" s="29"/>
      <c r="AP164" s="29"/>
      <c r="AQ164" s="37"/>
      <c r="AR164" s="39" t="str">
        <f aca="false">IF(AN164&lt;&gt;"Yes","",IF(AO164="","SELECT RE-ENTRY STAGE","MOVE TO ACTIVE at "&amp;AO164))</f>
        <v/>
      </c>
      <c r="AS164" s="40" t="str">
        <f aca="false">IF(AN164="Yes",COUNTIF($AN$6:AN164,"Yes"),"")</f>
        <v/>
      </c>
      <c r="AT164" s="29"/>
      <c r="AU164" s="38" t="str">
        <f aca="false">IF($C164="","",IF(OR(F164="Completed",F164="Cancelled"),"",IF(AND(OR(F164="On Hold",ISNUMBER(VALUE(LEFT(H164,2)))),AT164=""),"Reason not given","")))</f>
        <v/>
      </c>
      <c r="AV164" s="30"/>
      <c r="AW164" s="30"/>
    </row>
    <row r="165" customFormat="false" ht="19.5" hidden="false" customHeight="true" outlineLevel="0" collapsed="false">
      <c r="A165" s="28" t="str">
        <f aca="false">IF($C165="","",COUNTA($C$6:$C165))</f>
        <v/>
      </c>
      <c r="B165" s="29"/>
      <c r="C165" s="30"/>
      <c r="D165" s="29"/>
      <c r="E165" s="31" t="str">
        <f aca="false">IF($C165="","",IF(NOT(OR(M165="Completed",M165="NA",M165="Cancelled")),"S1 Schematic",IF(NOT(OR(Q165="Completed",Q165="NA",Q165="Cancelled")),"S2 PCB Layout",IF(NOT(OR(U165="Completed",U165="NA",U165="Cancelled")),"S3 SI &amp; PI",IF(NOT(OR(Y165="Completed",Y165="NA",Y165="Cancelled")),"S4 Bare-PCB Fab",IF(NOT(OR(AC165="Completed",AC165="NA",AC165="Cancelled")),"S5 Assembly",IF(NOT(OR(AG165="Completed",AG165="NA",AG165="Cancelled")),"S6 Bring-up",IF(NOT(OR(AK165="Completed",AK165="NA",AK165="Cancelled")),"S7 BOM Procurement","All Stages Closed"))))))))</f>
        <v/>
      </c>
      <c r="F165" s="32" t="str">
        <f aca="false">IF($C165="","",IF(COUNTIF(M165,"Cancelled")+COUNTIF(Q165,"Cancelled")+COUNTIF(U165,"Cancelled")+COUNTIF(Y165,"Cancelled")+COUNTIF(AC165,"Cancelled")+COUNTIF(AG165,"Cancelled")+COUNTIF(AK165,"Cancelled")&gt;0,"Cancelled",IF(E165="All Stages Closed","Completed",IF(E165="S1 Schematic",M165,IF(E165="S2 PCB Layout",Q165,IF(E165="S3 SI &amp; PI",U165,IF(E165="S4 Bare-PCB Fab",Y165,IF(E165="S5 Assembly",AC165,IF(E165="S6 Bring-up",AG165,AK165)))))))))</f>
        <v/>
      </c>
      <c r="G165" s="33" t="str">
        <f aca="false">IF($C165="","",IF(E165="All Stages Closed","",IF(E165="S1 Schematic",IF(N165="","Not added",N165),IF(E165="S2 PCB Layout",IF(R165="","Not added",R165),IF(E165="S3 SI &amp; PI",IF(V165="","Not added",V165),IF(E165="S4 Bare-PCB Fab",IF(Z165="","Not added",Z165),IF(E165="S5 Assembly",IF(AD165="","Not added",AD165),IF(E165="S6 Bring-up",IF(AH165="","Not added",AH165),IF(AL165="","Not added",AL165)))))))))</f>
        <v/>
      </c>
      <c r="H165" s="32" t="str">
        <f aca="true">IF($C165="","",IF(OR(F165="Completed",F165="Cancelled"),"",IF(NOT(ISNUMBER(G165)),"No date set",IF(TODAY()&gt;G165,TODAY()-G165&amp;" days late",G165-TODAY()&amp;" days left"))))</f>
        <v/>
      </c>
      <c r="I165" s="31" t="str">
        <f aca="false">IF($C165="","",COUNTIF(M165,"Completed")+COUNTIF(Q165,"Completed")+COUNTIF(U165,"Completed")+COUNTIF(Y165,"Completed")+COUNTIF(AC165,"Completed")+COUNTIF(AG165,"Completed")+COUNTIF(AK165,"Completed"))</f>
        <v/>
      </c>
      <c r="J165" s="31" t="str">
        <f aca="false">IF($C165="","",7-(COUNTIF(M165,"NA")+COUNTIF(Q165,"NA")+COUNTIF(U165,"NA")+COUNTIF(Y165,"NA")+COUNTIF(AC165,"NA")+COUNTIF(AG165,"NA")+COUNTIF(AK165,"NA")))</f>
        <v/>
      </c>
      <c r="K165" s="34" t="str">
        <f aca="false">IFERROR(I165/J165,"")</f>
        <v/>
      </c>
      <c r="L165" s="29"/>
      <c r="M165" s="35"/>
      <c r="N165" s="36"/>
      <c r="O165" s="36"/>
      <c r="P165" s="29"/>
      <c r="Q165" s="35"/>
      <c r="R165" s="36"/>
      <c r="S165" s="36"/>
      <c r="T165" s="29"/>
      <c r="U165" s="35"/>
      <c r="V165" s="36"/>
      <c r="W165" s="36"/>
      <c r="X165" s="29"/>
      <c r="Y165" s="35"/>
      <c r="Z165" s="36"/>
      <c r="AA165" s="36"/>
      <c r="AB165" s="29"/>
      <c r="AC165" s="35"/>
      <c r="AD165" s="36"/>
      <c r="AE165" s="36"/>
      <c r="AF165" s="29"/>
      <c r="AG165" s="35"/>
      <c r="AH165" s="36"/>
      <c r="AI165" s="36"/>
      <c r="AJ165" s="29"/>
      <c r="AK165" s="35"/>
      <c r="AL165" s="36"/>
      <c r="AM165" s="36"/>
      <c r="AN165" s="29"/>
      <c r="AO165" s="29"/>
      <c r="AP165" s="29"/>
      <c r="AQ165" s="37"/>
      <c r="AR165" s="39" t="str">
        <f aca="false">IF(AN165&lt;&gt;"Yes","",IF(AO165="","SELECT RE-ENTRY STAGE","MOVE TO ACTIVE at "&amp;AO165))</f>
        <v/>
      </c>
      <c r="AS165" s="40" t="str">
        <f aca="false">IF(AN165="Yes",COUNTIF($AN$6:AN165,"Yes"),"")</f>
        <v/>
      </c>
      <c r="AT165" s="29"/>
      <c r="AU165" s="38" t="str">
        <f aca="false">IF($C165="","",IF(OR(F165="Completed",F165="Cancelled"),"",IF(AND(OR(F165="On Hold",ISNUMBER(VALUE(LEFT(H165,2)))),AT165=""),"Reason not given","")))</f>
        <v/>
      </c>
      <c r="AV165" s="30"/>
      <c r="AW165" s="30"/>
    </row>
    <row r="166" customFormat="false" ht="19.5" hidden="false" customHeight="true" outlineLevel="0" collapsed="false">
      <c r="A166" s="28" t="str">
        <f aca="false">IF($C166="","",COUNTA($C$6:$C166))</f>
        <v/>
      </c>
      <c r="B166" s="29"/>
      <c r="C166" s="30"/>
      <c r="D166" s="29"/>
      <c r="E166" s="31" t="str">
        <f aca="false">IF($C166="","",IF(NOT(OR(M166="Completed",M166="NA",M166="Cancelled")),"S1 Schematic",IF(NOT(OR(Q166="Completed",Q166="NA",Q166="Cancelled")),"S2 PCB Layout",IF(NOT(OR(U166="Completed",U166="NA",U166="Cancelled")),"S3 SI &amp; PI",IF(NOT(OR(Y166="Completed",Y166="NA",Y166="Cancelled")),"S4 Bare-PCB Fab",IF(NOT(OR(AC166="Completed",AC166="NA",AC166="Cancelled")),"S5 Assembly",IF(NOT(OR(AG166="Completed",AG166="NA",AG166="Cancelled")),"S6 Bring-up",IF(NOT(OR(AK166="Completed",AK166="NA",AK166="Cancelled")),"S7 BOM Procurement","All Stages Closed"))))))))</f>
        <v/>
      </c>
      <c r="F166" s="32" t="str">
        <f aca="false">IF($C166="","",IF(COUNTIF(M166,"Cancelled")+COUNTIF(Q166,"Cancelled")+COUNTIF(U166,"Cancelled")+COUNTIF(Y166,"Cancelled")+COUNTIF(AC166,"Cancelled")+COUNTIF(AG166,"Cancelled")+COUNTIF(AK166,"Cancelled")&gt;0,"Cancelled",IF(E166="All Stages Closed","Completed",IF(E166="S1 Schematic",M166,IF(E166="S2 PCB Layout",Q166,IF(E166="S3 SI &amp; PI",U166,IF(E166="S4 Bare-PCB Fab",Y166,IF(E166="S5 Assembly",AC166,IF(E166="S6 Bring-up",AG166,AK166)))))))))</f>
        <v/>
      </c>
      <c r="G166" s="33" t="str">
        <f aca="false">IF($C166="","",IF(E166="All Stages Closed","",IF(E166="S1 Schematic",IF(N166="","Not added",N166),IF(E166="S2 PCB Layout",IF(R166="","Not added",R166),IF(E166="S3 SI &amp; PI",IF(V166="","Not added",V166),IF(E166="S4 Bare-PCB Fab",IF(Z166="","Not added",Z166),IF(E166="S5 Assembly",IF(AD166="","Not added",AD166),IF(E166="S6 Bring-up",IF(AH166="","Not added",AH166),IF(AL166="","Not added",AL166)))))))))</f>
        <v/>
      </c>
      <c r="H166" s="32" t="str">
        <f aca="true">IF($C166="","",IF(OR(F166="Completed",F166="Cancelled"),"",IF(NOT(ISNUMBER(G166)),"No date set",IF(TODAY()&gt;G166,TODAY()-G166&amp;" days late",G166-TODAY()&amp;" days left"))))</f>
        <v/>
      </c>
      <c r="I166" s="31" t="str">
        <f aca="false">IF($C166="","",COUNTIF(M166,"Completed")+COUNTIF(Q166,"Completed")+COUNTIF(U166,"Completed")+COUNTIF(Y166,"Completed")+COUNTIF(AC166,"Completed")+COUNTIF(AG166,"Completed")+COUNTIF(AK166,"Completed"))</f>
        <v/>
      </c>
      <c r="J166" s="31" t="str">
        <f aca="false">IF($C166="","",7-(COUNTIF(M166,"NA")+COUNTIF(Q166,"NA")+COUNTIF(U166,"NA")+COUNTIF(Y166,"NA")+COUNTIF(AC166,"NA")+COUNTIF(AG166,"NA")+COUNTIF(AK166,"NA")))</f>
        <v/>
      </c>
      <c r="K166" s="34" t="str">
        <f aca="false">IFERROR(I166/J166,"")</f>
        <v/>
      </c>
      <c r="L166" s="29"/>
      <c r="M166" s="35"/>
      <c r="N166" s="36"/>
      <c r="O166" s="36"/>
      <c r="P166" s="29"/>
      <c r="Q166" s="35"/>
      <c r="R166" s="36"/>
      <c r="S166" s="36"/>
      <c r="T166" s="29"/>
      <c r="U166" s="35"/>
      <c r="V166" s="36"/>
      <c r="W166" s="36"/>
      <c r="X166" s="29"/>
      <c r="Y166" s="35"/>
      <c r="Z166" s="36"/>
      <c r="AA166" s="36"/>
      <c r="AB166" s="29"/>
      <c r="AC166" s="35"/>
      <c r="AD166" s="36"/>
      <c r="AE166" s="36"/>
      <c r="AF166" s="29"/>
      <c r="AG166" s="35"/>
      <c r="AH166" s="36"/>
      <c r="AI166" s="36"/>
      <c r="AJ166" s="29"/>
      <c r="AK166" s="35"/>
      <c r="AL166" s="36"/>
      <c r="AM166" s="36"/>
      <c r="AN166" s="29"/>
      <c r="AO166" s="29"/>
      <c r="AP166" s="29"/>
      <c r="AQ166" s="37"/>
      <c r="AR166" s="39" t="str">
        <f aca="false">IF(AN166&lt;&gt;"Yes","",IF(AO166="","SELECT RE-ENTRY STAGE","MOVE TO ACTIVE at "&amp;AO166))</f>
        <v/>
      </c>
      <c r="AS166" s="40" t="str">
        <f aca="false">IF(AN166="Yes",COUNTIF($AN$6:AN166,"Yes"),"")</f>
        <v/>
      </c>
      <c r="AT166" s="29"/>
      <c r="AU166" s="38" t="str">
        <f aca="false">IF($C166="","",IF(OR(F166="Completed",F166="Cancelled"),"",IF(AND(OR(F166="On Hold",ISNUMBER(VALUE(LEFT(H166,2)))),AT166=""),"Reason not given","")))</f>
        <v/>
      </c>
      <c r="AV166" s="30"/>
      <c r="AW166" s="30"/>
    </row>
    <row r="167" customFormat="false" ht="19.5" hidden="false" customHeight="true" outlineLevel="0" collapsed="false">
      <c r="A167" s="28" t="str">
        <f aca="false">IF($C167="","",COUNTA($C$6:$C167))</f>
        <v/>
      </c>
      <c r="B167" s="29"/>
      <c r="C167" s="30"/>
      <c r="D167" s="29"/>
      <c r="E167" s="31" t="str">
        <f aca="false">IF($C167="","",IF(NOT(OR(M167="Completed",M167="NA",M167="Cancelled")),"S1 Schematic",IF(NOT(OR(Q167="Completed",Q167="NA",Q167="Cancelled")),"S2 PCB Layout",IF(NOT(OR(U167="Completed",U167="NA",U167="Cancelled")),"S3 SI &amp; PI",IF(NOT(OR(Y167="Completed",Y167="NA",Y167="Cancelled")),"S4 Bare-PCB Fab",IF(NOT(OR(AC167="Completed",AC167="NA",AC167="Cancelled")),"S5 Assembly",IF(NOT(OR(AG167="Completed",AG167="NA",AG167="Cancelled")),"S6 Bring-up",IF(NOT(OR(AK167="Completed",AK167="NA",AK167="Cancelled")),"S7 BOM Procurement","All Stages Closed"))))))))</f>
        <v/>
      </c>
      <c r="F167" s="32" t="str">
        <f aca="false">IF($C167="","",IF(COUNTIF(M167,"Cancelled")+COUNTIF(Q167,"Cancelled")+COUNTIF(U167,"Cancelled")+COUNTIF(Y167,"Cancelled")+COUNTIF(AC167,"Cancelled")+COUNTIF(AG167,"Cancelled")+COUNTIF(AK167,"Cancelled")&gt;0,"Cancelled",IF(E167="All Stages Closed","Completed",IF(E167="S1 Schematic",M167,IF(E167="S2 PCB Layout",Q167,IF(E167="S3 SI &amp; PI",U167,IF(E167="S4 Bare-PCB Fab",Y167,IF(E167="S5 Assembly",AC167,IF(E167="S6 Bring-up",AG167,AK167)))))))))</f>
        <v/>
      </c>
      <c r="G167" s="33" t="str">
        <f aca="false">IF($C167="","",IF(E167="All Stages Closed","",IF(E167="S1 Schematic",IF(N167="","Not added",N167),IF(E167="S2 PCB Layout",IF(R167="","Not added",R167),IF(E167="S3 SI &amp; PI",IF(V167="","Not added",V167),IF(E167="S4 Bare-PCB Fab",IF(Z167="","Not added",Z167),IF(E167="S5 Assembly",IF(AD167="","Not added",AD167),IF(E167="S6 Bring-up",IF(AH167="","Not added",AH167),IF(AL167="","Not added",AL167)))))))))</f>
        <v/>
      </c>
      <c r="H167" s="32" t="str">
        <f aca="true">IF($C167="","",IF(OR(F167="Completed",F167="Cancelled"),"",IF(NOT(ISNUMBER(G167)),"No date set",IF(TODAY()&gt;G167,TODAY()-G167&amp;" days late",G167-TODAY()&amp;" days left"))))</f>
        <v/>
      </c>
      <c r="I167" s="31" t="str">
        <f aca="false">IF($C167="","",COUNTIF(M167,"Completed")+COUNTIF(Q167,"Completed")+COUNTIF(U167,"Completed")+COUNTIF(Y167,"Completed")+COUNTIF(AC167,"Completed")+COUNTIF(AG167,"Completed")+COUNTIF(AK167,"Completed"))</f>
        <v/>
      </c>
      <c r="J167" s="31" t="str">
        <f aca="false">IF($C167="","",7-(COUNTIF(M167,"NA")+COUNTIF(Q167,"NA")+COUNTIF(U167,"NA")+COUNTIF(Y167,"NA")+COUNTIF(AC167,"NA")+COUNTIF(AG167,"NA")+COUNTIF(AK167,"NA")))</f>
        <v/>
      </c>
      <c r="K167" s="34" t="str">
        <f aca="false">IFERROR(I167/J167,"")</f>
        <v/>
      </c>
      <c r="L167" s="29"/>
      <c r="M167" s="35"/>
      <c r="N167" s="36"/>
      <c r="O167" s="36"/>
      <c r="P167" s="29"/>
      <c r="Q167" s="35"/>
      <c r="R167" s="36"/>
      <c r="S167" s="36"/>
      <c r="T167" s="29"/>
      <c r="U167" s="35"/>
      <c r="V167" s="36"/>
      <c r="W167" s="36"/>
      <c r="X167" s="29"/>
      <c r="Y167" s="35"/>
      <c r="Z167" s="36"/>
      <c r="AA167" s="36"/>
      <c r="AB167" s="29"/>
      <c r="AC167" s="35"/>
      <c r="AD167" s="36"/>
      <c r="AE167" s="36"/>
      <c r="AF167" s="29"/>
      <c r="AG167" s="35"/>
      <c r="AH167" s="36"/>
      <c r="AI167" s="36"/>
      <c r="AJ167" s="29"/>
      <c r="AK167" s="35"/>
      <c r="AL167" s="36"/>
      <c r="AM167" s="36"/>
      <c r="AN167" s="29"/>
      <c r="AO167" s="29"/>
      <c r="AP167" s="29"/>
      <c r="AQ167" s="37"/>
      <c r="AR167" s="39" t="str">
        <f aca="false">IF(AN167&lt;&gt;"Yes","",IF(AO167="","SELECT RE-ENTRY STAGE","MOVE TO ACTIVE at "&amp;AO167))</f>
        <v/>
      </c>
      <c r="AS167" s="40" t="str">
        <f aca="false">IF(AN167="Yes",COUNTIF($AN$6:AN167,"Yes"),"")</f>
        <v/>
      </c>
      <c r="AT167" s="29"/>
      <c r="AU167" s="38" t="str">
        <f aca="false">IF($C167="","",IF(OR(F167="Completed",F167="Cancelled"),"",IF(AND(OR(F167="On Hold",ISNUMBER(VALUE(LEFT(H167,2)))),AT167=""),"Reason not given","")))</f>
        <v/>
      </c>
      <c r="AV167" s="30"/>
      <c r="AW167" s="30"/>
    </row>
    <row r="168" customFormat="false" ht="19.5" hidden="false" customHeight="true" outlineLevel="0" collapsed="false">
      <c r="A168" s="28" t="str">
        <f aca="false">IF($C168="","",COUNTA($C$6:$C168))</f>
        <v/>
      </c>
      <c r="B168" s="29"/>
      <c r="C168" s="30"/>
      <c r="D168" s="29"/>
      <c r="E168" s="31" t="str">
        <f aca="false">IF($C168="","",IF(NOT(OR(M168="Completed",M168="NA",M168="Cancelled")),"S1 Schematic",IF(NOT(OR(Q168="Completed",Q168="NA",Q168="Cancelled")),"S2 PCB Layout",IF(NOT(OR(U168="Completed",U168="NA",U168="Cancelled")),"S3 SI &amp; PI",IF(NOT(OR(Y168="Completed",Y168="NA",Y168="Cancelled")),"S4 Bare-PCB Fab",IF(NOT(OR(AC168="Completed",AC168="NA",AC168="Cancelled")),"S5 Assembly",IF(NOT(OR(AG168="Completed",AG168="NA",AG168="Cancelled")),"S6 Bring-up",IF(NOT(OR(AK168="Completed",AK168="NA",AK168="Cancelled")),"S7 BOM Procurement","All Stages Closed"))))))))</f>
        <v/>
      </c>
      <c r="F168" s="32" t="str">
        <f aca="false">IF($C168="","",IF(COUNTIF(M168,"Cancelled")+COUNTIF(Q168,"Cancelled")+COUNTIF(U168,"Cancelled")+COUNTIF(Y168,"Cancelled")+COUNTIF(AC168,"Cancelled")+COUNTIF(AG168,"Cancelled")+COUNTIF(AK168,"Cancelled")&gt;0,"Cancelled",IF(E168="All Stages Closed","Completed",IF(E168="S1 Schematic",M168,IF(E168="S2 PCB Layout",Q168,IF(E168="S3 SI &amp; PI",U168,IF(E168="S4 Bare-PCB Fab",Y168,IF(E168="S5 Assembly",AC168,IF(E168="S6 Bring-up",AG168,AK168)))))))))</f>
        <v/>
      </c>
      <c r="G168" s="33" t="str">
        <f aca="false">IF($C168="","",IF(E168="All Stages Closed","",IF(E168="S1 Schematic",IF(N168="","Not added",N168),IF(E168="S2 PCB Layout",IF(R168="","Not added",R168),IF(E168="S3 SI &amp; PI",IF(V168="","Not added",V168),IF(E168="S4 Bare-PCB Fab",IF(Z168="","Not added",Z168),IF(E168="S5 Assembly",IF(AD168="","Not added",AD168),IF(E168="S6 Bring-up",IF(AH168="","Not added",AH168),IF(AL168="","Not added",AL168)))))))))</f>
        <v/>
      </c>
      <c r="H168" s="32" t="str">
        <f aca="true">IF($C168="","",IF(OR(F168="Completed",F168="Cancelled"),"",IF(NOT(ISNUMBER(G168)),"No date set",IF(TODAY()&gt;G168,TODAY()-G168&amp;" days late",G168-TODAY()&amp;" days left"))))</f>
        <v/>
      </c>
      <c r="I168" s="31" t="str">
        <f aca="false">IF($C168="","",COUNTIF(M168,"Completed")+COUNTIF(Q168,"Completed")+COUNTIF(U168,"Completed")+COUNTIF(Y168,"Completed")+COUNTIF(AC168,"Completed")+COUNTIF(AG168,"Completed")+COUNTIF(AK168,"Completed"))</f>
        <v/>
      </c>
      <c r="J168" s="31" t="str">
        <f aca="false">IF($C168="","",7-(COUNTIF(M168,"NA")+COUNTIF(Q168,"NA")+COUNTIF(U168,"NA")+COUNTIF(Y168,"NA")+COUNTIF(AC168,"NA")+COUNTIF(AG168,"NA")+COUNTIF(AK168,"NA")))</f>
        <v/>
      </c>
      <c r="K168" s="34" t="str">
        <f aca="false">IFERROR(I168/J168,"")</f>
        <v/>
      </c>
      <c r="L168" s="29"/>
      <c r="M168" s="35"/>
      <c r="N168" s="36"/>
      <c r="O168" s="36"/>
      <c r="P168" s="29"/>
      <c r="Q168" s="35"/>
      <c r="R168" s="36"/>
      <c r="S168" s="36"/>
      <c r="T168" s="29"/>
      <c r="U168" s="35"/>
      <c r="V168" s="36"/>
      <c r="W168" s="36"/>
      <c r="X168" s="29"/>
      <c r="Y168" s="35"/>
      <c r="Z168" s="36"/>
      <c r="AA168" s="36"/>
      <c r="AB168" s="29"/>
      <c r="AC168" s="35"/>
      <c r="AD168" s="36"/>
      <c r="AE168" s="36"/>
      <c r="AF168" s="29"/>
      <c r="AG168" s="35"/>
      <c r="AH168" s="36"/>
      <c r="AI168" s="36"/>
      <c r="AJ168" s="29"/>
      <c r="AK168" s="35"/>
      <c r="AL168" s="36"/>
      <c r="AM168" s="36"/>
      <c r="AN168" s="29"/>
      <c r="AO168" s="29"/>
      <c r="AP168" s="29"/>
      <c r="AQ168" s="37"/>
      <c r="AR168" s="39" t="str">
        <f aca="false">IF(AN168&lt;&gt;"Yes","",IF(AO168="","SELECT RE-ENTRY STAGE","MOVE TO ACTIVE at "&amp;AO168))</f>
        <v/>
      </c>
      <c r="AS168" s="40" t="str">
        <f aca="false">IF(AN168="Yes",COUNTIF($AN$6:AN168,"Yes"),"")</f>
        <v/>
      </c>
      <c r="AT168" s="29"/>
      <c r="AU168" s="38" t="str">
        <f aca="false">IF($C168="","",IF(OR(F168="Completed",F168="Cancelled"),"",IF(AND(OR(F168="On Hold",ISNUMBER(VALUE(LEFT(H168,2)))),AT168=""),"Reason not given","")))</f>
        <v/>
      </c>
      <c r="AV168" s="30"/>
      <c r="AW168" s="30"/>
    </row>
    <row r="169" customFormat="false" ht="19.5" hidden="false" customHeight="true" outlineLevel="0" collapsed="false">
      <c r="A169" s="28" t="str">
        <f aca="false">IF($C169="","",COUNTA($C$6:$C169))</f>
        <v/>
      </c>
      <c r="B169" s="29"/>
      <c r="C169" s="30"/>
      <c r="D169" s="29"/>
      <c r="E169" s="31" t="str">
        <f aca="false">IF($C169="","",IF(NOT(OR(M169="Completed",M169="NA",M169="Cancelled")),"S1 Schematic",IF(NOT(OR(Q169="Completed",Q169="NA",Q169="Cancelled")),"S2 PCB Layout",IF(NOT(OR(U169="Completed",U169="NA",U169="Cancelled")),"S3 SI &amp; PI",IF(NOT(OR(Y169="Completed",Y169="NA",Y169="Cancelled")),"S4 Bare-PCB Fab",IF(NOT(OR(AC169="Completed",AC169="NA",AC169="Cancelled")),"S5 Assembly",IF(NOT(OR(AG169="Completed",AG169="NA",AG169="Cancelled")),"S6 Bring-up",IF(NOT(OR(AK169="Completed",AK169="NA",AK169="Cancelled")),"S7 BOM Procurement","All Stages Closed"))))))))</f>
        <v/>
      </c>
      <c r="F169" s="32" t="str">
        <f aca="false">IF($C169="","",IF(COUNTIF(M169,"Cancelled")+COUNTIF(Q169,"Cancelled")+COUNTIF(U169,"Cancelled")+COUNTIF(Y169,"Cancelled")+COUNTIF(AC169,"Cancelled")+COUNTIF(AG169,"Cancelled")+COUNTIF(AK169,"Cancelled")&gt;0,"Cancelled",IF(E169="All Stages Closed","Completed",IF(E169="S1 Schematic",M169,IF(E169="S2 PCB Layout",Q169,IF(E169="S3 SI &amp; PI",U169,IF(E169="S4 Bare-PCB Fab",Y169,IF(E169="S5 Assembly",AC169,IF(E169="S6 Bring-up",AG169,AK169)))))))))</f>
        <v/>
      </c>
      <c r="G169" s="33" t="str">
        <f aca="false">IF($C169="","",IF(E169="All Stages Closed","",IF(E169="S1 Schematic",IF(N169="","Not added",N169),IF(E169="S2 PCB Layout",IF(R169="","Not added",R169),IF(E169="S3 SI &amp; PI",IF(V169="","Not added",V169),IF(E169="S4 Bare-PCB Fab",IF(Z169="","Not added",Z169),IF(E169="S5 Assembly",IF(AD169="","Not added",AD169),IF(E169="S6 Bring-up",IF(AH169="","Not added",AH169),IF(AL169="","Not added",AL169)))))))))</f>
        <v/>
      </c>
      <c r="H169" s="32" t="str">
        <f aca="true">IF($C169="","",IF(OR(F169="Completed",F169="Cancelled"),"",IF(NOT(ISNUMBER(G169)),"No date set",IF(TODAY()&gt;G169,TODAY()-G169&amp;" days late",G169-TODAY()&amp;" days left"))))</f>
        <v/>
      </c>
      <c r="I169" s="31" t="str">
        <f aca="false">IF($C169="","",COUNTIF(M169,"Completed")+COUNTIF(Q169,"Completed")+COUNTIF(U169,"Completed")+COUNTIF(Y169,"Completed")+COUNTIF(AC169,"Completed")+COUNTIF(AG169,"Completed")+COUNTIF(AK169,"Completed"))</f>
        <v/>
      </c>
      <c r="J169" s="31" t="str">
        <f aca="false">IF($C169="","",7-(COUNTIF(M169,"NA")+COUNTIF(Q169,"NA")+COUNTIF(U169,"NA")+COUNTIF(Y169,"NA")+COUNTIF(AC169,"NA")+COUNTIF(AG169,"NA")+COUNTIF(AK169,"NA")))</f>
        <v/>
      </c>
      <c r="K169" s="34" t="str">
        <f aca="false">IFERROR(I169/J169,"")</f>
        <v/>
      </c>
      <c r="L169" s="29"/>
      <c r="M169" s="35"/>
      <c r="N169" s="36"/>
      <c r="O169" s="36"/>
      <c r="P169" s="29"/>
      <c r="Q169" s="35"/>
      <c r="R169" s="36"/>
      <c r="S169" s="36"/>
      <c r="T169" s="29"/>
      <c r="U169" s="35"/>
      <c r="V169" s="36"/>
      <c r="W169" s="36"/>
      <c r="X169" s="29"/>
      <c r="Y169" s="35"/>
      <c r="Z169" s="36"/>
      <c r="AA169" s="36"/>
      <c r="AB169" s="29"/>
      <c r="AC169" s="35"/>
      <c r="AD169" s="36"/>
      <c r="AE169" s="36"/>
      <c r="AF169" s="29"/>
      <c r="AG169" s="35"/>
      <c r="AH169" s="36"/>
      <c r="AI169" s="36"/>
      <c r="AJ169" s="29"/>
      <c r="AK169" s="35"/>
      <c r="AL169" s="36"/>
      <c r="AM169" s="36"/>
      <c r="AN169" s="29"/>
      <c r="AO169" s="29"/>
      <c r="AP169" s="29"/>
      <c r="AQ169" s="37"/>
      <c r="AR169" s="39" t="str">
        <f aca="false">IF(AN169&lt;&gt;"Yes","",IF(AO169="","SELECT RE-ENTRY STAGE","MOVE TO ACTIVE at "&amp;AO169))</f>
        <v/>
      </c>
      <c r="AS169" s="40" t="str">
        <f aca="false">IF(AN169="Yes",COUNTIF($AN$6:AN169,"Yes"),"")</f>
        <v/>
      </c>
      <c r="AT169" s="29"/>
      <c r="AU169" s="38" t="str">
        <f aca="false">IF($C169="","",IF(OR(F169="Completed",F169="Cancelled"),"",IF(AND(OR(F169="On Hold",ISNUMBER(VALUE(LEFT(H169,2)))),AT169=""),"Reason not given","")))</f>
        <v/>
      </c>
      <c r="AV169" s="30"/>
      <c r="AW169" s="30"/>
    </row>
    <row r="170" customFormat="false" ht="19.5" hidden="false" customHeight="true" outlineLevel="0" collapsed="false">
      <c r="A170" s="28" t="str">
        <f aca="false">IF($C170="","",COUNTA($C$6:$C170))</f>
        <v/>
      </c>
      <c r="B170" s="29"/>
      <c r="C170" s="30"/>
      <c r="D170" s="29"/>
      <c r="E170" s="31" t="str">
        <f aca="false">IF($C170="","",IF(NOT(OR(M170="Completed",M170="NA",M170="Cancelled")),"S1 Schematic",IF(NOT(OR(Q170="Completed",Q170="NA",Q170="Cancelled")),"S2 PCB Layout",IF(NOT(OR(U170="Completed",U170="NA",U170="Cancelled")),"S3 SI &amp; PI",IF(NOT(OR(Y170="Completed",Y170="NA",Y170="Cancelled")),"S4 Bare-PCB Fab",IF(NOT(OR(AC170="Completed",AC170="NA",AC170="Cancelled")),"S5 Assembly",IF(NOT(OR(AG170="Completed",AG170="NA",AG170="Cancelled")),"S6 Bring-up",IF(NOT(OR(AK170="Completed",AK170="NA",AK170="Cancelled")),"S7 BOM Procurement","All Stages Closed"))))))))</f>
        <v/>
      </c>
      <c r="F170" s="32" t="str">
        <f aca="false">IF($C170="","",IF(COUNTIF(M170,"Cancelled")+COUNTIF(Q170,"Cancelled")+COUNTIF(U170,"Cancelled")+COUNTIF(Y170,"Cancelled")+COUNTIF(AC170,"Cancelled")+COUNTIF(AG170,"Cancelled")+COUNTIF(AK170,"Cancelled")&gt;0,"Cancelled",IF(E170="All Stages Closed","Completed",IF(E170="S1 Schematic",M170,IF(E170="S2 PCB Layout",Q170,IF(E170="S3 SI &amp; PI",U170,IF(E170="S4 Bare-PCB Fab",Y170,IF(E170="S5 Assembly",AC170,IF(E170="S6 Bring-up",AG170,AK170)))))))))</f>
        <v/>
      </c>
      <c r="G170" s="33" t="str">
        <f aca="false">IF($C170="","",IF(E170="All Stages Closed","",IF(E170="S1 Schematic",IF(N170="","Not added",N170),IF(E170="S2 PCB Layout",IF(R170="","Not added",R170),IF(E170="S3 SI &amp; PI",IF(V170="","Not added",V170),IF(E170="S4 Bare-PCB Fab",IF(Z170="","Not added",Z170),IF(E170="S5 Assembly",IF(AD170="","Not added",AD170),IF(E170="S6 Bring-up",IF(AH170="","Not added",AH170),IF(AL170="","Not added",AL170)))))))))</f>
        <v/>
      </c>
      <c r="H170" s="32" t="str">
        <f aca="true">IF($C170="","",IF(OR(F170="Completed",F170="Cancelled"),"",IF(NOT(ISNUMBER(G170)),"No date set",IF(TODAY()&gt;G170,TODAY()-G170&amp;" days late",G170-TODAY()&amp;" days left"))))</f>
        <v/>
      </c>
      <c r="I170" s="31" t="str">
        <f aca="false">IF($C170="","",COUNTIF(M170,"Completed")+COUNTIF(Q170,"Completed")+COUNTIF(U170,"Completed")+COUNTIF(Y170,"Completed")+COUNTIF(AC170,"Completed")+COUNTIF(AG170,"Completed")+COUNTIF(AK170,"Completed"))</f>
        <v/>
      </c>
      <c r="J170" s="31" t="str">
        <f aca="false">IF($C170="","",7-(COUNTIF(M170,"NA")+COUNTIF(Q170,"NA")+COUNTIF(U170,"NA")+COUNTIF(Y170,"NA")+COUNTIF(AC170,"NA")+COUNTIF(AG170,"NA")+COUNTIF(AK170,"NA")))</f>
        <v/>
      </c>
      <c r="K170" s="34" t="str">
        <f aca="false">IFERROR(I170/J170,"")</f>
        <v/>
      </c>
      <c r="L170" s="29"/>
      <c r="M170" s="35"/>
      <c r="N170" s="36"/>
      <c r="O170" s="36"/>
      <c r="P170" s="29"/>
      <c r="Q170" s="35"/>
      <c r="R170" s="36"/>
      <c r="S170" s="36"/>
      <c r="T170" s="29"/>
      <c r="U170" s="35"/>
      <c r="V170" s="36"/>
      <c r="W170" s="36"/>
      <c r="X170" s="29"/>
      <c r="Y170" s="35"/>
      <c r="Z170" s="36"/>
      <c r="AA170" s="36"/>
      <c r="AB170" s="29"/>
      <c r="AC170" s="35"/>
      <c r="AD170" s="36"/>
      <c r="AE170" s="36"/>
      <c r="AF170" s="29"/>
      <c r="AG170" s="35"/>
      <c r="AH170" s="36"/>
      <c r="AI170" s="36"/>
      <c r="AJ170" s="29"/>
      <c r="AK170" s="35"/>
      <c r="AL170" s="36"/>
      <c r="AM170" s="36"/>
      <c r="AN170" s="29"/>
      <c r="AO170" s="29"/>
      <c r="AP170" s="29"/>
      <c r="AQ170" s="37"/>
      <c r="AR170" s="39" t="str">
        <f aca="false">IF(AN170&lt;&gt;"Yes","",IF(AO170="","SELECT RE-ENTRY STAGE","MOVE TO ACTIVE at "&amp;AO170))</f>
        <v/>
      </c>
      <c r="AS170" s="40" t="str">
        <f aca="false">IF(AN170="Yes",COUNTIF($AN$6:AN170,"Yes"),"")</f>
        <v/>
      </c>
      <c r="AT170" s="29"/>
      <c r="AU170" s="38" t="str">
        <f aca="false">IF($C170="","",IF(OR(F170="Completed",F170="Cancelled"),"",IF(AND(OR(F170="On Hold",ISNUMBER(VALUE(LEFT(H170,2)))),AT170=""),"Reason not given","")))</f>
        <v/>
      </c>
      <c r="AV170" s="30"/>
      <c r="AW170" s="30"/>
    </row>
    <row r="171" customFormat="false" ht="19.5" hidden="false" customHeight="true" outlineLevel="0" collapsed="false">
      <c r="A171" s="28" t="str">
        <f aca="false">IF($C171="","",COUNTA($C$6:$C171))</f>
        <v/>
      </c>
      <c r="B171" s="29"/>
      <c r="C171" s="30"/>
      <c r="D171" s="29"/>
      <c r="E171" s="31" t="str">
        <f aca="false">IF($C171="","",IF(NOT(OR(M171="Completed",M171="NA",M171="Cancelled")),"S1 Schematic",IF(NOT(OR(Q171="Completed",Q171="NA",Q171="Cancelled")),"S2 PCB Layout",IF(NOT(OR(U171="Completed",U171="NA",U171="Cancelled")),"S3 SI &amp; PI",IF(NOT(OR(Y171="Completed",Y171="NA",Y171="Cancelled")),"S4 Bare-PCB Fab",IF(NOT(OR(AC171="Completed",AC171="NA",AC171="Cancelled")),"S5 Assembly",IF(NOT(OR(AG171="Completed",AG171="NA",AG171="Cancelled")),"S6 Bring-up",IF(NOT(OR(AK171="Completed",AK171="NA",AK171="Cancelled")),"S7 BOM Procurement","All Stages Closed"))))))))</f>
        <v/>
      </c>
      <c r="F171" s="32" t="str">
        <f aca="false">IF($C171="","",IF(COUNTIF(M171,"Cancelled")+COUNTIF(Q171,"Cancelled")+COUNTIF(U171,"Cancelled")+COUNTIF(Y171,"Cancelled")+COUNTIF(AC171,"Cancelled")+COUNTIF(AG171,"Cancelled")+COUNTIF(AK171,"Cancelled")&gt;0,"Cancelled",IF(E171="All Stages Closed","Completed",IF(E171="S1 Schematic",M171,IF(E171="S2 PCB Layout",Q171,IF(E171="S3 SI &amp; PI",U171,IF(E171="S4 Bare-PCB Fab",Y171,IF(E171="S5 Assembly",AC171,IF(E171="S6 Bring-up",AG171,AK171)))))))))</f>
        <v/>
      </c>
      <c r="G171" s="33" t="str">
        <f aca="false">IF($C171="","",IF(E171="All Stages Closed","",IF(E171="S1 Schematic",IF(N171="","Not added",N171),IF(E171="S2 PCB Layout",IF(R171="","Not added",R171),IF(E171="S3 SI &amp; PI",IF(V171="","Not added",V171),IF(E171="S4 Bare-PCB Fab",IF(Z171="","Not added",Z171),IF(E171="S5 Assembly",IF(AD171="","Not added",AD171),IF(E171="S6 Bring-up",IF(AH171="","Not added",AH171),IF(AL171="","Not added",AL171)))))))))</f>
        <v/>
      </c>
      <c r="H171" s="32" t="str">
        <f aca="true">IF($C171="","",IF(OR(F171="Completed",F171="Cancelled"),"",IF(NOT(ISNUMBER(G171)),"No date set",IF(TODAY()&gt;G171,TODAY()-G171&amp;" days late",G171-TODAY()&amp;" days left"))))</f>
        <v/>
      </c>
      <c r="I171" s="31" t="str">
        <f aca="false">IF($C171="","",COUNTIF(M171,"Completed")+COUNTIF(Q171,"Completed")+COUNTIF(U171,"Completed")+COUNTIF(Y171,"Completed")+COUNTIF(AC171,"Completed")+COUNTIF(AG171,"Completed")+COUNTIF(AK171,"Completed"))</f>
        <v/>
      </c>
      <c r="J171" s="31" t="str">
        <f aca="false">IF($C171="","",7-(COUNTIF(M171,"NA")+COUNTIF(Q171,"NA")+COUNTIF(U171,"NA")+COUNTIF(Y171,"NA")+COUNTIF(AC171,"NA")+COUNTIF(AG171,"NA")+COUNTIF(AK171,"NA")))</f>
        <v/>
      </c>
      <c r="K171" s="34" t="str">
        <f aca="false">IFERROR(I171/J171,"")</f>
        <v/>
      </c>
      <c r="L171" s="29"/>
      <c r="M171" s="35"/>
      <c r="N171" s="36"/>
      <c r="O171" s="36"/>
      <c r="P171" s="29"/>
      <c r="Q171" s="35"/>
      <c r="R171" s="36"/>
      <c r="S171" s="36"/>
      <c r="T171" s="29"/>
      <c r="U171" s="35"/>
      <c r="V171" s="36"/>
      <c r="W171" s="36"/>
      <c r="X171" s="29"/>
      <c r="Y171" s="35"/>
      <c r="Z171" s="36"/>
      <c r="AA171" s="36"/>
      <c r="AB171" s="29"/>
      <c r="AC171" s="35"/>
      <c r="AD171" s="36"/>
      <c r="AE171" s="36"/>
      <c r="AF171" s="29"/>
      <c r="AG171" s="35"/>
      <c r="AH171" s="36"/>
      <c r="AI171" s="36"/>
      <c r="AJ171" s="29"/>
      <c r="AK171" s="35"/>
      <c r="AL171" s="36"/>
      <c r="AM171" s="36"/>
      <c r="AN171" s="29"/>
      <c r="AO171" s="29"/>
      <c r="AP171" s="29"/>
      <c r="AQ171" s="37"/>
      <c r="AR171" s="39" t="str">
        <f aca="false">IF(AN171&lt;&gt;"Yes","",IF(AO171="","SELECT RE-ENTRY STAGE","MOVE TO ACTIVE at "&amp;AO171))</f>
        <v/>
      </c>
      <c r="AS171" s="40" t="str">
        <f aca="false">IF(AN171="Yes",COUNTIF($AN$6:AN171,"Yes"),"")</f>
        <v/>
      </c>
      <c r="AT171" s="29"/>
      <c r="AU171" s="38" t="str">
        <f aca="false">IF($C171="","",IF(OR(F171="Completed",F171="Cancelled"),"",IF(AND(OR(F171="On Hold",ISNUMBER(VALUE(LEFT(H171,2)))),AT171=""),"Reason not given","")))</f>
        <v/>
      </c>
      <c r="AV171" s="30"/>
      <c r="AW171" s="30"/>
    </row>
    <row r="172" customFormat="false" ht="19.5" hidden="false" customHeight="true" outlineLevel="0" collapsed="false">
      <c r="A172" s="28" t="str">
        <f aca="false">IF($C172="","",COUNTA($C$6:$C172))</f>
        <v/>
      </c>
      <c r="B172" s="29"/>
      <c r="C172" s="30"/>
      <c r="D172" s="29"/>
      <c r="E172" s="31" t="str">
        <f aca="false">IF($C172="","",IF(NOT(OR(M172="Completed",M172="NA",M172="Cancelled")),"S1 Schematic",IF(NOT(OR(Q172="Completed",Q172="NA",Q172="Cancelled")),"S2 PCB Layout",IF(NOT(OR(U172="Completed",U172="NA",U172="Cancelled")),"S3 SI &amp; PI",IF(NOT(OR(Y172="Completed",Y172="NA",Y172="Cancelled")),"S4 Bare-PCB Fab",IF(NOT(OR(AC172="Completed",AC172="NA",AC172="Cancelled")),"S5 Assembly",IF(NOT(OR(AG172="Completed",AG172="NA",AG172="Cancelled")),"S6 Bring-up",IF(NOT(OR(AK172="Completed",AK172="NA",AK172="Cancelled")),"S7 BOM Procurement","All Stages Closed"))))))))</f>
        <v/>
      </c>
      <c r="F172" s="32" t="str">
        <f aca="false">IF($C172="","",IF(COUNTIF(M172,"Cancelled")+COUNTIF(Q172,"Cancelled")+COUNTIF(U172,"Cancelled")+COUNTIF(Y172,"Cancelled")+COUNTIF(AC172,"Cancelled")+COUNTIF(AG172,"Cancelled")+COUNTIF(AK172,"Cancelled")&gt;0,"Cancelled",IF(E172="All Stages Closed","Completed",IF(E172="S1 Schematic",M172,IF(E172="S2 PCB Layout",Q172,IF(E172="S3 SI &amp; PI",U172,IF(E172="S4 Bare-PCB Fab",Y172,IF(E172="S5 Assembly",AC172,IF(E172="S6 Bring-up",AG172,AK172)))))))))</f>
        <v/>
      </c>
      <c r="G172" s="33" t="str">
        <f aca="false">IF($C172="","",IF(E172="All Stages Closed","",IF(E172="S1 Schematic",IF(N172="","Not added",N172),IF(E172="S2 PCB Layout",IF(R172="","Not added",R172),IF(E172="S3 SI &amp; PI",IF(V172="","Not added",V172),IF(E172="S4 Bare-PCB Fab",IF(Z172="","Not added",Z172),IF(E172="S5 Assembly",IF(AD172="","Not added",AD172),IF(E172="S6 Bring-up",IF(AH172="","Not added",AH172),IF(AL172="","Not added",AL172)))))))))</f>
        <v/>
      </c>
      <c r="H172" s="32" t="str">
        <f aca="true">IF($C172="","",IF(OR(F172="Completed",F172="Cancelled"),"",IF(NOT(ISNUMBER(G172)),"No date set",IF(TODAY()&gt;G172,TODAY()-G172&amp;" days late",G172-TODAY()&amp;" days left"))))</f>
        <v/>
      </c>
      <c r="I172" s="31" t="str">
        <f aca="false">IF($C172="","",COUNTIF(M172,"Completed")+COUNTIF(Q172,"Completed")+COUNTIF(U172,"Completed")+COUNTIF(Y172,"Completed")+COUNTIF(AC172,"Completed")+COUNTIF(AG172,"Completed")+COUNTIF(AK172,"Completed"))</f>
        <v/>
      </c>
      <c r="J172" s="31" t="str">
        <f aca="false">IF($C172="","",7-(COUNTIF(M172,"NA")+COUNTIF(Q172,"NA")+COUNTIF(U172,"NA")+COUNTIF(Y172,"NA")+COUNTIF(AC172,"NA")+COUNTIF(AG172,"NA")+COUNTIF(AK172,"NA")))</f>
        <v/>
      </c>
      <c r="K172" s="34" t="str">
        <f aca="false">IFERROR(I172/J172,"")</f>
        <v/>
      </c>
      <c r="L172" s="29"/>
      <c r="M172" s="35"/>
      <c r="N172" s="36"/>
      <c r="O172" s="36"/>
      <c r="P172" s="29"/>
      <c r="Q172" s="35"/>
      <c r="R172" s="36"/>
      <c r="S172" s="36"/>
      <c r="T172" s="29"/>
      <c r="U172" s="35"/>
      <c r="V172" s="36"/>
      <c r="W172" s="36"/>
      <c r="X172" s="29"/>
      <c r="Y172" s="35"/>
      <c r="Z172" s="36"/>
      <c r="AA172" s="36"/>
      <c r="AB172" s="29"/>
      <c r="AC172" s="35"/>
      <c r="AD172" s="36"/>
      <c r="AE172" s="36"/>
      <c r="AF172" s="29"/>
      <c r="AG172" s="35"/>
      <c r="AH172" s="36"/>
      <c r="AI172" s="36"/>
      <c r="AJ172" s="29"/>
      <c r="AK172" s="35"/>
      <c r="AL172" s="36"/>
      <c r="AM172" s="36"/>
      <c r="AN172" s="29"/>
      <c r="AO172" s="29"/>
      <c r="AP172" s="29"/>
      <c r="AQ172" s="37"/>
      <c r="AR172" s="39" t="str">
        <f aca="false">IF(AN172&lt;&gt;"Yes","",IF(AO172="","SELECT RE-ENTRY STAGE","MOVE TO ACTIVE at "&amp;AO172))</f>
        <v/>
      </c>
      <c r="AS172" s="40" t="str">
        <f aca="false">IF(AN172="Yes",COUNTIF($AN$6:AN172,"Yes"),"")</f>
        <v/>
      </c>
      <c r="AT172" s="29"/>
      <c r="AU172" s="38" t="str">
        <f aca="false">IF($C172="","",IF(OR(F172="Completed",F172="Cancelled"),"",IF(AND(OR(F172="On Hold",ISNUMBER(VALUE(LEFT(H172,2)))),AT172=""),"Reason not given","")))</f>
        <v/>
      </c>
      <c r="AV172" s="30"/>
      <c r="AW172" s="30"/>
    </row>
    <row r="173" customFormat="false" ht="19.5" hidden="false" customHeight="true" outlineLevel="0" collapsed="false">
      <c r="A173" s="28" t="str">
        <f aca="false">IF($C173="","",COUNTA($C$6:$C173))</f>
        <v/>
      </c>
      <c r="B173" s="29"/>
      <c r="C173" s="30"/>
      <c r="D173" s="29"/>
      <c r="E173" s="31" t="str">
        <f aca="false">IF($C173="","",IF(NOT(OR(M173="Completed",M173="NA",M173="Cancelled")),"S1 Schematic",IF(NOT(OR(Q173="Completed",Q173="NA",Q173="Cancelled")),"S2 PCB Layout",IF(NOT(OR(U173="Completed",U173="NA",U173="Cancelled")),"S3 SI &amp; PI",IF(NOT(OR(Y173="Completed",Y173="NA",Y173="Cancelled")),"S4 Bare-PCB Fab",IF(NOT(OR(AC173="Completed",AC173="NA",AC173="Cancelled")),"S5 Assembly",IF(NOT(OR(AG173="Completed",AG173="NA",AG173="Cancelled")),"S6 Bring-up",IF(NOT(OR(AK173="Completed",AK173="NA",AK173="Cancelled")),"S7 BOM Procurement","All Stages Closed"))))))))</f>
        <v/>
      </c>
      <c r="F173" s="32" t="str">
        <f aca="false">IF($C173="","",IF(COUNTIF(M173,"Cancelled")+COUNTIF(Q173,"Cancelled")+COUNTIF(U173,"Cancelled")+COUNTIF(Y173,"Cancelled")+COUNTIF(AC173,"Cancelled")+COUNTIF(AG173,"Cancelled")+COUNTIF(AK173,"Cancelled")&gt;0,"Cancelled",IF(E173="All Stages Closed","Completed",IF(E173="S1 Schematic",M173,IF(E173="S2 PCB Layout",Q173,IF(E173="S3 SI &amp; PI",U173,IF(E173="S4 Bare-PCB Fab",Y173,IF(E173="S5 Assembly",AC173,IF(E173="S6 Bring-up",AG173,AK173)))))))))</f>
        <v/>
      </c>
      <c r="G173" s="33" t="str">
        <f aca="false">IF($C173="","",IF(E173="All Stages Closed","",IF(E173="S1 Schematic",IF(N173="","Not added",N173),IF(E173="S2 PCB Layout",IF(R173="","Not added",R173),IF(E173="S3 SI &amp; PI",IF(V173="","Not added",V173),IF(E173="S4 Bare-PCB Fab",IF(Z173="","Not added",Z173),IF(E173="S5 Assembly",IF(AD173="","Not added",AD173),IF(E173="S6 Bring-up",IF(AH173="","Not added",AH173),IF(AL173="","Not added",AL173)))))))))</f>
        <v/>
      </c>
      <c r="H173" s="32" t="str">
        <f aca="true">IF($C173="","",IF(OR(F173="Completed",F173="Cancelled"),"",IF(NOT(ISNUMBER(G173)),"No date set",IF(TODAY()&gt;G173,TODAY()-G173&amp;" days late",G173-TODAY()&amp;" days left"))))</f>
        <v/>
      </c>
      <c r="I173" s="31" t="str">
        <f aca="false">IF($C173="","",COUNTIF(M173,"Completed")+COUNTIF(Q173,"Completed")+COUNTIF(U173,"Completed")+COUNTIF(Y173,"Completed")+COUNTIF(AC173,"Completed")+COUNTIF(AG173,"Completed")+COUNTIF(AK173,"Completed"))</f>
        <v/>
      </c>
      <c r="J173" s="31" t="str">
        <f aca="false">IF($C173="","",7-(COUNTIF(M173,"NA")+COUNTIF(Q173,"NA")+COUNTIF(U173,"NA")+COUNTIF(Y173,"NA")+COUNTIF(AC173,"NA")+COUNTIF(AG173,"NA")+COUNTIF(AK173,"NA")))</f>
        <v/>
      </c>
      <c r="K173" s="34" t="str">
        <f aca="false">IFERROR(I173/J173,"")</f>
        <v/>
      </c>
      <c r="L173" s="29"/>
      <c r="M173" s="35"/>
      <c r="N173" s="36"/>
      <c r="O173" s="36"/>
      <c r="P173" s="29"/>
      <c r="Q173" s="35"/>
      <c r="R173" s="36"/>
      <c r="S173" s="36"/>
      <c r="T173" s="29"/>
      <c r="U173" s="35"/>
      <c r="V173" s="36"/>
      <c r="W173" s="36"/>
      <c r="X173" s="29"/>
      <c r="Y173" s="35"/>
      <c r="Z173" s="36"/>
      <c r="AA173" s="36"/>
      <c r="AB173" s="29"/>
      <c r="AC173" s="35"/>
      <c r="AD173" s="36"/>
      <c r="AE173" s="36"/>
      <c r="AF173" s="29"/>
      <c r="AG173" s="35"/>
      <c r="AH173" s="36"/>
      <c r="AI173" s="36"/>
      <c r="AJ173" s="29"/>
      <c r="AK173" s="35"/>
      <c r="AL173" s="36"/>
      <c r="AM173" s="36"/>
      <c r="AN173" s="29"/>
      <c r="AO173" s="29"/>
      <c r="AP173" s="29"/>
      <c r="AQ173" s="37"/>
      <c r="AR173" s="39" t="str">
        <f aca="false">IF(AN173&lt;&gt;"Yes","",IF(AO173="","SELECT RE-ENTRY STAGE","MOVE TO ACTIVE at "&amp;AO173))</f>
        <v/>
      </c>
      <c r="AS173" s="40" t="str">
        <f aca="false">IF(AN173="Yes",COUNTIF($AN$6:AN173,"Yes"),"")</f>
        <v/>
      </c>
      <c r="AT173" s="29"/>
      <c r="AU173" s="38" t="str">
        <f aca="false">IF($C173="","",IF(OR(F173="Completed",F173="Cancelled"),"",IF(AND(OR(F173="On Hold",ISNUMBER(VALUE(LEFT(H173,2)))),AT173=""),"Reason not given","")))</f>
        <v/>
      </c>
      <c r="AV173" s="30"/>
      <c r="AW173" s="30"/>
    </row>
    <row r="174" customFormat="false" ht="19.5" hidden="false" customHeight="true" outlineLevel="0" collapsed="false">
      <c r="A174" s="28" t="str">
        <f aca="false">IF($C174="","",COUNTA($C$6:$C174))</f>
        <v/>
      </c>
      <c r="B174" s="29"/>
      <c r="C174" s="30"/>
      <c r="D174" s="29"/>
      <c r="E174" s="31" t="str">
        <f aca="false">IF($C174="","",IF(NOT(OR(M174="Completed",M174="NA",M174="Cancelled")),"S1 Schematic",IF(NOT(OR(Q174="Completed",Q174="NA",Q174="Cancelled")),"S2 PCB Layout",IF(NOT(OR(U174="Completed",U174="NA",U174="Cancelled")),"S3 SI &amp; PI",IF(NOT(OR(Y174="Completed",Y174="NA",Y174="Cancelled")),"S4 Bare-PCB Fab",IF(NOT(OR(AC174="Completed",AC174="NA",AC174="Cancelled")),"S5 Assembly",IF(NOT(OR(AG174="Completed",AG174="NA",AG174="Cancelled")),"S6 Bring-up",IF(NOT(OR(AK174="Completed",AK174="NA",AK174="Cancelled")),"S7 BOM Procurement","All Stages Closed"))))))))</f>
        <v/>
      </c>
      <c r="F174" s="32" t="str">
        <f aca="false">IF($C174="","",IF(COUNTIF(M174,"Cancelled")+COUNTIF(Q174,"Cancelled")+COUNTIF(U174,"Cancelled")+COUNTIF(Y174,"Cancelled")+COUNTIF(AC174,"Cancelled")+COUNTIF(AG174,"Cancelled")+COUNTIF(AK174,"Cancelled")&gt;0,"Cancelled",IF(E174="All Stages Closed","Completed",IF(E174="S1 Schematic",M174,IF(E174="S2 PCB Layout",Q174,IF(E174="S3 SI &amp; PI",U174,IF(E174="S4 Bare-PCB Fab",Y174,IF(E174="S5 Assembly",AC174,IF(E174="S6 Bring-up",AG174,AK174)))))))))</f>
        <v/>
      </c>
      <c r="G174" s="33" t="str">
        <f aca="false">IF($C174="","",IF(E174="All Stages Closed","",IF(E174="S1 Schematic",IF(N174="","Not added",N174),IF(E174="S2 PCB Layout",IF(R174="","Not added",R174),IF(E174="S3 SI &amp; PI",IF(V174="","Not added",V174),IF(E174="S4 Bare-PCB Fab",IF(Z174="","Not added",Z174),IF(E174="S5 Assembly",IF(AD174="","Not added",AD174),IF(E174="S6 Bring-up",IF(AH174="","Not added",AH174),IF(AL174="","Not added",AL174)))))))))</f>
        <v/>
      </c>
      <c r="H174" s="32" t="str">
        <f aca="true">IF($C174="","",IF(OR(F174="Completed",F174="Cancelled"),"",IF(NOT(ISNUMBER(G174)),"No date set",IF(TODAY()&gt;G174,TODAY()-G174&amp;" days late",G174-TODAY()&amp;" days left"))))</f>
        <v/>
      </c>
      <c r="I174" s="31" t="str">
        <f aca="false">IF($C174="","",COUNTIF(M174,"Completed")+COUNTIF(Q174,"Completed")+COUNTIF(U174,"Completed")+COUNTIF(Y174,"Completed")+COUNTIF(AC174,"Completed")+COUNTIF(AG174,"Completed")+COUNTIF(AK174,"Completed"))</f>
        <v/>
      </c>
      <c r="J174" s="31" t="str">
        <f aca="false">IF($C174="","",7-(COUNTIF(M174,"NA")+COUNTIF(Q174,"NA")+COUNTIF(U174,"NA")+COUNTIF(Y174,"NA")+COUNTIF(AC174,"NA")+COUNTIF(AG174,"NA")+COUNTIF(AK174,"NA")))</f>
        <v/>
      </c>
      <c r="K174" s="34" t="str">
        <f aca="false">IFERROR(I174/J174,"")</f>
        <v/>
      </c>
      <c r="L174" s="29"/>
      <c r="M174" s="35"/>
      <c r="N174" s="36"/>
      <c r="O174" s="36"/>
      <c r="P174" s="29"/>
      <c r="Q174" s="35"/>
      <c r="R174" s="36"/>
      <c r="S174" s="36"/>
      <c r="T174" s="29"/>
      <c r="U174" s="35"/>
      <c r="V174" s="36"/>
      <c r="W174" s="36"/>
      <c r="X174" s="29"/>
      <c r="Y174" s="35"/>
      <c r="Z174" s="36"/>
      <c r="AA174" s="36"/>
      <c r="AB174" s="29"/>
      <c r="AC174" s="35"/>
      <c r="AD174" s="36"/>
      <c r="AE174" s="36"/>
      <c r="AF174" s="29"/>
      <c r="AG174" s="35"/>
      <c r="AH174" s="36"/>
      <c r="AI174" s="36"/>
      <c r="AJ174" s="29"/>
      <c r="AK174" s="35"/>
      <c r="AL174" s="36"/>
      <c r="AM174" s="36"/>
      <c r="AN174" s="29"/>
      <c r="AO174" s="29"/>
      <c r="AP174" s="29"/>
      <c r="AQ174" s="37"/>
      <c r="AR174" s="39" t="str">
        <f aca="false">IF(AN174&lt;&gt;"Yes","",IF(AO174="","SELECT RE-ENTRY STAGE","MOVE TO ACTIVE at "&amp;AO174))</f>
        <v/>
      </c>
      <c r="AS174" s="40" t="str">
        <f aca="false">IF(AN174="Yes",COUNTIF($AN$6:AN174,"Yes"),"")</f>
        <v/>
      </c>
      <c r="AT174" s="29"/>
      <c r="AU174" s="38" t="str">
        <f aca="false">IF($C174="","",IF(OR(F174="Completed",F174="Cancelled"),"",IF(AND(OR(F174="On Hold",ISNUMBER(VALUE(LEFT(H174,2)))),AT174=""),"Reason not given","")))</f>
        <v/>
      </c>
      <c r="AV174" s="30"/>
      <c r="AW174" s="30"/>
    </row>
    <row r="175" customFormat="false" ht="19.5" hidden="false" customHeight="true" outlineLevel="0" collapsed="false">
      <c r="A175" s="28" t="str">
        <f aca="false">IF($C175="","",COUNTA($C$6:$C175))</f>
        <v/>
      </c>
      <c r="B175" s="29"/>
      <c r="C175" s="30"/>
      <c r="D175" s="29"/>
      <c r="E175" s="31" t="str">
        <f aca="false">IF($C175="","",IF(NOT(OR(M175="Completed",M175="NA",M175="Cancelled")),"S1 Schematic",IF(NOT(OR(Q175="Completed",Q175="NA",Q175="Cancelled")),"S2 PCB Layout",IF(NOT(OR(U175="Completed",U175="NA",U175="Cancelled")),"S3 SI &amp; PI",IF(NOT(OR(Y175="Completed",Y175="NA",Y175="Cancelled")),"S4 Bare-PCB Fab",IF(NOT(OR(AC175="Completed",AC175="NA",AC175="Cancelled")),"S5 Assembly",IF(NOT(OR(AG175="Completed",AG175="NA",AG175="Cancelled")),"S6 Bring-up",IF(NOT(OR(AK175="Completed",AK175="NA",AK175="Cancelled")),"S7 BOM Procurement","All Stages Closed"))))))))</f>
        <v/>
      </c>
      <c r="F175" s="32" t="str">
        <f aca="false">IF($C175="","",IF(COUNTIF(M175,"Cancelled")+COUNTIF(Q175,"Cancelled")+COUNTIF(U175,"Cancelled")+COUNTIF(Y175,"Cancelled")+COUNTIF(AC175,"Cancelled")+COUNTIF(AG175,"Cancelled")+COUNTIF(AK175,"Cancelled")&gt;0,"Cancelled",IF(E175="All Stages Closed","Completed",IF(E175="S1 Schematic",M175,IF(E175="S2 PCB Layout",Q175,IF(E175="S3 SI &amp; PI",U175,IF(E175="S4 Bare-PCB Fab",Y175,IF(E175="S5 Assembly",AC175,IF(E175="S6 Bring-up",AG175,AK175)))))))))</f>
        <v/>
      </c>
      <c r="G175" s="33" t="str">
        <f aca="false">IF($C175="","",IF(E175="All Stages Closed","",IF(E175="S1 Schematic",IF(N175="","Not added",N175),IF(E175="S2 PCB Layout",IF(R175="","Not added",R175),IF(E175="S3 SI &amp; PI",IF(V175="","Not added",V175),IF(E175="S4 Bare-PCB Fab",IF(Z175="","Not added",Z175),IF(E175="S5 Assembly",IF(AD175="","Not added",AD175),IF(E175="S6 Bring-up",IF(AH175="","Not added",AH175),IF(AL175="","Not added",AL175)))))))))</f>
        <v/>
      </c>
      <c r="H175" s="32" t="str">
        <f aca="true">IF($C175="","",IF(OR(F175="Completed",F175="Cancelled"),"",IF(NOT(ISNUMBER(G175)),"No date set",IF(TODAY()&gt;G175,TODAY()-G175&amp;" days late",G175-TODAY()&amp;" days left"))))</f>
        <v/>
      </c>
      <c r="I175" s="31" t="str">
        <f aca="false">IF($C175="","",COUNTIF(M175,"Completed")+COUNTIF(Q175,"Completed")+COUNTIF(U175,"Completed")+COUNTIF(Y175,"Completed")+COUNTIF(AC175,"Completed")+COUNTIF(AG175,"Completed")+COUNTIF(AK175,"Completed"))</f>
        <v/>
      </c>
      <c r="J175" s="31" t="str">
        <f aca="false">IF($C175="","",7-(COUNTIF(M175,"NA")+COUNTIF(Q175,"NA")+COUNTIF(U175,"NA")+COUNTIF(Y175,"NA")+COUNTIF(AC175,"NA")+COUNTIF(AG175,"NA")+COUNTIF(AK175,"NA")))</f>
        <v/>
      </c>
      <c r="K175" s="34" t="str">
        <f aca="false">IFERROR(I175/J175,"")</f>
        <v/>
      </c>
      <c r="L175" s="29"/>
      <c r="M175" s="35"/>
      <c r="N175" s="36"/>
      <c r="O175" s="36"/>
      <c r="P175" s="29"/>
      <c r="Q175" s="35"/>
      <c r="R175" s="36"/>
      <c r="S175" s="36"/>
      <c r="T175" s="29"/>
      <c r="U175" s="35"/>
      <c r="V175" s="36"/>
      <c r="W175" s="36"/>
      <c r="X175" s="29"/>
      <c r="Y175" s="35"/>
      <c r="Z175" s="36"/>
      <c r="AA175" s="36"/>
      <c r="AB175" s="29"/>
      <c r="AC175" s="35"/>
      <c r="AD175" s="36"/>
      <c r="AE175" s="36"/>
      <c r="AF175" s="29"/>
      <c r="AG175" s="35"/>
      <c r="AH175" s="36"/>
      <c r="AI175" s="36"/>
      <c r="AJ175" s="29"/>
      <c r="AK175" s="35"/>
      <c r="AL175" s="36"/>
      <c r="AM175" s="36"/>
      <c r="AN175" s="29"/>
      <c r="AO175" s="29"/>
      <c r="AP175" s="29"/>
      <c r="AQ175" s="37"/>
      <c r="AR175" s="39" t="str">
        <f aca="false">IF(AN175&lt;&gt;"Yes","",IF(AO175="","SELECT RE-ENTRY STAGE","MOVE TO ACTIVE at "&amp;AO175))</f>
        <v/>
      </c>
      <c r="AS175" s="40" t="str">
        <f aca="false">IF(AN175="Yes",COUNTIF($AN$6:AN175,"Yes"),"")</f>
        <v/>
      </c>
      <c r="AT175" s="29"/>
      <c r="AU175" s="38" t="str">
        <f aca="false">IF($C175="","",IF(OR(F175="Completed",F175="Cancelled"),"",IF(AND(OR(F175="On Hold",ISNUMBER(VALUE(LEFT(H175,2)))),AT175=""),"Reason not given","")))</f>
        <v/>
      </c>
      <c r="AV175" s="30"/>
      <c r="AW175" s="30"/>
    </row>
    <row r="176" customFormat="false" ht="19.5" hidden="false" customHeight="true" outlineLevel="0" collapsed="false">
      <c r="A176" s="28" t="str">
        <f aca="false">IF($C176="","",COUNTA($C$6:$C176))</f>
        <v/>
      </c>
      <c r="B176" s="29"/>
      <c r="C176" s="30"/>
      <c r="D176" s="29"/>
      <c r="E176" s="31" t="str">
        <f aca="false">IF($C176="","",IF(NOT(OR(M176="Completed",M176="NA",M176="Cancelled")),"S1 Schematic",IF(NOT(OR(Q176="Completed",Q176="NA",Q176="Cancelled")),"S2 PCB Layout",IF(NOT(OR(U176="Completed",U176="NA",U176="Cancelled")),"S3 SI &amp; PI",IF(NOT(OR(Y176="Completed",Y176="NA",Y176="Cancelled")),"S4 Bare-PCB Fab",IF(NOT(OR(AC176="Completed",AC176="NA",AC176="Cancelled")),"S5 Assembly",IF(NOT(OR(AG176="Completed",AG176="NA",AG176="Cancelled")),"S6 Bring-up",IF(NOT(OR(AK176="Completed",AK176="NA",AK176="Cancelled")),"S7 BOM Procurement","All Stages Closed"))))))))</f>
        <v/>
      </c>
      <c r="F176" s="32" t="str">
        <f aca="false">IF($C176="","",IF(COUNTIF(M176,"Cancelled")+COUNTIF(Q176,"Cancelled")+COUNTIF(U176,"Cancelled")+COUNTIF(Y176,"Cancelled")+COUNTIF(AC176,"Cancelled")+COUNTIF(AG176,"Cancelled")+COUNTIF(AK176,"Cancelled")&gt;0,"Cancelled",IF(E176="All Stages Closed","Completed",IF(E176="S1 Schematic",M176,IF(E176="S2 PCB Layout",Q176,IF(E176="S3 SI &amp; PI",U176,IF(E176="S4 Bare-PCB Fab",Y176,IF(E176="S5 Assembly",AC176,IF(E176="S6 Bring-up",AG176,AK176)))))))))</f>
        <v/>
      </c>
      <c r="G176" s="33" t="str">
        <f aca="false">IF($C176="","",IF(E176="All Stages Closed","",IF(E176="S1 Schematic",IF(N176="","Not added",N176),IF(E176="S2 PCB Layout",IF(R176="","Not added",R176),IF(E176="S3 SI &amp; PI",IF(V176="","Not added",V176),IF(E176="S4 Bare-PCB Fab",IF(Z176="","Not added",Z176),IF(E176="S5 Assembly",IF(AD176="","Not added",AD176),IF(E176="S6 Bring-up",IF(AH176="","Not added",AH176),IF(AL176="","Not added",AL176)))))))))</f>
        <v/>
      </c>
      <c r="H176" s="32" t="str">
        <f aca="true">IF($C176="","",IF(OR(F176="Completed",F176="Cancelled"),"",IF(NOT(ISNUMBER(G176)),"No date set",IF(TODAY()&gt;G176,TODAY()-G176&amp;" days late",G176-TODAY()&amp;" days left"))))</f>
        <v/>
      </c>
      <c r="I176" s="31" t="str">
        <f aca="false">IF($C176="","",COUNTIF(M176,"Completed")+COUNTIF(Q176,"Completed")+COUNTIF(U176,"Completed")+COUNTIF(Y176,"Completed")+COUNTIF(AC176,"Completed")+COUNTIF(AG176,"Completed")+COUNTIF(AK176,"Completed"))</f>
        <v/>
      </c>
      <c r="J176" s="31" t="str">
        <f aca="false">IF($C176="","",7-(COUNTIF(M176,"NA")+COUNTIF(Q176,"NA")+COUNTIF(U176,"NA")+COUNTIF(Y176,"NA")+COUNTIF(AC176,"NA")+COUNTIF(AG176,"NA")+COUNTIF(AK176,"NA")))</f>
        <v/>
      </c>
      <c r="K176" s="34" t="str">
        <f aca="false">IFERROR(I176/J176,"")</f>
        <v/>
      </c>
      <c r="L176" s="29"/>
      <c r="M176" s="35"/>
      <c r="N176" s="36"/>
      <c r="O176" s="36"/>
      <c r="P176" s="29"/>
      <c r="Q176" s="35"/>
      <c r="R176" s="36"/>
      <c r="S176" s="36"/>
      <c r="T176" s="29"/>
      <c r="U176" s="35"/>
      <c r="V176" s="36"/>
      <c r="W176" s="36"/>
      <c r="X176" s="29"/>
      <c r="Y176" s="35"/>
      <c r="Z176" s="36"/>
      <c r="AA176" s="36"/>
      <c r="AB176" s="29"/>
      <c r="AC176" s="35"/>
      <c r="AD176" s="36"/>
      <c r="AE176" s="36"/>
      <c r="AF176" s="29"/>
      <c r="AG176" s="35"/>
      <c r="AH176" s="36"/>
      <c r="AI176" s="36"/>
      <c r="AJ176" s="29"/>
      <c r="AK176" s="35"/>
      <c r="AL176" s="36"/>
      <c r="AM176" s="36"/>
      <c r="AN176" s="29"/>
      <c r="AO176" s="29"/>
      <c r="AP176" s="29"/>
      <c r="AQ176" s="37"/>
      <c r="AR176" s="39" t="str">
        <f aca="false">IF(AN176&lt;&gt;"Yes","",IF(AO176="","SELECT RE-ENTRY STAGE","MOVE TO ACTIVE at "&amp;AO176))</f>
        <v/>
      </c>
      <c r="AS176" s="40" t="str">
        <f aca="false">IF(AN176="Yes",COUNTIF($AN$6:AN176,"Yes"),"")</f>
        <v/>
      </c>
      <c r="AT176" s="29"/>
      <c r="AU176" s="38" t="str">
        <f aca="false">IF($C176="","",IF(OR(F176="Completed",F176="Cancelled"),"",IF(AND(OR(F176="On Hold",ISNUMBER(VALUE(LEFT(H176,2)))),AT176=""),"Reason not given","")))</f>
        <v/>
      </c>
      <c r="AV176" s="30"/>
      <c r="AW176" s="30"/>
    </row>
    <row r="177" customFormat="false" ht="19.5" hidden="false" customHeight="true" outlineLevel="0" collapsed="false">
      <c r="A177" s="28" t="str">
        <f aca="false">IF($C177="","",COUNTA($C$6:$C177))</f>
        <v/>
      </c>
      <c r="B177" s="29"/>
      <c r="C177" s="30"/>
      <c r="D177" s="29"/>
      <c r="E177" s="31" t="str">
        <f aca="false">IF($C177="","",IF(NOT(OR(M177="Completed",M177="NA",M177="Cancelled")),"S1 Schematic",IF(NOT(OR(Q177="Completed",Q177="NA",Q177="Cancelled")),"S2 PCB Layout",IF(NOT(OR(U177="Completed",U177="NA",U177="Cancelled")),"S3 SI &amp; PI",IF(NOT(OR(Y177="Completed",Y177="NA",Y177="Cancelled")),"S4 Bare-PCB Fab",IF(NOT(OR(AC177="Completed",AC177="NA",AC177="Cancelled")),"S5 Assembly",IF(NOT(OR(AG177="Completed",AG177="NA",AG177="Cancelled")),"S6 Bring-up",IF(NOT(OR(AK177="Completed",AK177="NA",AK177="Cancelled")),"S7 BOM Procurement","All Stages Closed"))))))))</f>
        <v/>
      </c>
      <c r="F177" s="32" t="str">
        <f aca="false">IF($C177="","",IF(COUNTIF(M177,"Cancelled")+COUNTIF(Q177,"Cancelled")+COUNTIF(U177,"Cancelled")+COUNTIF(Y177,"Cancelled")+COUNTIF(AC177,"Cancelled")+COUNTIF(AG177,"Cancelled")+COUNTIF(AK177,"Cancelled")&gt;0,"Cancelled",IF(E177="All Stages Closed","Completed",IF(E177="S1 Schematic",M177,IF(E177="S2 PCB Layout",Q177,IF(E177="S3 SI &amp; PI",U177,IF(E177="S4 Bare-PCB Fab",Y177,IF(E177="S5 Assembly",AC177,IF(E177="S6 Bring-up",AG177,AK177)))))))))</f>
        <v/>
      </c>
      <c r="G177" s="33" t="str">
        <f aca="false">IF($C177="","",IF(E177="All Stages Closed","",IF(E177="S1 Schematic",IF(N177="","Not added",N177),IF(E177="S2 PCB Layout",IF(R177="","Not added",R177),IF(E177="S3 SI &amp; PI",IF(V177="","Not added",V177),IF(E177="S4 Bare-PCB Fab",IF(Z177="","Not added",Z177),IF(E177="S5 Assembly",IF(AD177="","Not added",AD177),IF(E177="S6 Bring-up",IF(AH177="","Not added",AH177),IF(AL177="","Not added",AL177)))))))))</f>
        <v/>
      </c>
      <c r="H177" s="32" t="str">
        <f aca="true">IF($C177="","",IF(OR(F177="Completed",F177="Cancelled"),"",IF(NOT(ISNUMBER(G177)),"No date set",IF(TODAY()&gt;G177,TODAY()-G177&amp;" days late",G177-TODAY()&amp;" days left"))))</f>
        <v/>
      </c>
      <c r="I177" s="31" t="str">
        <f aca="false">IF($C177="","",COUNTIF(M177,"Completed")+COUNTIF(Q177,"Completed")+COUNTIF(U177,"Completed")+COUNTIF(Y177,"Completed")+COUNTIF(AC177,"Completed")+COUNTIF(AG177,"Completed")+COUNTIF(AK177,"Completed"))</f>
        <v/>
      </c>
      <c r="J177" s="31" t="str">
        <f aca="false">IF($C177="","",7-(COUNTIF(M177,"NA")+COUNTIF(Q177,"NA")+COUNTIF(U177,"NA")+COUNTIF(Y177,"NA")+COUNTIF(AC177,"NA")+COUNTIF(AG177,"NA")+COUNTIF(AK177,"NA")))</f>
        <v/>
      </c>
      <c r="K177" s="34" t="str">
        <f aca="false">IFERROR(I177/J177,"")</f>
        <v/>
      </c>
      <c r="L177" s="29"/>
      <c r="M177" s="35"/>
      <c r="N177" s="36"/>
      <c r="O177" s="36"/>
      <c r="P177" s="29"/>
      <c r="Q177" s="35"/>
      <c r="R177" s="36"/>
      <c r="S177" s="36"/>
      <c r="T177" s="29"/>
      <c r="U177" s="35"/>
      <c r="V177" s="36"/>
      <c r="W177" s="36"/>
      <c r="X177" s="29"/>
      <c r="Y177" s="35"/>
      <c r="Z177" s="36"/>
      <c r="AA177" s="36"/>
      <c r="AB177" s="29"/>
      <c r="AC177" s="35"/>
      <c r="AD177" s="36"/>
      <c r="AE177" s="36"/>
      <c r="AF177" s="29"/>
      <c r="AG177" s="35"/>
      <c r="AH177" s="36"/>
      <c r="AI177" s="36"/>
      <c r="AJ177" s="29"/>
      <c r="AK177" s="35"/>
      <c r="AL177" s="36"/>
      <c r="AM177" s="36"/>
      <c r="AN177" s="29"/>
      <c r="AO177" s="29"/>
      <c r="AP177" s="29"/>
      <c r="AQ177" s="37"/>
      <c r="AR177" s="39" t="str">
        <f aca="false">IF(AN177&lt;&gt;"Yes","",IF(AO177="","SELECT RE-ENTRY STAGE","MOVE TO ACTIVE at "&amp;AO177))</f>
        <v/>
      </c>
      <c r="AS177" s="40" t="str">
        <f aca="false">IF(AN177="Yes",COUNTIF($AN$6:AN177,"Yes"),"")</f>
        <v/>
      </c>
      <c r="AT177" s="29"/>
      <c r="AU177" s="38" t="str">
        <f aca="false">IF($C177="","",IF(OR(F177="Completed",F177="Cancelled"),"",IF(AND(OR(F177="On Hold",ISNUMBER(VALUE(LEFT(H177,2)))),AT177=""),"Reason not given","")))</f>
        <v/>
      </c>
      <c r="AV177" s="30"/>
      <c r="AW177" s="30"/>
    </row>
    <row r="178" customFormat="false" ht="19.5" hidden="false" customHeight="true" outlineLevel="0" collapsed="false">
      <c r="A178" s="28" t="str">
        <f aca="false">IF($C178="","",COUNTA($C$6:$C178))</f>
        <v/>
      </c>
      <c r="B178" s="29"/>
      <c r="C178" s="30"/>
      <c r="D178" s="29"/>
      <c r="E178" s="31" t="str">
        <f aca="false">IF($C178="","",IF(NOT(OR(M178="Completed",M178="NA",M178="Cancelled")),"S1 Schematic",IF(NOT(OR(Q178="Completed",Q178="NA",Q178="Cancelled")),"S2 PCB Layout",IF(NOT(OR(U178="Completed",U178="NA",U178="Cancelled")),"S3 SI &amp; PI",IF(NOT(OR(Y178="Completed",Y178="NA",Y178="Cancelled")),"S4 Bare-PCB Fab",IF(NOT(OR(AC178="Completed",AC178="NA",AC178="Cancelled")),"S5 Assembly",IF(NOT(OR(AG178="Completed",AG178="NA",AG178="Cancelled")),"S6 Bring-up",IF(NOT(OR(AK178="Completed",AK178="NA",AK178="Cancelled")),"S7 BOM Procurement","All Stages Closed"))))))))</f>
        <v/>
      </c>
      <c r="F178" s="32" t="str">
        <f aca="false">IF($C178="","",IF(COUNTIF(M178,"Cancelled")+COUNTIF(Q178,"Cancelled")+COUNTIF(U178,"Cancelled")+COUNTIF(Y178,"Cancelled")+COUNTIF(AC178,"Cancelled")+COUNTIF(AG178,"Cancelled")+COUNTIF(AK178,"Cancelled")&gt;0,"Cancelled",IF(E178="All Stages Closed","Completed",IF(E178="S1 Schematic",M178,IF(E178="S2 PCB Layout",Q178,IF(E178="S3 SI &amp; PI",U178,IF(E178="S4 Bare-PCB Fab",Y178,IF(E178="S5 Assembly",AC178,IF(E178="S6 Bring-up",AG178,AK178)))))))))</f>
        <v/>
      </c>
      <c r="G178" s="33" t="str">
        <f aca="false">IF($C178="","",IF(E178="All Stages Closed","",IF(E178="S1 Schematic",IF(N178="","Not added",N178),IF(E178="S2 PCB Layout",IF(R178="","Not added",R178),IF(E178="S3 SI &amp; PI",IF(V178="","Not added",V178),IF(E178="S4 Bare-PCB Fab",IF(Z178="","Not added",Z178),IF(E178="S5 Assembly",IF(AD178="","Not added",AD178),IF(E178="S6 Bring-up",IF(AH178="","Not added",AH178),IF(AL178="","Not added",AL178)))))))))</f>
        <v/>
      </c>
      <c r="H178" s="32" t="str">
        <f aca="true">IF($C178="","",IF(OR(F178="Completed",F178="Cancelled"),"",IF(NOT(ISNUMBER(G178)),"No date set",IF(TODAY()&gt;G178,TODAY()-G178&amp;" days late",G178-TODAY()&amp;" days left"))))</f>
        <v/>
      </c>
      <c r="I178" s="31" t="str">
        <f aca="false">IF($C178="","",COUNTIF(M178,"Completed")+COUNTIF(Q178,"Completed")+COUNTIF(U178,"Completed")+COUNTIF(Y178,"Completed")+COUNTIF(AC178,"Completed")+COUNTIF(AG178,"Completed")+COUNTIF(AK178,"Completed"))</f>
        <v/>
      </c>
      <c r="J178" s="31" t="str">
        <f aca="false">IF($C178="","",7-(COUNTIF(M178,"NA")+COUNTIF(Q178,"NA")+COUNTIF(U178,"NA")+COUNTIF(Y178,"NA")+COUNTIF(AC178,"NA")+COUNTIF(AG178,"NA")+COUNTIF(AK178,"NA")))</f>
        <v/>
      </c>
      <c r="K178" s="34" t="str">
        <f aca="false">IFERROR(I178/J178,"")</f>
        <v/>
      </c>
      <c r="L178" s="29"/>
      <c r="M178" s="35"/>
      <c r="N178" s="36"/>
      <c r="O178" s="36"/>
      <c r="P178" s="29"/>
      <c r="Q178" s="35"/>
      <c r="R178" s="36"/>
      <c r="S178" s="36"/>
      <c r="T178" s="29"/>
      <c r="U178" s="35"/>
      <c r="V178" s="36"/>
      <c r="W178" s="36"/>
      <c r="X178" s="29"/>
      <c r="Y178" s="35"/>
      <c r="Z178" s="36"/>
      <c r="AA178" s="36"/>
      <c r="AB178" s="29"/>
      <c r="AC178" s="35"/>
      <c r="AD178" s="36"/>
      <c r="AE178" s="36"/>
      <c r="AF178" s="29"/>
      <c r="AG178" s="35"/>
      <c r="AH178" s="36"/>
      <c r="AI178" s="36"/>
      <c r="AJ178" s="29"/>
      <c r="AK178" s="35"/>
      <c r="AL178" s="36"/>
      <c r="AM178" s="36"/>
      <c r="AN178" s="29"/>
      <c r="AO178" s="29"/>
      <c r="AP178" s="29"/>
      <c r="AQ178" s="37"/>
      <c r="AR178" s="39" t="str">
        <f aca="false">IF(AN178&lt;&gt;"Yes","",IF(AO178="","SELECT RE-ENTRY STAGE","MOVE TO ACTIVE at "&amp;AO178))</f>
        <v/>
      </c>
      <c r="AS178" s="40" t="str">
        <f aca="false">IF(AN178="Yes",COUNTIF($AN$6:AN178,"Yes"),"")</f>
        <v/>
      </c>
      <c r="AT178" s="29"/>
      <c r="AU178" s="38" t="str">
        <f aca="false">IF($C178="","",IF(OR(F178="Completed",F178="Cancelled"),"",IF(AND(OR(F178="On Hold",ISNUMBER(VALUE(LEFT(H178,2)))),AT178=""),"Reason not given","")))</f>
        <v/>
      </c>
      <c r="AV178" s="30"/>
      <c r="AW178" s="30"/>
    </row>
    <row r="179" customFormat="false" ht="19.5" hidden="false" customHeight="true" outlineLevel="0" collapsed="false">
      <c r="A179" s="28" t="str">
        <f aca="false">IF($C179="","",COUNTA($C$6:$C179))</f>
        <v/>
      </c>
      <c r="B179" s="29"/>
      <c r="C179" s="30"/>
      <c r="D179" s="29"/>
      <c r="E179" s="31" t="str">
        <f aca="false">IF($C179="","",IF(NOT(OR(M179="Completed",M179="NA",M179="Cancelled")),"S1 Schematic",IF(NOT(OR(Q179="Completed",Q179="NA",Q179="Cancelled")),"S2 PCB Layout",IF(NOT(OR(U179="Completed",U179="NA",U179="Cancelled")),"S3 SI &amp; PI",IF(NOT(OR(Y179="Completed",Y179="NA",Y179="Cancelled")),"S4 Bare-PCB Fab",IF(NOT(OR(AC179="Completed",AC179="NA",AC179="Cancelled")),"S5 Assembly",IF(NOT(OR(AG179="Completed",AG179="NA",AG179="Cancelled")),"S6 Bring-up",IF(NOT(OR(AK179="Completed",AK179="NA",AK179="Cancelled")),"S7 BOM Procurement","All Stages Closed"))))))))</f>
        <v/>
      </c>
      <c r="F179" s="32" t="str">
        <f aca="false">IF($C179="","",IF(COUNTIF(M179,"Cancelled")+COUNTIF(Q179,"Cancelled")+COUNTIF(U179,"Cancelled")+COUNTIF(Y179,"Cancelled")+COUNTIF(AC179,"Cancelled")+COUNTIF(AG179,"Cancelled")+COUNTIF(AK179,"Cancelled")&gt;0,"Cancelled",IF(E179="All Stages Closed","Completed",IF(E179="S1 Schematic",M179,IF(E179="S2 PCB Layout",Q179,IF(E179="S3 SI &amp; PI",U179,IF(E179="S4 Bare-PCB Fab",Y179,IF(E179="S5 Assembly",AC179,IF(E179="S6 Bring-up",AG179,AK179)))))))))</f>
        <v/>
      </c>
      <c r="G179" s="33" t="str">
        <f aca="false">IF($C179="","",IF(E179="All Stages Closed","",IF(E179="S1 Schematic",IF(N179="","Not added",N179),IF(E179="S2 PCB Layout",IF(R179="","Not added",R179),IF(E179="S3 SI &amp; PI",IF(V179="","Not added",V179),IF(E179="S4 Bare-PCB Fab",IF(Z179="","Not added",Z179),IF(E179="S5 Assembly",IF(AD179="","Not added",AD179),IF(E179="S6 Bring-up",IF(AH179="","Not added",AH179),IF(AL179="","Not added",AL179)))))))))</f>
        <v/>
      </c>
      <c r="H179" s="32" t="str">
        <f aca="true">IF($C179="","",IF(OR(F179="Completed",F179="Cancelled"),"",IF(NOT(ISNUMBER(G179)),"No date set",IF(TODAY()&gt;G179,TODAY()-G179&amp;" days late",G179-TODAY()&amp;" days left"))))</f>
        <v/>
      </c>
      <c r="I179" s="31" t="str">
        <f aca="false">IF($C179="","",COUNTIF(M179,"Completed")+COUNTIF(Q179,"Completed")+COUNTIF(U179,"Completed")+COUNTIF(Y179,"Completed")+COUNTIF(AC179,"Completed")+COUNTIF(AG179,"Completed")+COUNTIF(AK179,"Completed"))</f>
        <v/>
      </c>
      <c r="J179" s="31" t="str">
        <f aca="false">IF($C179="","",7-(COUNTIF(M179,"NA")+COUNTIF(Q179,"NA")+COUNTIF(U179,"NA")+COUNTIF(Y179,"NA")+COUNTIF(AC179,"NA")+COUNTIF(AG179,"NA")+COUNTIF(AK179,"NA")))</f>
        <v/>
      </c>
      <c r="K179" s="34" t="str">
        <f aca="false">IFERROR(I179/J179,"")</f>
        <v/>
      </c>
      <c r="L179" s="29"/>
      <c r="M179" s="35"/>
      <c r="N179" s="36"/>
      <c r="O179" s="36"/>
      <c r="P179" s="29"/>
      <c r="Q179" s="35"/>
      <c r="R179" s="36"/>
      <c r="S179" s="36"/>
      <c r="T179" s="29"/>
      <c r="U179" s="35"/>
      <c r="V179" s="36"/>
      <c r="W179" s="36"/>
      <c r="X179" s="29"/>
      <c r="Y179" s="35"/>
      <c r="Z179" s="36"/>
      <c r="AA179" s="36"/>
      <c r="AB179" s="29"/>
      <c r="AC179" s="35"/>
      <c r="AD179" s="36"/>
      <c r="AE179" s="36"/>
      <c r="AF179" s="29"/>
      <c r="AG179" s="35"/>
      <c r="AH179" s="36"/>
      <c r="AI179" s="36"/>
      <c r="AJ179" s="29"/>
      <c r="AK179" s="35"/>
      <c r="AL179" s="36"/>
      <c r="AM179" s="36"/>
      <c r="AN179" s="29"/>
      <c r="AO179" s="29"/>
      <c r="AP179" s="29"/>
      <c r="AQ179" s="37"/>
      <c r="AR179" s="39" t="str">
        <f aca="false">IF(AN179&lt;&gt;"Yes","",IF(AO179="","SELECT RE-ENTRY STAGE","MOVE TO ACTIVE at "&amp;AO179))</f>
        <v/>
      </c>
      <c r="AS179" s="40" t="str">
        <f aca="false">IF(AN179="Yes",COUNTIF($AN$6:AN179,"Yes"),"")</f>
        <v/>
      </c>
      <c r="AT179" s="29"/>
      <c r="AU179" s="38" t="str">
        <f aca="false">IF($C179="","",IF(OR(F179="Completed",F179="Cancelled"),"",IF(AND(OR(F179="On Hold",ISNUMBER(VALUE(LEFT(H179,2)))),AT179=""),"Reason not given","")))</f>
        <v/>
      </c>
      <c r="AV179" s="30"/>
      <c r="AW179" s="30"/>
    </row>
    <row r="180" customFormat="false" ht="19.5" hidden="false" customHeight="true" outlineLevel="0" collapsed="false">
      <c r="A180" s="28" t="str">
        <f aca="false">IF($C180="","",COUNTA($C$6:$C180))</f>
        <v/>
      </c>
      <c r="B180" s="29"/>
      <c r="C180" s="30"/>
      <c r="D180" s="29"/>
      <c r="E180" s="31" t="str">
        <f aca="false">IF($C180="","",IF(NOT(OR(M180="Completed",M180="NA",M180="Cancelled")),"S1 Schematic",IF(NOT(OR(Q180="Completed",Q180="NA",Q180="Cancelled")),"S2 PCB Layout",IF(NOT(OR(U180="Completed",U180="NA",U180="Cancelled")),"S3 SI &amp; PI",IF(NOT(OR(Y180="Completed",Y180="NA",Y180="Cancelled")),"S4 Bare-PCB Fab",IF(NOT(OR(AC180="Completed",AC180="NA",AC180="Cancelled")),"S5 Assembly",IF(NOT(OR(AG180="Completed",AG180="NA",AG180="Cancelled")),"S6 Bring-up",IF(NOT(OR(AK180="Completed",AK180="NA",AK180="Cancelled")),"S7 BOM Procurement","All Stages Closed"))))))))</f>
        <v/>
      </c>
      <c r="F180" s="32" t="str">
        <f aca="false">IF($C180="","",IF(COUNTIF(M180,"Cancelled")+COUNTIF(Q180,"Cancelled")+COUNTIF(U180,"Cancelled")+COUNTIF(Y180,"Cancelled")+COUNTIF(AC180,"Cancelled")+COUNTIF(AG180,"Cancelled")+COUNTIF(AK180,"Cancelled")&gt;0,"Cancelled",IF(E180="All Stages Closed","Completed",IF(E180="S1 Schematic",M180,IF(E180="S2 PCB Layout",Q180,IF(E180="S3 SI &amp; PI",U180,IF(E180="S4 Bare-PCB Fab",Y180,IF(E180="S5 Assembly",AC180,IF(E180="S6 Bring-up",AG180,AK180)))))))))</f>
        <v/>
      </c>
      <c r="G180" s="33" t="str">
        <f aca="false">IF($C180="","",IF(E180="All Stages Closed","",IF(E180="S1 Schematic",IF(N180="","Not added",N180),IF(E180="S2 PCB Layout",IF(R180="","Not added",R180),IF(E180="S3 SI &amp; PI",IF(V180="","Not added",V180),IF(E180="S4 Bare-PCB Fab",IF(Z180="","Not added",Z180),IF(E180="S5 Assembly",IF(AD180="","Not added",AD180),IF(E180="S6 Bring-up",IF(AH180="","Not added",AH180),IF(AL180="","Not added",AL180)))))))))</f>
        <v/>
      </c>
      <c r="H180" s="32" t="str">
        <f aca="true">IF($C180="","",IF(OR(F180="Completed",F180="Cancelled"),"",IF(NOT(ISNUMBER(G180)),"No date set",IF(TODAY()&gt;G180,TODAY()-G180&amp;" days late",G180-TODAY()&amp;" days left"))))</f>
        <v/>
      </c>
      <c r="I180" s="31" t="str">
        <f aca="false">IF($C180="","",COUNTIF(M180,"Completed")+COUNTIF(Q180,"Completed")+COUNTIF(U180,"Completed")+COUNTIF(Y180,"Completed")+COUNTIF(AC180,"Completed")+COUNTIF(AG180,"Completed")+COUNTIF(AK180,"Completed"))</f>
        <v/>
      </c>
      <c r="J180" s="31" t="str">
        <f aca="false">IF($C180="","",7-(COUNTIF(M180,"NA")+COUNTIF(Q180,"NA")+COUNTIF(U180,"NA")+COUNTIF(Y180,"NA")+COUNTIF(AC180,"NA")+COUNTIF(AG180,"NA")+COUNTIF(AK180,"NA")))</f>
        <v/>
      </c>
      <c r="K180" s="34" t="str">
        <f aca="false">IFERROR(I180/J180,"")</f>
        <v/>
      </c>
      <c r="L180" s="29"/>
      <c r="M180" s="35"/>
      <c r="N180" s="36"/>
      <c r="O180" s="36"/>
      <c r="P180" s="29"/>
      <c r="Q180" s="35"/>
      <c r="R180" s="36"/>
      <c r="S180" s="36"/>
      <c r="T180" s="29"/>
      <c r="U180" s="35"/>
      <c r="V180" s="36"/>
      <c r="W180" s="36"/>
      <c r="X180" s="29"/>
      <c r="Y180" s="35"/>
      <c r="Z180" s="36"/>
      <c r="AA180" s="36"/>
      <c r="AB180" s="29"/>
      <c r="AC180" s="35"/>
      <c r="AD180" s="36"/>
      <c r="AE180" s="36"/>
      <c r="AF180" s="29"/>
      <c r="AG180" s="35"/>
      <c r="AH180" s="36"/>
      <c r="AI180" s="36"/>
      <c r="AJ180" s="29"/>
      <c r="AK180" s="35"/>
      <c r="AL180" s="36"/>
      <c r="AM180" s="36"/>
      <c r="AN180" s="29"/>
      <c r="AO180" s="29"/>
      <c r="AP180" s="29"/>
      <c r="AQ180" s="37"/>
      <c r="AR180" s="39" t="str">
        <f aca="false">IF(AN180&lt;&gt;"Yes","",IF(AO180="","SELECT RE-ENTRY STAGE","MOVE TO ACTIVE at "&amp;AO180))</f>
        <v/>
      </c>
      <c r="AS180" s="40" t="str">
        <f aca="false">IF(AN180="Yes",COUNTIF($AN$6:AN180,"Yes"),"")</f>
        <v/>
      </c>
      <c r="AT180" s="29"/>
      <c r="AU180" s="38" t="str">
        <f aca="false">IF($C180="","",IF(OR(F180="Completed",F180="Cancelled"),"",IF(AND(OR(F180="On Hold",ISNUMBER(VALUE(LEFT(H180,2)))),AT180=""),"Reason not given","")))</f>
        <v/>
      </c>
      <c r="AV180" s="30"/>
      <c r="AW180" s="30"/>
    </row>
    <row r="181" customFormat="false" ht="19.5" hidden="false" customHeight="true" outlineLevel="0" collapsed="false">
      <c r="A181" s="28" t="str">
        <f aca="false">IF($C181="","",COUNTA($C$6:$C181))</f>
        <v/>
      </c>
      <c r="B181" s="29"/>
      <c r="C181" s="30"/>
      <c r="D181" s="29"/>
      <c r="E181" s="31" t="str">
        <f aca="false">IF($C181="","",IF(NOT(OR(M181="Completed",M181="NA",M181="Cancelled")),"S1 Schematic",IF(NOT(OR(Q181="Completed",Q181="NA",Q181="Cancelled")),"S2 PCB Layout",IF(NOT(OR(U181="Completed",U181="NA",U181="Cancelled")),"S3 SI &amp; PI",IF(NOT(OR(Y181="Completed",Y181="NA",Y181="Cancelled")),"S4 Bare-PCB Fab",IF(NOT(OR(AC181="Completed",AC181="NA",AC181="Cancelled")),"S5 Assembly",IF(NOT(OR(AG181="Completed",AG181="NA",AG181="Cancelled")),"S6 Bring-up",IF(NOT(OR(AK181="Completed",AK181="NA",AK181="Cancelled")),"S7 BOM Procurement","All Stages Closed"))))))))</f>
        <v/>
      </c>
      <c r="F181" s="32" t="str">
        <f aca="false">IF($C181="","",IF(COUNTIF(M181,"Cancelled")+COUNTIF(Q181,"Cancelled")+COUNTIF(U181,"Cancelled")+COUNTIF(Y181,"Cancelled")+COUNTIF(AC181,"Cancelled")+COUNTIF(AG181,"Cancelled")+COUNTIF(AK181,"Cancelled")&gt;0,"Cancelled",IF(E181="All Stages Closed","Completed",IF(E181="S1 Schematic",M181,IF(E181="S2 PCB Layout",Q181,IF(E181="S3 SI &amp; PI",U181,IF(E181="S4 Bare-PCB Fab",Y181,IF(E181="S5 Assembly",AC181,IF(E181="S6 Bring-up",AG181,AK181)))))))))</f>
        <v/>
      </c>
      <c r="G181" s="33" t="str">
        <f aca="false">IF($C181="","",IF(E181="All Stages Closed","",IF(E181="S1 Schematic",IF(N181="","Not added",N181),IF(E181="S2 PCB Layout",IF(R181="","Not added",R181),IF(E181="S3 SI &amp; PI",IF(V181="","Not added",V181),IF(E181="S4 Bare-PCB Fab",IF(Z181="","Not added",Z181),IF(E181="S5 Assembly",IF(AD181="","Not added",AD181),IF(E181="S6 Bring-up",IF(AH181="","Not added",AH181),IF(AL181="","Not added",AL181)))))))))</f>
        <v/>
      </c>
      <c r="H181" s="32" t="str">
        <f aca="true">IF($C181="","",IF(OR(F181="Completed",F181="Cancelled"),"",IF(NOT(ISNUMBER(G181)),"No date set",IF(TODAY()&gt;G181,TODAY()-G181&amp;" days late",G181-TODAY()&amp;" days left"))))</f>
        <v/>
      </c>
      <c r="I181" s="31" t="str">
        <f aca="false">IF($C181="","",COUNTIF(M181,"Completed")+COUNTIF(Q181,"Completed")+COUNTIF(U181,"Completed")+COUNTIF(Y181,"Completed")+COUNTIF(AC181,"Completed")+COUNTIF(AG181,"Completed")+COUNTIF(AK181,"Completed"))</f>
        <v/>
      </c>
      <c r="J181" s="31" t="str">
        <f aca="false">IF($C181="","",7-(COUNTIF(M181,"NA")+COUNTIF(Q181,"NA")+COUNTIF(U181,"NA")+COUNTIF(Y181,"NA")+COUNTIF(AC181,"NA")+COUNTIF(AG181,"NA")+COUNTIF(AK181,"NA")))</f>
        <v/>
      </c>
      <c r="K181" s="34" t="str">
        <f aca="false">IFERROR(I181/J181,"")</f>
        <v/>
      </c>
      <c r="L181" s="29"/>
      <c r="M181" s="35"/>
      <c r="N181" s="36"/>
      <c r="O181" s="36"/>
      <c r="P181" s="29"/>
      <c r="Q181" s="35"/>
      <c r="R181" s="36"/>
      <c r="S181" s="36"/>
      <c r="T181" s="29"/>
      <c r="U181" s="35"/>
      <c r="V181" s="36"/>
      <c r="W181" s="36"/>
      <c r="X181" s="29"/>
      <c r="Y181" s="35"/>
      <c r="Z181" s="36"/>
      <c r="AA181" s="36"/>
      <c r="AB181" s="29"/>
      <c r="AC181" s="35"/>
      <c r="AD181" s="36"/>
      <c r="AE181" s="36"/>
      <c r="AF181" s="29"/>
      <c r="AG181" s="35"/>
      <c r="AH181" s="36"/>
      <c r="AI181" s="36"/>
      <c r="AJ181" s="29"/>
      <c r="AK181" s="35"/>
      <c r="AL181" s="36"/>
      <c r="AM181" s="36"/>
      <c r="AN181" s="29"/>
      <c r="AO181" s="29"/>
      <c r="AP181" s="29"/>
      <c r="AQ181" s="37"/>
      <c r="AR181" s="39" t="str">
        <f aca="false">IF(AN181&lt;&gt;"Yes","",IF(AO181="","SELECT RE-ENTRY STAGE","MOVE TO ACTIVE at "&amp;AO181))</f>
        <v/>
      </c>
      <c r="AS181" s="40" t="str">
        <f aca="false">IF(AN181="Yes",COUNTIF($AN$6:AN181,"Yes"),"")</f>
        <v/>
      </c>
      <c r="AT181" s="29"/>
      <c r="AU181" s="38" t="str">
        <f aca="false">IF($C181="","",IF(OR(F181="Completed",F181="Cancelled"),"",IF(AND(OR(F181="On Hold",ISNUMBER(VALUE(LEFT(H181,2)))),AT181=""),"Reason not given","")))</f>
        <v/>
      </c>
      <c r="AV181" s="30"/>
      <c r="AW181" s="30"/>
    </row>
    <row r="182" customFormat="false" ht="19.5" hidden="false" customHeight="true" outlineLevel="0" collapsed="false">
      <c r="A182" s="28" t="str">
        <f aca="false">IF($C182="","",COUNTA($C$6:$C182))</f>
        <v/>
      </c>
      <c r="B182" s="29"/>
      <c r="C182" s="30"/>
      <c r="D182" s="29"/>
      <c r="E182" s="31" t="str">
        <f aca="false">IF($C182="","",IF(NOT(OR(M182="Completed",M182="NA",M182="Cancelled")),"S1 Schematic",IF(NOT(OR(Q182="Completed",Q182="NA",Q182="Cancelled")),"S2 PCB Layout",IF(NOT(OR(U182="Completed",U182="NA",U182="Cancelled")),"S3 SI &amp; PI",IF(NOT(OR(Y182="Completed",Y182="NA",Y182="Cancelled")),"S4 Bare-PCB Fab",IF(NOT(OR(AC182="Completed",AC182="NA",AC182="Cancelled")),"S5 Assembly",IF(NOT(OR(AG182="Completed",AG182="NA",AG182="Cancelled")),"S6 Bring-up",IF(NOT(OR(AK182="Completed",AK182="NA",AK182="Cancelled")),"S7 BOM Procurement","All Stages Closed"))))))))</f>
        <v/>
      </c>
      <c r="F182" s="32" t="str">
        <f aca="false">IF($C182="","",IF(COUNTIF(M182,"Cancelled")+COUNTIF(Q182,"Cancelled")+COUNTIF(U182,"Cancelled")+COUNTIF(Y182,"Cancelled")+COUNTIF(AC182,"Cancelled")+COUNTIF(AG182,"Cancelled")+COUNTIF(AK182,"Cancelled")&gt;0,"Cancelled",IF(E182="All Stages Closed","Completed",IF(E182="S1 Schematic",M182,IF(E182="S2 PCB Layout",Q182,IF(E182="S3 SI &amp; PI",U182,IF(E182="S4 Bare-PCB Fab",Y182,IF(E182="S5 Assembly",AC182,IF(E182="S6 Bring-up",AG182,AK182)))))))))</f>
        <v/>
      </c>
      <c r="G182" s="33" t="str">
        <f aca="false">IF($C182="","",IF(E182="All Stages Closed","",IF(E182="S1 Schematic",IF(N182="","Not added",N182),IF(E182="S2 PCB Layout",IF(R182="","Not added",R182),IF(E182="S3 SI &amp; PI",IF(V182="","Not added",V182),IF(E182="S4 Bare-PCB Fab",IF(Z182="","Not added",Z182),IF(E182="S5 Assembly",IF(AD182="","Not added",AD182),IF(E182="S6 Bring-up",IF(AH182="","Not added",AH182),IF(AL182="","Not added",AL182)))))))))</f>
        <v/>
      </c>
      <c r="H182" s="32" t="str">
        <f aca="true">IF($C182="","",IF(OR(F182="Completed",F182="Cancelled"),"",IF(NOT(ISNUMBER(G182)),"No date set",IF(TODAY()&gt;G182,TODAY()-G182&amp;" days late",G182-TODAY()&amp;" days left"))))</f>
        <v/>
      </c>
      <c r="I182" s="31" t="str">
        <f aca="false">IF($C182="","",COUNTIF(M182,"Completed")+COUNTIF(Q182,"Completed")+COUNTIF(U182,"Completed")+COUNTIF(Y182,"Completed")+COUNTIF(AC182,"Completed")+COUNTIF(AG182,"Completed")+COUNTIF(AK182,"Completed"))</f>
        <v/>
      </c>
      <c r="J182" s="31" t="str">
        <f aca="false">IF($C182="","",7-(COUNTIF(M182,"NA")+COUNTIF(Q182,"NA")+COUNTIF(U182,"NA")+COUNTIF(Y182,"NA")+COUNTIF(AC182,"NA")+COUNTIF(AG182,"NA")+COUNTIF(AK182,"NA")))</f>
        <v/>
      </c>
      <c r="K182" s="34" t="str">
        <f aca="false">IFERROR(I182/J182,"")</f>
        <v/>
      </c>
      <c r="L182" s="29"/>
      <c r="M182" s="35"/>
      <c r="N182" s="36"/>
      <c r="O182" s="36"/>
      <c r="P182" s="29"/>
      <c r="Q182" s="35"/>
      <c r="R182" s="36"/>
      <c r="S182" s="36"/>
      <c r="T182" s="29"/>
      <c r="U182" s="35"/>
      <c r="V182" s="36"/>
      <c r="W182" s="36"/>
      <c r="X182" s="29"/>
      <c r="Y182" s="35"/>
      <c r="Z182" s="36"/>
      <c r="AA182" s="36"/>
      <c r="AB182" s="29"/>
      <c r="AC182" s="35"/>
      <c r="AD182" s="36"/>
      <c r="AE182" s="36"/>
      <c r="AF182" s="29"/>
      <c r="AG182" s="35"/>
      <c r="AH182" s="36"/>
      <c r="AI182" s="36"/>
      <c r="AJ182" s="29"/>
      <c r="AK182" s="35"/>
      <c r="AL182" s="36"/>
      <c r="AM182" s="36"/>
      <c r="AN182" s="29"/>
      <c r="AO182" s="29"/>
      <c r="AP182" s="29"/>
      <c r="AQ182" s="37"/>
      <c r="AR182" s="39" t="str">
        <f aca="false">IF(AN182&lt;&gt;"Yes","",IF(AO182="","SELECT RE-ENTRY STAGE","MOVE TO ACTIVE at "&amp;AO182))</f>
        <v/>
      </c>
      <c r="AS182" s="40" t="str">
        <f aca="false">IF(AN182="Yes",COUNTIF($AN$6:AN182,"Yes"),"")</f>
        <v/>
      </c>
      <c r="AT182" s="29"/>
      <c r="AU182" s="38" t="str">
        <f aca="false">IF($C182="","",IF(OR(F182="Completed",F182="Cancelled"),"",IF(AND(OR(F182="On Hold",ISNUMBER(VALUE(LEFT(H182,2)))),AT182=""),"Reason not given","")))</f>
        <v/>
      </c>
      <c r="AV182" s="30"/>
      <c r="AW182" s="30"/>
    </row>
    <row r="183" customFormat="false" ht="19.5" hidden="false" customHeight="true" outlineLevel="0" collapsed="false">
      <c r="A183" s="28" t="str">
        <f aca="false">IF($C183="","",COUNTA($C$6:$C183))</f>
        <v/>
      </c>
      <c r="B183" s="29"/>
      <c r="C183" s="30"/>
      <c r="D183" s="29"/>
      <c r="E183" s="31" t="str">
        <f aca="false">IF($C183="","",IF(NOT(OR(M183="Completed",M183="NA",M183="Cancelled")),"S1 Schematic",IF(NOT(OR(Q183="Completed",Q183="NA",Q183="Cancelled")),"S2 PCB Layout",IF(NOT(OR(U183="Completed",U183="NA",U183="Cancelled")),"S3 SI &amp; PI",IF(NOT(OR(Y183="Completed",Y183="NA",Y183="Cancelled")),"S4 Bare-PCB Fab",IF(NOT(OR(AC183="Completed",AC183="NA",AC183="Cancelled")),"S5 Assembly",IF(NOT(OR(AG183="Completed",AG183="NA",AG183="Cancelled")),"S6 Bring-up",IF(NOT(OR(AK183="Completed",AK183="NA",AK183="Cancelled")),"S7 BOM Procurement","All Stages Closed"))))))))</f>
        <v/>
      </c>
      <c r="F183" s="32" t="str">
        <f aca="false">IF($C183="","",IF(COUNTIF(M183,"Cancelled")+COUNTIF(Q183,"Cancelled")+COUNTIF(U183,"Cancelled")+COUNTIF(Y183,"Cancelled")+COUNTIF(AC183,"Cancelled")+COUNTIF(AG183,"Cancelled")+COUNTIF(AK183,"Cancelled")&gt;0,"Cancelled",IF(E183="All Stages Closed","Completed",IF(E183="S1 Schematic",M183,IF(E183="S2 PCB Layout",Q183,IF(E183="S3 SI &amp; PI",U183,IF(E183="S4 Bare-PCB Fab",Y183,IF(E183="S5 Assembly",AC183,IF(E183="S6 Bring-up",AG183,AK183)))))))))</f>
        <v/>
      </c>
      <c r="G183" s="33" t="str">
        <f aca="false">IF($C183="","",IF(E183="All Stages Closed","",IF(E183="S1 Schematic",IF(N183="","Not added",N183),IF(E183="S2 PCB Layout",IF(R183="","Not added",R183),IF(E183="S3 SI &amp; PI",IF(V183="","Not added",V183),IF(E183="S4 Bare-PCB Fab",IF(Z183="","Not added",Z183),IF(E183="S5 Assembly",IF(AD183="","Not added",AD183),IF(E183="S6 Bring-up",IF(AH183="","Not added",AH183),IF(AL183="","Not added",AL183)))))))))</f>
        <v/>
      </c>
      <c r="H183" s="32" t="str">
        <f aca="true">IF($C183="","",IF(OR(F183="Completed",F183="Cancelled"),"",IF(NOT(ISNUMBER(G183)),"No date set",IF(TODAY()&gt;G183,TODAY()-G183&amp;" days late",G183-TODAY()&amp;" days left"))))</f>
        <v/>
      </c>
      <c r="I183" s="31" t="str">
        <f aca="false">IF($C183="","",COUNTIF(M183,"Completed")+COUNTIF(Q183,"Completed")+COUNTIF(U183,"Completed")+COUNTIF(Y183,"Completed")+COUNTIF(AC183,"Completed")+COUNTIF(AG183,"Completed")+COUNTIF(AK183,"Completed"))</f>
        <v/>
      </c>
      <c r="J183" s="31" t="str">
        <f aca="false">IF($C183="","",7-(COUNTIF(M183,"NA")+COUNTIF(Q183,"NA")+COUNTIF(U183,"NA")+COUNTIF(Y183,"NA")+COUNTIF(AC183,"NA")+COUNTIF(AG183,"NA")+COUNTIF(AK183,"NA")))</f>
        <v/>
      </c>
      <c r="K183" s="34" t="str">
        <f aca="false">IFERROR(I183/J183,"")</f>
        <v/>
      </c>
      <c r="L183" s="29"/>
      <c r="M183" s="35"/>
      <c r="N183" s="36"/>
      <c r="O183" s="36"/>
      <c r="P183" s="29"/>
      <c r="Q183" s="35"/>
      <c r="R183" s="36"/>
      <c r="S183" s="36"/>
      <c r="T183" s="29"/>
      <c r="U183" s="35"/>
      <c r="V183" s="36"/>
      <c r="W183" s="36"/>
      <c r="X183" s="29"/>
      <c r="Y183" s="35"/>
      <c r="Z183" s="36"/>
      <c r="AA183" s="36"/>
      <c r="AB183" s="29"/>
      <c r="AC183" s="35"/>
      <c r="AD183" s="36"/>
      <c r="AE183" s="36"/>
      <c r="AF183" s="29"/>
      <c r="AG183" s="35"/>
      <c r="AH183" s="36"/>
      <c r="AI183" s="36"/>
      <c r="AJ183" s="29"/>
      <c r="AK183" s="35"/>
      <c r="AL183" s="36"/>
      <c r="AM183" s="36"/>
      <c r="AN183" s="29"/>
      <c r="AO183" s="29"/>
      <c r="AP183" s="29"/>
      <c r="AQ183" s="37"/>
      <c r="AR183" s="39" t="str">
        <f aca="false">IF(AN183&lt;&gt;"Yes","",IF(AO183="","SELECT RE-ENTRY STAGE","MOVE TO ACTIVE at "&amp;AO183))</f>
        <v/>
      </c>
      <c r="AS183" s="40" t="str">
        <f aca="false">IF(AN183="Yes",COUNTIF($AN$6:AN183,"Yes"),"")</f>
        <v/>
      </c>
      <c r="AT183" s="29"/>
      <c r="AU183" s="38" t="str">
        <f aca="false">IF($C183="","",IF(OR(F183="Completed",F183="Cancelled"),"",IF(AND(OR(F183="On Hold",ISNUMBER(VALUE(LEFT(H183,2)))),AT183=""),"Reason not given","")))</f>
        <v/>
      </c>
      <c r="AV183" s="30"/>
      <c r="AW183" s="30"/>
    </row>
    <row r="184" customFormat="false" ht="19.5" hidden="false" customHeight="true" outlineLevel="0" collapsed="false">
      <c r="A184" s="28" t="str">
        <f aca="false">IF($C184="","",COUNTA($C$6:$C184))</f>
        <v/>
      </c>
      <c r="B184" s="29"/>
      <c r="C184" s="30"/>
      <c r="D184" s="29"/>
      <c r="E184" s="31" t="str">
        <f aca="false">IF($C184="","",IF(NOT(OR(M184="Completed",M184="NA",M184="Cancelled")),"S1 Schematic",IF(NOT(OR(Q184="Completed",Q184="NA",Q184="Cancelled")),"S2 PCB Layout",IF(NOT(OR(U184="Completed",U184="NA",U184="Cancelled")),"S3 SI &amp; PI",IF(NOT(OR(Y184="Completed",Y184="NA",Y184="Cancelled")),"S4 Bare-PCB Fab",IF(NOT(OR(AC184="Completed",AC184="NA",AC184="Cancelled")),"S5 Assembly",IF(NOT(OR(AG184="Completed",AG184="NA",AG184="Cancelled")),"S6 Bring-up",IF(NOT(OR(AK184="Completed",AK184="NA",AK184="Cancelled")),"S7 BOM Procurement","All Stages Closed"))))))))</f>
        <v/>
      </c>
      <c r="F184" s="32" t="str">
        <f aca="false">IF($C184="","",IF(COUNTIF(M184,"Cancelled")+COUNTIF(Q184,"Cancelled")+COUNTIF(U184,"Cancelled")+COUNTIF(Y184,"Cancelled")+COUNTIF(AC184,"Cancelled")+COUNTIF(AG184,"Cancelled")+COUNTIF(AK184,"Cancelled")&gt;0,"Cancelled",IF(E184="All Stages Closed","Completed",IF(E184="S1 Schematic",M184,IF(E184="S2 PCB Layout",Q184,IF(E184="S3 SI &amp; PI",U184,IF(E184="S4 Bare-PCB Fab",Y184,IF(E184="S5 Assembly",AC184,IF(E184="S6 Bring-up",AG184,AK184)))))))))</f>
        <v/>
      </c>
      <c r="G184" s="33" t="str">
        <f aca="false">IF($C184="","",IF(E184="All Stages Closed","",IF(E184="S1 Schematic",IF(N184="","Not added",N184),IF(E184="S2 PCB Layout",IF(R184="","Not added",R184),IF(E184="S3 SI &amp; PI",IF(V184="","Not added",V184),IF(E184="S4 Bare-PCB Fab",IF(Z184="","Not added",Z184),IF(E184="S5 Assembly",IF(AD184="","Not added",AD184),IF(E184="S6 Bring-up",IF(AH184="","Not added",AH184),IF(AL184="","Not added",AL184)))))))))</f>
        <v/>
      </c>
      <c r="H184" s="32" t="str">
        <f aca="true">IF($C184="","",IF(OR(F184="Completed",F184="Cancelled"),"",IF(NOT(ISNUMBER(G184)),"No date set",IF(TODAY()&gt;G184,TODAY()-G184&amp;" days late",G184-TODAY()&amp;" days left"))))</f>
        <v/>
      </c>
      <c r="I184" s="31" t="str">
        <f aca="false">IF($C184="","",COUNTIF(M184,"Completed")+COUNTIF(Q184,"Completed")+COUNTIF(U184,"Completed")+COUNTIF(Y184,"Completed")+COUNTIF(AC184,"Completed")+COUNTIF(AG184,"Completed")+COUNTIF(AK184,"Completed"))</f>
        <v/>
      </c>
      <c r="J184" s="31" t="str">
        <f aca="false">IF($C184="","",7-(COUNTIF(M184,"NA")+COUNTIF(Q184,"NA")+COUNTIF(U184,"NA")+COUNTIF(Y184,"NA")+COUNTIF(AC184,"NA")+COUNTIF(AG184,"NA")+COUNTIF(AK184,"NA")))</f>
        <v/>
      </c>
      <c r="K184" s="34" t="str">
        <f aca="false">IFERROR(I184/J184,"")</f>
        <v/>
      </c>
      <c r="L184" s="29"/>
      <c r="M184" s="35"/>
      <c r="N184" s="36"/>
      <c r="O184" s="36"/>
      <c r="P184" s="29"/>
      <c r="Q184" s="35"/>
      <c r="R184" s="36"/>
      <c r="S184" s="36"/>
      <c r="T184" s="29"/>
      <c r="U184" s="35"/>
      <c r="V184" s="36"/>
      <c r="W184" s="36"/>
      <c r="X184" s="29"/>
      <c r="Y184" s="35"/>
      <c r="Z184" s="36"/>
      <c r="AA184" s="36"/>
      <c r="AB184" s="29"/>
      <c r="AC184" s="35"/>
      <c r="AD184" s="36"/>
      <c r="AE184" s="36"/>
      <c r="AF184" s="29"/>
      <c r="AG184" s="35"/>
      <c r="AH184" s="36"/>
      <c r="AI184" s="36"/>
      <c r="AJ184" s="29"/>
      <c r="AK184" s="35"/>
      <c r="AL184" s="36"/>
      <c r="AM184" s="36"/>
      <c r="AN184" s="29"/>
      <c r="AO184" s="29"/>
      <c r="AP184" s="29"/>
      <c r="AQ184" s="37"/>
      <c r="AR184" s="39" t="str">
        <f aca="false">IF(AN184&lt;&gt;"Yes","",IF(AO184="","SELECT RE-ENTRY STAGE","MOVE TO ACTIVE at "&amp;AO184))</f>
        <v/>
      </c>
      <c r="AS184" s="40" t="str">
        <f aca="false">IF(AN184="Yes",COUNTIF($AN$6:AN184,"Yes"),"")</f>
        <v/>
      </c>
      <c r="AT184" s="29"/>
      <c r="AU184" s="38" t="str">
        <f aca="false">IF($C184="","",IF(OR(F184="Completed",F184="Cancelled"),"",IF(AND(OR(F184="On Hold",ISNUMBER(VALUE(LEFT(H184,2)))),AT184=""),"Reason not given","")))</f>
        <v/>
      </c>
      <c r="AV184" s="30"/>
      <c r="AW184" s="30"/>
    </row>
    <row r="185" customFormat="false" ht="19.5" hidden="false" customHeight="true" outlineLevel="0" collapsed="false">
      <c r="A185" s="28" t="str">
        <f aca="false">IF($C185="","",COUNTA($C$6:$C185))</f>
        <v/>
      </c>
      <c r="B185" s="29"/>
      <c r="C185" s="30"/>
      <c r="D185" s="29"/>
      <c r="E185" s="31" t="str">
        <f aca="false">IF($C185="","",IF(NOT(OR(M185="Completed",M185="NA",M185="Cancelled")),"S1 Schematic",IF(NOT(OR(Q185="Completed",Q185="NA",Q185="Cancelled")),"S2 PCB Layout",IF(NOT(OR(U185="Completed",U185="NA",U185="Cancelled")),"S3 SI &amp; PI",IF(NOT(OR(Y185="Completed",Y185="NA",Y185="Cancelled")),"S4 Bare-PCB Fab",IF(NOT(OR(AC185="Completed",AC185="NA",AC185="Cancelled")),"S5 Assembly",IF(NOT(OR(AG185="Completed",AG185="NA",AG185="Cancelled")),"S6 Bring-up",IF(NOT(OR(AK185="Completed",AK185="NA",AK185="Cancelled")),"S7 BOM Procurement","All Stages Closed"))))))))</f>
        <v/>
      </c>
      <c r="F185" s="32" t="str">
        <f aca="false">IF($C185="","",IF(COUNTIF(M185,"Cancelled")+COUNTIF(Q185,"Cancelled")+COUNTIF(U185,"Cancelled")+COUNTIF(Y185,"Cancelled")+COUNTIF(AC185,"Cancelled")+COUNTIF(AG185,"Cancelled")+COUNTIF(AK185,"Cancelled")&gt;0,"Cancelled",IF(E185="All Stages Closed","Completed",IF(E185="S1 Schematic",M185,IF(E185="S2 PCB Layout",Q185,IF(E185="S3 SI &amp; PI",U185,IF(E185="S4 Bare-PCB Fab",Y185,IF(E185="S5 Assembly",AC185,IF(E185="S6 Bring-up",AG185,AK185)))))))))</f>
        <v/>
      </c>
      <c r="G185" s="33" t="str">
        <f aca="false">IF($C185="","",IF(E185="All Stages Closed","",IF(E185="S1 Schematic",IF(N185="","Not added",N185),IF(E185="S2 PCB Layout",IF(R185="","Not added",R185),IF(E185="S3 SI &amp; PI",IF(V185="","Not added",V185),IF(E185="S4 Bare-PCB Fab",IF(Z185="","Not added",Z185),IF(E185="S5 Assembly",IF(AD185="","Not added",AD185),IF(E185="S6 Bring-up",IF(AH185="","Not added",AH185),IF(AL185="","Not added",AL185)))))))))</f>
        <v/>
      </c>
      <c r="H185" s="32" t="str">
        <f aca="true">IF($C185="","",IF(OR(F185="Completed",F185="Cancelled"),"",IF(NOT(ISNUMBER(G185)),"No date set",IF(TODAY()&gt;G185,TODAY()-G185&amp;" days late",G185-TODAY()&amp;" days left"))))</f>
        <v/>
      </c>
      <c r="I185" s="31" t="str">
        <f aca="false">IF($C185="","",COUNTIF(M185,"Completed")+COUNTIF(Q185,"Completed")+COUNTIF(U185,"Completed")+COUNTIF(Y185,"Completed")+COUNTIF(AC185,"Completed")+COUNTIF(AG185,"Completed")+COUNTIF(AK185,"Completed"))</f>
        <v/>
      </c>
      <c r="J185" s="31" t="str">
        <f aca="false">IF($C185="","",7-(COUNTIF(M185,"NA")+COUNTIF(Q185,"NA")+COUNTIF(U185,"NA")+COUNTIF(Y185,"NA")+COUNTIF(AC185,"NA")+COUNTIF(AG185,"NA")+COUNTIF(AK185,"NA")))</f>
        <v/>
      </c>
      <c r="K185" s="34" t="str">
        <f aca="false">IFERROR(I185/J185,"")</f>
        <v/>
      </c>
      <c r="L185" s="29"/>
      <c r="M185" s="35"/>
      <c r="N185" s="36"/>
      <c r="O185" s="36"/>
      <c r="P185" s="29"/>
      <c r="Q185" s="35"/>
      <c r="R185" s="36"/>
      <c r="S185" s="36"/>
      <c r="T185" s="29"/>
      <c r="U185" s="35"/>
      <c r="V185" s="36"/>
      <c r="W185" s="36"/>
      <c r="X185" s="29"/>
      <c r="Y185" s="35"/>
      <c r="Z185" s="36"/>
      <c r="AA185" s="36"/>
      <c r="AB185" s="29"/>
      <c r="AC185" s="35"/>
      <c r="AD185" s="36"/>
      <c r="AE185" s="36"/>
      <c r="AF185" s="29"/>
      <c r="AG185" s="35"/>
      <c r="AH185" s="36"/>
      <c r="AI185" s="36"/>
      <c r="AJ185" s="29"/>
      <c r="AK185" s="35"/>
      <c r="AL185" s="36"/>
      <c r="AM185" s="36"/>
      <c r="AN185" s="29"/>
      <c r="AO185" s="29"/>
      <c r="AP185" s="29"/>
      <c r="AQ185" s="37"/>
      <c r="AR185" s="39" t="str">
        <f aca="false">IF(AN185&lt;&gt;"Yes","",IF(AO185="","SELECT RE-ENTRY STAGE","MOVE TO ACTIVE at "&amp;AO185))</f>
        <v/>
      </c>
      <c r="AS185" s="40" t="str">
        <f aca="false">IF(AN185="Yes",COUNTIF($AN$6:AN185,"Yes"),"")</f>
        <v/>
      </c>
      <c r="AT185" s="29"/>
      <c r="AU185" s="38" t="str">
        <f aca="false">IF($C185="","",IF(OR(F185="Completed",F185="Cancelled"),"",IF(AND(OR(F185="On Hold",ISNUMBER(VALUE(LEFT(H185,2)))),AT185=""),"Reason not given","")))</f>
        <v/>
      </c>
      <c r="AV185" s="30"/>
      <c r="AW185" s="30"/>
    </row>
    <row r="186" customFormat="false" ht="19.5" hidden="false" customHeight="true" outlineLevel="0" collapsed="false">
      <c r="A186" s="28" t="str">
        <f aca="false">IF($C186="","",COUNTA($C$6:$C186))</f>
        <v/>
      </c>
      <c r="B186" s="29"/>
      <c r="C186" s="30"/>
      <c r="D186" s="29"/>
      <c r="E186" s="31" t="str">
        <f aca="false">IF($C186="","",IF(NOT(OR(M186="Completed",M186="NA",M186="Cancelled")),"S1 Schematic",IF(NOT(OR(Q186="Completed",Q186="NA",Q186="Cancelled")),"S2 PCB Layout",IF(NOT(OR(U186="Completed",U186="NA",U186="Cancelled")),"S3 SI &amp; PI",IF(NOT(OR(Y186="Completed",Y186="NA",Y186="Cancelled")),"S4 Bare-PCB Fab",IF(NOT(OR(AC186="Completed",AC186="NA",AC186="Cancelled")),"S5 Assembly",IF(NOT(OR(AG186="Completed",AG186="NA",AG186="Cancelled")),"S6 Bring-up",IF(NOT(OR(AK186="Completed",AK186="NA",AK186="Cancelled")),"S7 BOM Procurement","All Stages Closed"))))))))</f>
        <v/>
      </c>
      <c r="F186" s="32" t="str">
        <f aca="false">IF($C186="","",IF(COUNTIF(M186,"Cancelled")+COUNTIF(Q186,"Cancelled")+COUNTIF(U186,"Cancelled")+COUNTIF(Y186,"Cancelled")+COUNTIF(AC186,"Cancelled")+COUNTIF(AG186,"Cancelled")+COUNTIF(AK186,"Cancelled")&gt;0,"Cancelled",IF(E186="All Stages Closed","Completed",IF(E186="S1 Schematic",M186,IF(E186="S2 PCB Layout",Q186,IF(E186="S3 SI &amp; PI",U186,IF(E186="S4 Bare-PCB Fab",Y186,IF(E186="S5 Assembly",AC186,IF(E186="S6 Bring-up",AG186,AK186)))))))))</f>
        <v/>
      </c>
      <c r="G186" s="33" t="str">
        <f aca="false">IF($C186="","",IF(E186="All Stages Closed","",IF(E186="S1 Schematic",IF(N186="","Not added",N186),IF(E186="S2 PCB Layout",IF(R186="","Not added",R186),IF(E186="S3 SI &amp; PI",IF(V186="","Not added",V186),IF(E186="S4 Bare-PCB Fab",IF(Z186="","Not added",Z186),IF(E186="S5 Assembly",IF(AD186="","Not added",AD186),IF(E186="S6 Bring-up",IF(AH186="","Not added",AH186),IF(AL186="","Not added",AL186)))))))))</f>
        <v/>
      </c>
      <c r="H186" s="32" t="str">
        <f aca="true">IF($C186="","",IF(OR(F186="Completed",F186="Cancelled"),"",IF(NOT(ISNUMBER(G186)),"No date set",IF(TODAY()&gt;G186,TODAY()-G186&amp;" days late",G186-TODAY()&amp;" days left"))))</f>
        <v/>
      </c>
      <c r="I186" s="31" t="str">
        <f aca="false">IF($C186="","",COUNTIF(M186,"Completed")+COUNTIF(Q186,"Completed")+COUNTIF(U186,"Completed")+COUNTIF(Y186,"Completed")+COUNTIF(AC186,"Completed")+COUNTIF(AG186,"Completed")+COUNTIF(AK186,"Completed"))</f>
        <v/>
      </c>
      <c r="J186" s="31" t="str">
        <f aca="false">IF($C186="","",7-(COUNTIF(M186,"NA")+COUNTIF(Q186,"NA")+COUNTIF(U186,"NA")+COUNTIF(Y186,"NA")+COUNTIF(AC186,"NA")+COUNTIF(AG186,"NA")+COUNTIF(AK186,"NA")))</f>
        <v/>
      </c>
      <c r="K186" s="34" t="str">
        <f aca="false">IFERROR(I186/J186,"")</f>
        <v/>
      </c>
      <c r="L186" s="29"/>
      <c r="M186" s="35"/>
      <c r="N186" s="36"/>
      <c r="O186" s="36"/>
      <c r="P186" s="29"/>
      <c r="Q186" s="35"/>
      <c r="R186" s="36"/>
      <c r="S186" s="36"/>
      <c r="T186" s="29"/>
      <c r="U186" s="35"/>
      <c r="V186" s="36"/>
      <c r="W186" s="36"/>
      <c r="X186" s="29"/>
      <c r="Y186" s="35"/>
      <c r="Z186" s="36"/>
      <c r="AA186" s="36"/>
      <c r="AB186" s="29"/>
      <c r="AC186" s="35"/>
      <c r="AD186" s="36"/>
      <c r="AE186" s="36"/>
      <c r="AF186" s="29"/>
      <c r="AG186" s="35"/>
      <c r="AH186" s="36"/>
      <c r="AI186" s="36"/>
      <c r="AJ186" s="29"/>
      <c r="AK186" s="35"/>
      <c r="AL186" s="36"/>
      <c r="AM186" s="36"/>
      <c r="AN186" s="29"/>
      <c r="AO186" s="29"/>
      <c r="AP186" s="29"/>
      <c r="AQ186" s="37"/>
      <c r="AR186" s="39" t="str">
        <f aca="false">IF(AN186&lt;&gt;"Yes","",IF(AO186="","SELECT RE-ENTRY STAGE","MOVE TO ACTIVE at "&amp;AO186))</f>
        <v/>
      </c>
      <c r="AS186" s="40" t="str">
        <f aca="false">IF(AN186="Yes",COUNTIF($AN$6:AN186,"Yes"),"")</f>
        <v/>
      </c>
      <c r="AT186" s="29"/>
      <c r="AU186" s="38" t="str">
        <f aca="false">IF($C186="","",IF(OR(F186="Completed",F186="Cancelled"),"",IF(AND(OR(F186="On Hold",ISNUMBER(VALUE(LEFT(H186,2)))),AT186=""),"Reason not given","")))</f>
        <v/>
      </c>
      <c r="AV186" s="30"/>
      <c r="AW186" s="30"/>
    </row>
    <row r="187" customFormat="false" ht="19.5" hidden="false" customHeight="true" outlineLevel="0" collapsed="false">
      <c r="A187" s="28" t="str">
        <f aca="false">IF($C187="","",COUNTA($C$6:$C187))</f>
        <v/>
      </c>
      <c r="B187" s="29"/>
      <c r="C187" s="30"/>
      <c r="D187" s="29"/>
      <c r="E187" s="31" t="str">
        <f aca="false">IF($C187="","",IF(NOT(OR(M187="Completed",M187="NA",M187="Cancelled")),"S1 Schematic",IF(NOT(OR(Q187="Completed",Q187="NA",Q187="Cancelled")),"S2 PCB Layout",IF(NOT(OR(U187="Completed",U187="NA",U187="Cancelled")),"S3 SI &amp; PI",IF(NOT(OR(Y187="Completed",Y187="NA",Y187="Cancelled")),"S4 Bare-PCB Fab",IF(NOT(OR(AC187="Completed",AC187="NA",AC187="Cancelled")),"S5 Assembly",IF(NOT(OR(AG187="Completed",AG187="NA",AG187="Cancelled")),"S6 Bring-up",IF(NOT(OR(AK187="Completed",AK187="NA",AK187="Cancelled")),"S7 BOM Procurement","All Stages Closed"))))))))</f>
        <v/>
      </c>
      <c r="F187" s="32" t="str">
        <f aca="false">IF($C187="","",IF(COUNTIF(M187,"Cancelled")+COUNTIF(Q187,"Cancelled")+COUNTIF(U187,"Cancelled")+COUNTIF(Y187,"Cancelled")+COUNTIF(AC187,"Cancelled")+COUNTIF(AG187,"Cancelled")+COUNTIF(AK187,"Cancelled")&gt;0,"Cancelled",IF(E187="All Stages Closed","Completed",IF(E187="S1 Schematic",M187,IF(E187="S2 PCB Layout",Q187,IF(E187="S3 SI &amp; PI",U187,IF(E187="S4 Bare-PCB Fab",Y187,IF(E187="S5 Assembly",AC187,IF(E187="S6 Bring-up",AG187,AK187)))))))))</f>
        <v/>
      </c>
      <c r="G187" s="33" t="str">
        <f aca="false">IF($C187="","",IF(E187="All Stages Closed","",IF(E187="S1 Schematic",IF(N187="","Not added",N187),IF(E187="S2 PCB Layout",IF(R187="","Not added",R187),IF(E187="S3 SI &amp; PI",IF(V187="","Not added",V187),IF(E187="S4 Bare-PCB Fab",IF(Z187="","Not added",Z187),IF(E187="S5 Assembly",IF(AD187="","Not added",AD187),IF(E187="S6 Bring-up",IF(AH187="","Not added",AH187),IF(AL187="","Not added",AL187)))))))))</f>
        <v/>
      </c>
      <c r="H187" s="32" t="str">
        <f aca="true">IF($C187="","",IF(OR(F187="Completed",F187="Cancelled"),"",IF(NOT(ISNUMBER(G187)),"No date set",IF(TODAY()&gt;G187,TODAY()-G187&amp;" days late",G187-TODAY()&amp;" days left"))))</f>
        <v/>
      </c>
      <c r="I187" s="31" t="str">
        <f aca="false">IF($C187="","",COUNTIF(M187,"Completed")+COUNTIF(Q187,"Completed")+COUNTIF(U187,"Completed")+COUNTIF(Y187,"Completed")+COUNTIF(AC187,"Completed")+COUNTIF(AG187,"Completed")+COUNTIF(AK187,"Completed"))</f>
        <v/>
      </c>
      <c r="J187" s="31" t="str">
        <f aca="false">IF($C187="","",7-(COUNTIF(M187,"NA")+COUNTIF(Q187,"NA")+COUNTIF(U187,"NA")+COUNTIF(Y187,"NA")+COUNTIF(AC187,"NA")+COUNTIF(AG187,"NA")+COUNTIF(AK187,"NA")))</f>
        <v/>
      </c>
      <c r="K187" s="34" t="str">
        <f aca="false">IFERROR(I187/J187,"")</f>
        <v/>
      </c>
      <c r="L187" s="29"/>
      <c r="M187" s="35"/>
      <c r="N187" s="36"/>
      <c r="O187" s="36"/>
      <c r="P187" s="29"/>
      <c r="Q187" s="35"/>
      <c r="R187" s="36"/>
      <c r="S187" s="36"/>
      <c r="T187" s="29"/>
      <c r="U187" s="35"/>
      <c r="V187" s="36"/>
      <c r="W187" s="36"/>
      <c r="X187" s="29"/>
      <c r="Y187" s="35"/>
      <c r="Z187" s="36"/>
      <c r="AA187" s="36"/>
      <c r="AB187" s="29"/>
      <c r="AC187" s="35"/>
      <c r="AD187" s="36"/>
      <c r="AE187" s="36"/>
      <c r="AF187" s="29"/>
      <c r="AG187" s="35"/>
      <c r="AH187" s="36"/>
      <c r="AI187" s="36"/>
      <c r="AJ187" s="29"/>
      <c r="AK187" s="35"/>
      <c r="AL187" s="36"/>
      <c r="AM187" s="36"/>
      <c r="AN187" s="29"/>
      <c r="AO187" s="29"/>
      <c r="AP187" s="29"/>
      <c r="AQ187" s="37"/>
      <c r="AR187" s="39" t="str">
        <f aca="false">IF(AN187&lt;&gt;"Yes","",IF(AO187="","SELECT RE-ENTRY STAGE","MOVE TO ACTIVE at "&amp;AO187))</f>
        <v/>
      </c>
      <c r="AS187" s="40" t="str">
        <f aca="false">IF(AN187="Yes",COUNTIF($AN$6:AN187,"Yes"),"")</f>
        <v/>
      </c>
      <c r="AT187" s="29"/>
      <c r="AU187" s="38" t="str">
        <f aca="false">IF($C187="","",IF(OR(F187="Completed",F187="Cancelled"),"",IF(AND(OR(F187="On Hold",ISNUMBER(VALUE(LEFT(H187,2)))),AT187=""),"Reason not given","")))</f>
        <v/>
      </c>
      <c r="AV187" s="30"/>
      <c r="AW187" s="30"/>
    </row>
    <row r="188" customFormat="false" ht="19.5" hidden="false" customHeight="true" outlineLevel="0" collapsed="false">
      <c r="A188" s="28" t="str">
        <f aca="false">IF($C188="","",COUNTA($C$6:$C188))</f>
        <v/>
      </c>
      <c r="B188" s="29"/>
      <c r="C188" s="30"/>
      <c r="D188" s="29"/>
      <c r="E188" s="31" t="str">
        <f aca="false">IF($C188="","",IF(NOT(OR(M188="Completed",M188="NA",M188="Cancelled")),"S1 Schematic",IF(NOT(OR(Q188="Completed",Q188="NA",Q188="Cancelled")),"S2 PCB Layout",IF(NOT(OR(U188="Completed",U188="NA",U188="Cancelled")),"S3 SI &amp; PI",IF(NOT(OR(Y188="Completed",Y188="NA",Y188="Cancelled")),"S4 Bare-PCB Fab",IF(NOT(OR(AC188="Completed",AC188="NA",AC188="Cancelled")),"S5 Assembly",IF(NOT(OR(AG188="Completed",AG188="NA",AG188="Cancelled")),"S6 Bring-up",IF(NOT(OR(AK188="Completed",AK188="NA",AK188="Cancelled")),"S7 BOM Procurement","All Stages Closed"))))))))</f>
        <v/>
      </c>
      <c r="F188" s="32" t="str">
        <f aca="false">IF($C188="","",IF(COUNTIF(M188,"Cancelled")+COUNTIF(Q188,"Cancelled")+COUNTIF(U188,"Cancelled")+COUNTIF(Y188,"Cancelled")+COUNTIF(AC188,"Cancelled")+COUNTIF(AG188,"Cancelled")+COUNTIF(AK188,"Cancelled")&gt;0,"Cancelled",IF(E188="All Stages Closed","Completed",IF(E188="S1 Schematic",M188,IF(E188="S2 PCB Layout",Q188,IF(E188="S3 SI &amp; PI",U188,IF(E188="S4 Bare-PCB Fab",Y188,IF(E188="S5 Assembly",AC188,IF(E188="S6 Bring-up",AG188,AK188)))))))))</f>
        <v/>
      </c>
      <c r="G188" s="33" t="str">
        <f aca="false">IF($C188="","",IF(E188="All Stages Closed","",IF(E188="S1 Schematic",IF(N188="","Not added",N188),IF(E188="S2 PCB Layout",IF(R188="","Not added",R188),IF(E188="S3 SI &amp; PI",IF(V188="","Not added",V188),IF(E188="S4 Bare-PCB Fab",IF(Z188="","Not added",Z188),IF(E188="S5 Assembly",IF(AD188="","Not added",AD188),IF(E188="S6 Bring-up",IF(AH188="","Not added",AH188),IF(AL188="","Not added",AL188)))))))))</f>
        <v/>
      </c>
      <c r="H188" s="32" t="str">
        <f aca="true">IF($C188="","",IF(OR(F188="Completed",F188="Cancelled"),"",IF(NOT(ISNUMBER(G188)),"No date set",IF(TODAY()&gt;G188,TODAY()-G188&amp;" days late",G188-TODAY()&amp;" days left"))))</f>
        <v/>
      </c>
      <c r="I188" s="31" t="str">
        <f aca="false">IF($C188="","",COUNTIF(M188,"Completed")+COUNTIF(Q188,"Completed")+COUNTIF(U188,"Completed")+COUNTIF(Y188,"Completed")+COUNTIF(AC188,"Completed")+COUNTIF(AG188,"Completed")+COUNTIF(AK188,"Completed"))</f>
        <v/>
      </c>
      <c r="J188" s="31" t="str">
        <f aca="false">IF($C188="","",7-(COUNTIF(M188,"NA")+COUNTIF(Q188,"NA")+COUNTIF(U188,"NA")+COUNTIF(Y188,"NA")+COUNTIF(AC188,"NA")+COUNTIF(AG188,"NA")+COUNTIF(AK188,"NA")))</f>
        <v/>
      </c>
      <c r="K188" s="34" t="str">
        <f aca="false">IFERROR(I188/J188,"")</f>
        <v/>
      </c>
      <c r="L188" s="29"/>
      <c r="M188" s="35"/>
      <c r="N188" s="36"/>
      <c r="O188" s="36"/>
      <c r="P188" s="29"/>
      <c r="Q188" s="35"/>
      <c r="R188" s="36"/>
      <c r="S188" s="36"/>
      <c r="T188" s="29"/>
      <c r="U188" s="35"/>
      <c r="V188" s="36"/>
      <c r="W188" s="36"/>
      <c r="X188" s="29"/>
      <c r="Y188" s="35"/>
      <c r="Z188" s="36"/>
      <c r="AA188" s="36"/>
      <c r="AB188" s="29"/>
      <c r="AC188" s="35"/>
      <c r="AD188" s="36"/>
      <c r="AE188" s="36"/>
      <c r="AF188" s="29"/>
      <c r="AG188" s="35"/>
      <c r="AH188" s="36"/>
      <c r="AI188" s="36"/>
      <c r="AJ188" s="29"/>
      <c r="AK188" s="35"/>
      <c r="AL188" s="36"/>
      <c r="AM188" s="36"/>
      <c r="AN188" s="29"/>
      <c r="AO188" s="29"/>
      <c r="AP188" s="29"/>
      <c r="AQ188" s="37"/>
      <c r="AR188" s="39" t="str">
        <f aca="false">IF(AN188&lt;&gt;"Yes","",IF(AO188="","SELECT RE-ENTRY STAGE","MOVE TO ACTIVE at "&amp;AO188))</f>
        <v/>
      </c>
      <c r="AS188" s="40" t="str">
        <f aca="false">IF(AN188="Yes",COUNTIF($AN$6:AN188,"Yes"),"")</f>
        <v/>
      </c>
      <c r="AT188" s="29"/>
      <c r="AU188" s="38" t="str">
        <f aca="false">IF($C188="","",IF(OR(F188="Completed",F188="Cancelled"),"",IF(AND(OR(F188="On Hold",ISNUMBER(VALUE(LEFT(H188,2)))),AT188=""),"Reason not given","")))</f>
        <v/>
      </c>
      <c r="AV188" s="30"/>
      <c r="AW188" s="30"/>
    </row>
    <row r="189" customFormat="false" ht="19.5" hidden="false" customHeight="true" outlineLevel="0" collapsed="false">
      <c r="A189" s="28" t="str">
        <f aca="false">IF($C189="","",COUNTA($C$6:$C189))</f>
        <v/>
      </c>
      <c r="B189" s="29"/>
      <c r="C189" s="30"/>
      <c r="D189" s="29"/>
      <c r="E189" s="31" t="str">
        <f aca="false">IF($C189="","",IF(NOT(OR(M189="Completed",M189="NA",M189="Cancelled")),"S1 Schematic",IF(NOT(OR(Q189="Completed",Q189="NA",Q189="Cancelled")),"S2 PCB Layout",IF(NOT(OR(U189="Completed",U189="NA",U189="Cancelled")),"S3 SI &amp; PI",IF(NOT(OR(Y189="Completed",Y189="NA",Y189="Cancelled")),"S4 Bare-PCB Fab",IF(NOT(OR(AC189="Completed",AC189="NA",AC189="Cancelled")),"S5 Assembly",IF(NOT(OR(AG189="Completed",AG189="NA",AG189="Cancelled")),"S6 Bring-up",IF(NOT(OR(AK189="Completed",AK189="NA",AK189="Cancelled")),"S7 BOM Procurement","All Stages Closed"))))))))</f>
        <v/>
      </c>
      <c r="F189" s="32" t="str">
        <f aca="false">IF($C189="","",IF(COUNTIF(M189,"Cancelled")+COUNTIF(Q189,"Cancelled")+COUNTIF(U189,"Cancelled")+COUNTIF(Y189,"Cancelled")+COUNTIF(AC189,"Cancelled")+COUNTIF(AG189,"Cancelled")+COUNTIF(AK189,"Cancelled")&gt;0,"Cancelled",IF(E189="All Stages Closed","Completed",IF(E189="S1 Schematic",M189,IF(E189="S2 PCB Layout",Q189,IF(E189="S3 SI &amp; PI",U189,IF(E189="S4 Bare-PCB Fab",Y189,IF(E189="S5 Assembly",AC189,IF(E189="S6 Bring-up",AG189,AK189)))))))))</f>
        <v/>
      </c>
      <c r="G189" s="33" t="str">
        <f aca="false">IF($C189="","",IF(E189="All Stages Closed","",IF(E189="S1 Schematic",IF(N189="","Not added",N189),IF(E189="S2 PCB Layout",IF(R189="","Not added",R189),IF(E189="S3 SI &amp; PI",IF(V189="","Not added",V189),IF(E189="S4 Bare-PCB Fab",IF(Z189="","Not added",Z189),IF(E189="S5 Assembly",IF(AD189="","Not added",AD189),IF(E189="S6 Bring-up",IF(AH189="","Not added",AH189),IF(AL189="","Not added",AL189)))))))))</f>
        <v/>
      </c>
      <c r="H189" s="32" t="str">
        <f aca="true">IF($C189="","",IF(OR(F189="Completed",F189="Cancelled"),"",IF(NOT(ISNUMBER(G189)),"No date set",IF(TODAY()&gt;G189,TODAY()-G189&amp;" days late",G189-TODAY()&amp;" days left"))))</f>
        <v/>
      </c>
      <c r="I189" s="31" t="str">
        <f aca="false">IF($C189="","",COUNTIF(M189,"Completed")+COUNTIF(Q189,"Completed")+COUNTIF(U189,"Completed")+COUNTIF(Y189,"Completed")+COUNTIF(AC189,"Completed")+COUNTIF(AG189,"Completed")+COUNTIF(AK189,"Completed"))</f>
        <v/>
      </c>
      <c r="J189" s="31" t="str">
        <f aca="false">IF($C189="","",7-(COUNTIF(M189,"NA")+COUNTIF(Q189,"NA")+COUNTIF(U189,"NA")+COUNTIF(Y189,"NA")+COUNTIF(AC189,"NA")+COUNTIF(AG189,"NA")+COUNTIF(AK189,"NA")))</f>
        <v/>
      </c>
      <c r="K189" s="34" t="str">
        <f aca="false">IFERROR(I189/J189,"")</f>
        <v/>
      </c>
      <c r="L189" s="29"/>
      <c r="M189" s="35"/>
      <c r="N189" s="36"/>
      <c r="O189" s="36"/>
      <c r="P189" s="29"/>
      <c r="Q189" s="35"/>
      <c r="R189" s="36"/>
      <c r="S189" s="36"/>
      <c r="T189" s="29"/>
      <c r="U189" s="35"/>
      <c r="V189" s="36"/>
      <c r="W189" s="36"/>
      <c r="X189" s="29"/>
      <c r="Y189" s="35"/>
      <c r="Z189" s="36"/>
      <c r="AA189" s="36"/>
      <c r="AB189" s="29"/>
      <c r="AC189" s="35"/>
      <c r="AD189" s="36"/>
      <c r="AE189" s="36"/>
      <c r="AF189" s="29"/>
      <c r="AG189" s="35"/>
      <c r="AH189" s="36"/>
      <c r="AI189" s="36"/>
      <c r="AJ189" s="29"/>
      <c r="AK189" s="35"/>
      <c r="AL189" s="36"/>
      <c r="AM189" s="36"/>
      <c r="AN189" s="29"/>
      <c r="AO189" s="29"/>
      <c r="AP189" s="29"/>
      <c r="AQ189" s="37"/>
      <c r="AR189" s="39" t="str">
        <f aca="false">IF(AN189&lt;&gt;"Yes","",IF(AO189="","SELECT RE-ENTRY STAGE","MOVE TO ACTIVE at "&amp;AO189))</f>
        <v/>
      </c>
      <c r="AS189" s="40" t="str">
        <f aca="false">IF(AN189="Yes",COUNTIF($AN$6:AN189,"Yes"),"")</f>
        <v/>
      </c>
      <c r="AT189" s="29"/>
      <c r="AU189" s="38" t="str">
        <f aca="false">IF($C189="","",IF(OR(F189="Completed",F189="Cancelled"),"",IF(AND(OR(F189="On Hold",ISNUMBER(VALUE(LEFT(H189,2)))),AT189=""),"Reason not given","")))</f>
        <v/>
      </c>
      <c r="AV189" s="30"/>
      <c r="AW189" s="30"/>
    </row>
    <row r="190" customFormat="false" ht="19.5" hidden="false" customHeight="true" outlineLevel="0" collapsed="false">
      <c r="A190" s="28" t="str">
        <f aca="false">IF($C190="","",COUNTA($C$6:$C190))</f>
        <v/>
      </c>
      <c r="B190" s="29"/>
      <c r="C190" s="30"/>
      <c r="D190" s="29"/>
      <c r="E190" s="31" t="str">
        <f aca="false">IF($C190="","",IF(NOT(OR(M190="Completed",M190="NA",M190="Cancelled")),"S1 Schematic",IF(NOT(OR(Q190="Completed",Q190="NA",Q190="Cancelled")),"S2 PCB Layout",IF(NOT(OR(U190="Completed",U190="NA",U190="Cancelled")),"S3 SI &amp; PI",IF(NOT(OR(Y190="Completed",Y190="NA",Y190="Cancelled")),"S4 Bare-PCB Fab",IF(NOT(OR(AC190="Completed",AC190="NA",AC190="Cancelled")),"S5 Assembly",IF(NOT(OR(AG190="Completed",AG190="NA",AG190="Cancelled")),"S6 Bring-up",IF(NOT(OR(AK190="Completed",AK190="NA",AK190="Cancelled")),"S7 BOM Procurement","All Stages Closed"))))))))</f>
        <v/>
      </c>
      <c r="F190" s="32" t="str">
        <f aca="false">IF($C190="","",IF(COUNTIF(M190,"Cancelled")+COUNTIF(Q190,"Cancelled")+COUNTIF(U190,"Cancelled")+COUNTIF(Y190,"Cancelled")+COUNTIF(AC190,"Cancelled")+COUNTIF(AG190,"Cancelled")+COUNTIF(AK190,"Cancelled")&gt;0,"Cancelled",IF(E190="All Stages Closed","Completed",IF(E190="S1 Schematic",M190,IF(E190="S2 PCB Layout",Q190,IF(E190="S3 SI &amp; PI",U190,IF(E190="S4 Bare-PCB Fab",Y190,IF(E190="S5 Assembly",AC190,IF(E190="S6 Bring-up",AG190,AK190)))))))))</f>
        <v/>
      </c>
      <c r="G190" s="33" t="str">
        <f aca="false">IF($C190="","",IF(E190="All Stages Closed","",IF(E190="S1 Schematic",IF(N190="","Not added",N190),IF(E190="S2 PCB Layout",IF(R190="","Not added",R190),IF(E190="S3 SI &amp; PI",IF(V190="","Not added",V190),IF(E190="S4 Bare-PCB Fab",IF(Z190="","Not added",Z190),IF(E190="S5 Assembly",IF(AD190="","Not added",AD190),IF(E190="S6 Bring-up",IF(AH190="","Not added",AH190),IF(AL190="","Not added",AL190)))))))))</f>
        <v/>
      </c>
      <c r="H190" s="32" t="str">
        <f aca="true">IF($C190="","",IF(OR(F190="Completed",F190="Cancelled"),"",IF(NOT(ISNUMBER(G190)),"No date set",IF(TODAY()&gt;G190,TODAY()-G190&amp;" days late",G190-TODAY()&amp;" days left"))))</f>
        <v/>
      </c>
      <c r="I190" s="31" t="str">
        <f aca="false">IF($C190="","",COUNTIF(M190,"Completed")+COUNTIF(Q190,"Completed")+COUNTIF(U190,"Completed")+COUNTIF(Y190,"Completed")+COUNTIF(AC190,"Completed")+COUNTIF(AG190,"Completed")+COUNTIF(AK190,"Completed"))</f>
        <v/>
      </c>
      <c r="J190" s="31" t="str">
        <f aca="false">IF($C190="","",7-(COUNTIF(M190,"NA")+COUNTIF(Q190,"NA")+COUNTIF(U190,"NA")+COUNTIF(Y190,"NA")+COUNTIF(AC190,"NA")+COUNTIF(AG190,"NA")+COUNTIF(AK190,"NA")))</f>
        <v/>
      </c>
      <c r="K190" s="34" t="str">
        <f aca="false">IFERROR(I190/J190,"")</f>
        <v/>
      </c>
      <c r="L190" s="29"/>
      <c r="M190" s="35"/>
      <c r="N190" s="36"/>
      <c r="O190" s="36"/>
      <c r="P190" s="29"/>
      <c r="Q190" s="35"/>
      <c r="R190" s="36"/>
      <c r="S190" s="36"/>
      <c r="T190" s="29"/>
      <c r="U190" s="35"/>
      <c r="V190" s="36"/>
      <c r="W190" s="36"/>
      <c r="X190" s="29"/>
      <c r="Y190" s="35"/>
      <c r="Z190" s="36"/>
      <c r="AA190" s="36"/>
      <c r="AB190" s="29"/>
      <c r="AC190" s="35"/>
      <c r="AD190" s="36"/>
      <c r="AE190" s="36"/>
      <c r="AF190" s="29"/>
      <c r="AG190" s="35"/>
      <c r="AH190" s="36"/>
      <c r="AI190" s="36"/>
      <c r="AJ190" s="29"/>
      <c r="AK190" s="35"/>
      <c r="AL190" s="36"/>
      <c r="AM190" s="36"/>
      <c r="AN190" s="29"/>
      <c r="AO190" s="29"/>
      <c r="AP190" s="29"/>
      <c r="AQ190" s="37"/>
      <c r="AR190" s="39" t="str">
        <f aca="false">IF(AN190&lt;&gt;"Yes","",IF(AO190="","SELECT RE-ENTRY STAGE","MOVE TO ACTIVE at "&amp;AO190))</f>
        <v/>
      </c>
      <c r="AS190" s="40" t="str">
        <f aca="false">IF(AN190="Yes",COUNTIF($AN$6:AN190,"Yes"),"")</f>
        <v/>
      </c>
      <c r="AT190" s="29"/>
      <c r="AU190" s="38" t="str">
        <f aca="false">IF($C190="","",IF(OR(F190="Completed",F190="Cancelled"),"",IF(AND(OR(F190="On Hold",ISNUMBER(VALUE(LEFT(H190,2)))),AT190=""),"Reason not given","")))</f>
        <v/>
      </c>
      <c r="AV190" s="30"/>
      <c r="AW190" s="30"/>
    </row>
    <row r="191" customFormat="false" ht="19.5" hidden="false" customHeight="true" outlineLevel="0" collapsed="false">
      <c r="A191" s="28" t="str">
        <f aca="false">IF($C191="","",COUNTA($C$6:$C191))</f>
        <v/>
      </c>
      <c r="B191" s="29"/>
      <c r="C191" s="30"/>
      <c r="D191" s="29"/>
      <c r="E191" s="31" t="str">
        <f aca="false">IF($C191="","",IF(NOT(OR(M191="Completed",M191="NA",M191="Cancelled")),"S1 Schematic",IF(NOT(OR(Q191="Completed",Q191="NA",Q191="Cancelled")),"S2 PCB Layout",IF(NOT(OR(U191="Completed",U191="NA",U191="Cancelled")),"S3 SI &amp; PI",IF(NOT(OR(Y191="Completed",Y191="NA",Y191="Cancelled")),"S4 Bare-PCB Fab",IF(NOT(OR(AC191="Completed",AC191="NA",AC191="Cancelled")),"S5 Assembly",IF(NOT(OR(AG191="Completed",AG191="NA",AG191="Cancelled")),"S6 Bring-up",IF(NOT(OR(AK191="Completed",AK191="NA",AK191="Cancelled")),"S7 BOM Procurement","All Stages Closed"))))))))</f>
        <v/>
      </c>
      <c r="F191" s="32" t="str">
        <f aca="false">IF($C191="","",IF(COUNTIF(M191,"Cancelled")+COUNTIF(Q191,"Cancelled")+COUNTIF(U191,"Cancelled")+COUNTIF(Y191,"Cancelled")+COUNTIF(AC191,"Cancelled")+COUNTIF(AG191,"Cancelled")+COUNTIF(AK191,"Cancelled")&gt;0,"Cancelled",IF(E191="All Stages Closed","Completed",IF(E191="S1 Schematic",M191,IF(E191="S2 PCB Layout",Q191,IF(E191="S3 SI &amp; PI",U191,IF(E191="S4 Bare-PCB Fab",Y191,IF(E191="S5 Assembly",AC191,IF(E191="S6 Bring-up",AG191,AK191)))))))))</f>
        <v/>
      </c>
      <c r="G191" s="33" t="str">
        <f aca="false">IF($C191="","",IF(E191="All Stages Closed","",IF(E191="S1 Schematic",IF(N191="","Not added",N191),IF(E191="S2 PCB Layout",IF(R191="","Not added",R191),IF(E191="S3 SI &amp; PI",IF(V191="","Not added",V191),IF(E191="S4 Bare-PCB Fab",IF(Z191="","Not added",Z191),IF(E191="S5 Assembly",IF(AD191="","Not added",AD191),IF(E191="S6 Bring-up",IF(AH191="","Not added",AH191),IF(AL191="","Not added",AL191)))))))))</f>
        <v/>
      </c>
      <c r="H191" s="32" t="str">
        <f aca="true">IF($C191="","",IF(OR(F191="Completed",F191="Cancelled"),"",IF(NOT(ISNUMBER(G191)),"No date set",IF(TODAY()&gt;G191,TODAY()-G191&amp;" days late",G191-TODAY()&amp;" days left"))))</f>
        <v/>
      </c>
      <c r="I191" s="31" t="str">
        <f aca="false">IF($C191="","",COUNTIF(M191,"Completed")+COUNTIF(Q191,"Completed")+COUNTIF(U191,"Completed")+COUNTIF(Y191,"Completed")+COUNTIF(AC191,"Completed")+COUNTIF(AG191,"Completed")+COUNTIF(AK191,"Completed"))</f>
        <v/>
      </c>
      <c r="J191" s="31" t="str">
        <f aca="false">IF($C191="","",7-(COUNTIF(M191,"NA")+COUNTIF(Q191,"NA")+COUNTIF(U191,"NA")+COUNTIF(Y191,"NA")+COUNTIF(AC191,"NA")+COUNTIF(AG191,"NA")+COUNTIF(AK191,"NA")))</f>
        <v/>
      </c>
      <c r="K191" s="34" t="str">
        <f aca="false">IFERROR(I191/J191,"")</f>
        <v/>
      </c>
      <c r="L191" s="29"/>
      <c r="M191" s="35"/>
      <c r="N191" s="36"/>
      <c r="O191" s="36"/>
      <c r="P191" s="29"/>
      <c r="Q191" s="35"/>
      <c r="R191" s="36"/>
      <c r="S191" s="36"/>
      <c r="T191" s="29"/>
      <c r="U191" s="35"/>
      <c r="V191" s="36"/>
      <c r="W191" s="36"/>
      <c r="X191" s="29"/>
      <c r="Y191" s="35"/>
      <c r="Z191" s="36"/>
      <c r="AA191" s="36"/>
      <c r="AB191" s="29"/>
      <c r="AC191" s="35"/>
      <c r="AD191" s="36"/>
      <c r="AE191" s="36"/>
      <c r="AF191" s="29"/>
      <c r="AG191" s="35"/>
      <c r="AH191" s="36"/>
      <c r="AI191" s="36"/>
      <c r="AJ191" s="29"/>
      <c r="AK191" s="35"/>
      <c r="AL191" s="36"/>
      <c r="AM191" s="36"/>
      <c r="AN191" s="29"/>
      <c r="AO191" s="29"/>
      <c r="AP191" s="29"/>
      <c r="AQ191" s="37"/>
      <c r="AR191" s="39" t="str">
        <f aca="false">IF(AN191&lt;&gt;"Yes","",IF(AO191="","SELECT RE-ENTRY STAGE","MOVE TO ACTIVE at "&amp;AO191))</f>
        <v/>
      </c>
      <c r="AS191" s="40" t="str">
        <f aca="false">IF(AN191="Yes",COUNTIF($AN$6:AN191,"Yes"),"")</f>
        <v/>
      </c>
      <c r="AT191" s="29"/>
      <c r="AU191" s="38" t="str">
        <f aca="false">IF($C191="","",IF(OR(F191="Completed",F191="Cancelled"),"",IF(AND(OR(F191="On Hold",ISNUMBER(VALUE(LEFT(H191,2)))),AT191=""),"Reason not given","")))</f>
        <v/>
      </c>
      <c r="AV191" s="30"/>
      <c r="AW191" s="30"/>
    </row>
    <row r="192" customFormat="false" ht="19.5" hidden="false" customHeight="true" outlineLevel="0" collapsed="false">
      <c r="A192" s="28" t="str">
        <f aca="false">IF($C192="","",COUNTA($C$6:$C192))</f>
        <v/>
      </c>
      <c r="B192" s="29"/>
      <c r="C192" s="30"/>
      <c r="D192" s="29"/>
      <c r="E192" s="31" t="str">
        <f aca="false">IF($C192="","",IF(NOT(OR(M192="Completed",M192="NA",M192="Cancelled")),"S1 Schematic",IF(NOT(OR(Q192="Completed",Q192="NA",Q192="Cancelled")),"S2 PCB Layout",IF(NOT(OR(U192="Completed",U192="NA",U192="Cancelled")),"S3 SI &amp; PI",IF(NOT(OR(Y192="Completed",Y192="NA",Y192="Cancelled")),"S4 Bare-PCB Fab",IF(NOT(OR(AC192="Completed",AC192="NA",AC192="Cancelled")),"S5 Assembly",IF(NOT(OR(AG192="Completed",AG192="NA",AG192="Cancelled")),"S6 Bring-up",IF(NOT(OR(AK192="Completed",AK192="NA",AK192="Cancelled")),"S7 BOM Procurement","All Stages Closed"))))))))</f>
        <v/>
      </c>
      <c r="F192" s="32" t="str">
        <f aca="false">IF($C192="","",IF(COUNTIF(M192,"Cancelled")+COUNTIF(Q192,"Cancelled")+COUNTIF(U192,"Cancelled")+COUNTIF(Y192,"Cancelled")+COUNTIF(AC192,"Cancelled")+COUNTIF(AG192,"Cancelled")+COUNTIF(AK192,"Cancelled")&gt;0,"Cancelled",IF(E192="All Stages Closed","Completed",IF(E192="S1 Schematic",M192,IF(E192="S2 PCB Layout",Q192,IF(E192="S3 SI &amp; PI",U192,IF(E192="S4 Bare-PCB Fab",Y192,IF(E192="S5 Assembly",AC192,IF(E192="S6 Bring-up",AG192,AK192)))))))))</f>
        <v/>
      </c>
      <c r="G192" s="33" t="str">
        <f aca="false">IF($C192="","",IF(E192="All Stages Closed","",IF(E192="S1 Schematic",IF(N192="","Not added",N192),IF(E192="S2 PCB Layout",IF(R192="","Not added",R192),IF(E192="S3 SI &amp; PI",IF(V192="","Not added",V192),IF(E192="S4 Bare-PCB Fab",IF(Z192="","Not added",Z192),IF(E192="S5 Assembly",IF(AD192="","Not added",AD192),IF(E192="S6 Bring-up",IF(AH192="","Not added",AH192),IF(AL192="","Not added",AL192)))))))))</f>
        <v/>
      </c>
      <c r="H192" s="32" t="str">
        <f aca="true">IF($C192="","",IF(OR(F192="Completed",F192="Cancelled"),"",IF(NOT(ISNUMBER(G192)),"No date set",IF(TODAY()&gt;G192,TODAY()-G192&amp;" days late",G192-TODAY()&amp;" days left"))))</f>
        <v/>
      </c>
      <c r="I192" s="31" t="str">
        <f aca="false">IF($C192="","",COUNTIF(M192,"Completed")+COUNTIF(Q192,"Completed")+COUNTIF(U192,"Completed")+COUNTIF(Y192,"Completed")+COUNTIF(AC192,"Completed")+COUNTIF(AG192,"Completed")+COUNTIF(AK192,"Completed"))</f>
        <v/>
      </c>
      <c r="J192" s="31" t="str">
        <f aca="false">IF($C192="","",7-(COUNTIF(M192,"NA")+COUNTIF(Q192,"NA")+COUNTIF(U192,"NA")+COUNTIF(Y192,"NA")+COUNTIF(AC192,"NA")+COUNTIF(AG192,"NA")+COUNTIF(AK192,"NA")))</f>
        <v/>
      </c>
      <c r="K192" s="34" t="str">
        <f aca="false">IFERROR(I192/J192,"")</f>
        <v/>
      </c>
      <c r="L192" s="29"/>
      <c r="M192" s="35"/>
      <c r="N192" s="36"/>
      <c r="O192" s="36"/>
      <c r="P192" s="29"/>
      <c r="Q192" s="35"/>
      <c r="R192" s="36"/>
      <c r="S192" s="36"/>
      <c r="T192" s="29"/>
      <c r="U192" s="35"/>
      <c r="V192" s="36"/>
      <c r="W192" s="36"/>
      <c r="X192" s="29"/>
      <c r="Y192" s="35"/>
      <c r="Z192" s="36"/>
      <c r="AA192" s="36"/>
      <c r="AB192" s="29"/>
      <c r="AC192" s="35"/>
      <c r="AD192" s="36"/>
      <c r="AE192" s="36"/>
      <c r="AF192" s="29"/>
      <c r="AG192" s="35"/>
      <c r="AH192" s="36"/>
      <c r="AI192" s="36"/>
      <c r="AJ192" s="29"/>
      <c r="AK192" s="35"/>
      <c r="AL192" s="36"/>
      <c r="AM192" s="36"/>
      <c r="AN192" s="29"/>
      <c r="AO192" s="29"/>
      <c r="AP192" s="29"/>
      <c r="AQ192" s="37"/>
      <c r="AR192" s="39" t="str">
        <f aca="false">IF(AN192&lt;&gt;"Yes","",IF(AO192="","SELECT RE-ENTRY STAGE","MOVE TO ACTIVE at "&amp;AO192))</f>
        <v/>
      </c>
      <c r="AS192" s="40" t="str">
        <f aca="false">IF(AN192="Yes",COUNTIF($AN$6:AN192,"Yes"),"")</f>
        <v/>
      </c>
      <c r="AT192" s="29"/>
      <c r="AU192" s="38" t="str">
        <f aca="false">IF($C192="","",IF(OR(F192="Completed",F192="Cancelled"),"",IF(AND(OR(F192="On Hold",ISNUMBER(VALUE(LEFT(H192,2)))),AT192=""),"Reason not given","")))</f>
        <v/>
      </c>
      <c r="AV192" s="30"/>
      <c r="AW192" s="30"/>
    </row>
    <row r="193" customFormat="false" ht="19.5" hidden="false" customHeight="true" outlineLevel="0" collapsed="false">
      <c r="A193" s="28" t="str">
        <f aca="false">IF($C193="","",COUNTA($C$6:$C193))</f>
        <v/>
      </c>
      <c r="B193" s="29"/>
      <c r="C193" s="30"/>
      <c r="D193" s="29"/>
      <c r="E193" s="31" t="str">
        <f aca="false">IF($C193="","",IF(NOT(OR(M193="Completed",M193="NA",M193="Cancelled")),"S1 Schematic",IF(NOT(OR(Q193="Completed",Q193="NA",Q193="Cancelled")),"S2 PCB Layout",IF(NOT(OR(U193="Completed",U193="NA",U193="Cancelled")),"S3 SI &amp; PI",IF(NOT(OR(Y193="Completed",Y193="NA",Y193="Cancelled")),"S4 Bare-PCB Fab",IF(NOT(OR(AC193="Completed",AC193="NA",AC193="Cancelled")),"S5 Assembly",IF(NOT(OR(AG193="Completed",AG193="NA",AG193="Cancelled")),"S6 Bring-up",IF(NOT(OR(AK193="Completed",AK193="NA",AK193="Cancelled")),"S7 BOM Procurement","All Stages Closed"))))))))</f>
        <v/>
      </c>
      <c r="F193" s="32" t="str">
        <f aca="false">IF($C193="","",IF(COUNTIF(M193,"Cancelled")+COUNTIF(Q193,"Cancelled")+COUNTIF(U193,"Cancelled")+COUNTIF(Y193,"Cancelled")+COUNTIF(AC193,"Cancelled")+COUNTIF(AG193,"Cancelled")+COUNTIF(AK193,"Cancelled")&gt;0,"Cancelled",IF(E193="All Stages Closed","Completed",IF(E193="S1 Schematic",M193,IF(E193="S2 PCB Layout",Q193,IF(E193="S3 SI &amp; PI",U193,IF(E193="S4 Bare-PCB Fab",Y193,IF(E193="S5 Assembly",AC193,IF(E193="S6 Bring-up",AG193,AK193)))))))))</f>
        <v/>
      </c>
      <c r="G193" s="33" t="str">
        <f aca="false">IF($C193="","",IF(E193="All Stages Closed","",IF(E193="S1 Schematic",IF(N193="","Not added",N193),IF(E193="S2 PCB Layout",IF(R193="","Not added",R193),IF(E193="S3 SI &amp; PI",IF(V193="","Not added",V193),IF(E193="S4 Bare-PCB Fab",IF(Z193="","Not added",Z193),IF(E193="S5 Assembly",IF(AD193="","Not added",AD193),IF(E193="S6 Bring-up",IF(AH193="","Not added",AH193),IF(AL193="","Not added",AL193)))))))))</f>
        <v/>
      </c>
      <c r="H193" s="32" t="str">
        <f aca="true">IF($C193="","",IF(OR(F193="Completed",F193="Cancelled"),"",IF(NOT(ISNUMBER(G193)),"No date set",IF(TODAY()&gt;G193,TODAY()-G193&amp;" days late",G193-TODAY()&amp;" days left"))))</f>
        <v/>
      </c>
      <c r="I193" s="31" t="str">
        <f aca="false">IF($C193="","",COUNTIF(M193,"Completed")+COUNTIF(Q193,"Completed")+COUNTIF(U193,"Completed")+COUNTIF(Y193,"Completed")+COUNTIF(AC193,"Completed")+COUNTIF(AG193,"Completed")+COUNTIF(AK193,"Completed"))</f>
        <v/>
      </c>
      <c r="J193" s="31" t="str">
        <f aca="false">IF($C193="","",7-(COUNTIF(M193,"NA")+COUNTIF(Q193,"NA")+COUNTIF(U193,"NA")+COUNTIF(Y193,"NA")+COUNTIF(AC193,"NA")+COUNTIF(AG193,"NA")+COUNTIF(AK193,"NA")))</f>
        <v/>
      </c>
      <c r="K193" s="34" t="str">
        <f aca="false">IFERROR(I193/J193,"")</f>
        <v/>
      </c>
      <c r="L193" s="29"/>
      <c r="M193" s="35"/>
      <c r="N193" s="36"/>
      <c r="O193" s="36"/>
      <c r="P193" s="29"/>
      <c r="Q193" s="35"/>
      <c r="R193" s="36"/>
      <c r="S193" s="36"/>
      <c r="T193" s="29"/>
      <c r="U193" s="35"/>
      <c r="V193" s="36"/>
      <c r="W193" s="36"/>
      <c r="X193" s="29"/>
      <c r="Y193" s="35"/>
      <c r="Z193" s="36"/>
      <c r="AA193" s="36"/>
      <c r="AB193" s="29"/>
      <c r="AC193" s="35"/>
      <c r="AD193" s="36"/>
      <c r="AE193" s="36"/>
      <c r="AF193" s="29"/>
      <c r="AG193" s="35"/>
      <c r="AH193" s="36"/>
      <c r="AI193" s="36"/>
      <c r="AJ193" s="29"/>
      <c r="AK193" s="35"/>
      <c r="AL193" s="36"/>
      <c r="AM193" s="36"/>
      <c r="AN193" s="29"/>
      <c r="AO193" s="29"/>
      <c r="AP193" s="29"/>
      <c r="AQ193" s="37"/>
      <c r="AR193" s="39" t="str">
        <f aca="false">IF(AN193&lt;&gt;"Yes","",IF(AO193="","SELECT RE-ENTRY STAGE","MOVE TO ACTIVE at "&amp;AO193))</f>
        <v/>
      </c>
      <c r="AS193" s="40" t="str">
        <f aca="false">IF(AN193="Yes",COUNTIF($AN$6:AN193,"Yes"),"")</f>
        <v/>
      </c>
      <c r="AT193" s="29"/>
      <c r="AU193" s="38" t="str">
        <f aca="false">IF($C193="","",IF(OR(F193="Completed",F193="Cancelled"),"",IF(AND(OR(F193="On Hold",ISNUMBER(VALUE(LEFT(H193,2)))),AT193=""),"Reason not given","")))</f>
        <v/>
      </c>
      <c r="AV193" s="30"/>
      <c r="AW193" s="30"/>
    </row>
    <row r="194" customFormat="false" ht="19.5" hidden="false" customHeight="true" outlineLevel="0" collapsed="false">
      <c r="A194" s="28" t="str">
        <f aca="false">IF($C194="","",COUNTA($C$6:$C194))</f>
        <v/>
      </c>
      <c r="B194" s="29"/>
      <c r="C194" s="30"/>
      <c r="D194" s="29"/>
      <c r="E194" s="31" t="str">
        <f aca="false">IF($C194="","",IF(NOT(OR(M194="Completed",M194="NA",M194="Cancelled")),"S1 Schematic",IF(NOT(OR(Q194="Completed",Q194="NA",Q194="Cancelled")),"S2 PCB Layout",IF(NOT(OR(U194="Completed",U194="NA",U194="Cancelled")),"S3 SI &amp; PI",IF(NOT(OR(Y194="Completed",Y194="NA",Y194="Cancelled")),"S4 Bare-PCB Fab",IF(NOT(OR(AC194="Completed",AC194="NA",AC194="Cancelled")),"S5 Assembly",IF(NOT(OR(AG194="Completed",AG194="NA",AG194="Cancelled")),"S6 Bring-up",IF(NOT(OR(AK194="Completed",AK194="NA",AK194="Cancelled")),"S7 BOM Procurement","All Stages Closed"))))))))</f>
        <v/>
      </c>
      <c r="F194" s="32" t="str">
        <f aca="false">IF($C194="","",IF(COUNTIF(M194,"Cancelled")+COUNTIF(Q194,"Cancelled")+COUNTIF(U194,"Cancelled")+COUNTIF(Y194,"Cancelled")+COUNTIF(AC194,"Cancelled")+COUNTIF(AG194,"Cancelled")+COUNTIF(AK194,"Cancelled")&gt;0,"Cancelled",IF(E194="All Stages Closed","Completed",IF(E194="S1 Schematic",M194,IF(E194="S2 PCB Layout",Q194,IF(E194="S3 SI &amp; PI",U194,IF(E194="S4 Bare-PCB Fab",Y194,IF(E194="S5 Assembly",AC194,IF(E194="S6 Bring-up",AG194,AK194)))))))))</f>
        <v/>
      </c>
      <c r="G194" s="33" t="str">
        <f aca="false">IF($C194="","",IF(E194="All Stages Closed","",IF(E194="S1 Schematic",IF(N194="","Not added",N194),IF(E194="S2 PCB Layout",IF(R194="","Not added",R194),IF(E194="S3 SI &amp; PI",IF(V194="","Not added",V194),IF(E194="S4 Bare-PCB Fab",IF(Z194="","Not added",Z194),IF(E194="S5 Assembly",IF(AD194="","Not added",AD194),IF(E194="S6 Bring-up",IF(AH194="","Not added",AH194),IF(AL194="","Not added",AL194)))))))))</f>
        <v/>
      </c>
      <c r="H194" s="32" t="str">
        <f aca="true">IF($C194="","",IF(OR(F194="Completed",F194="Cancelled"),"",IF(NOT(ISNUMBER(G194)),"No date set",IF(TODAY()&gt;G194,TODAY()-G194&amp;" days late",G194-TODAY()&amp;" days left"))))</f>
        <v/>
      </c>
      <c r="I194" s="31" t="str">
        <f aca="false">IF($C194="","",COUNTIF(M194,"Completed")+COUNTIF(Q194,"Completed")+COUNTIF(U194,"Completed")+COUNTIF(Y194,"Completed")+COUNTIF(AC194,"Completed")+COUNTIF(AG194,"Completed")+COUNTIF(AK194,"Completed"))</f>
        <v/>
      </c>
      <c r="J194" s="31" t="str">
        <f aca="false">IF($C194="","",7-(COUNTIF(M194,"NA")+COUNTIF(Q194,"NA")+COUNTIF(U194,"NA")+COUNTIF(Y194,"NA")+COUNTIF(AC194,"NA")+COUNTIF(AG194,"NA")+COUNTIF(AK194,"NA")))</f>
        <v/>
      </c>
      <c r="K194" s="34" t="str">
        <f aca="false">IFERROR(I194/J194,"")</f>
        <v/>
      </c>
      <c r="L194" s="29"/>
      <c r="M194" s="35"/>
      <c r="N194" s="36"/>
      <c r="O194" s="36"/>
      <c r="P194" s="29"/>
      <c r="Q194" s="35"/>
      <c r="R194" s="36"/>
      <c r="S194" s="36"/>
      <c r="T194" s="29"/>
      <c r="U194" s="35"/>
      <c r="V194" s="36"/>
      <c r="W194" s="36"/>
      <c r="X194" s="29"/>
      <c r="Y194" s="35"/>
      <c r="Z194" s="36"/>
      <c r="AA194" s="36"/>
      <c r="AB194" s="29"/>
      <c r="AC194" s="35"/>
      <c r="AD194" s="36"/>
      <c r="AE194" s="36"/>
      <c r="AF194" s="29"/>
      <c r="AG194" s="35"/>
      <c r="AH194" s="36"/>
      <c r="AI194" s="36"/>
      <c r="AJ194" s="29"/>
      <c r="AK194" s="35"/>
      <c r="AL194" s="36"/>
      <c r="AM194" s="36"/>
      <c r="AN194" s="29"/>
      <c r="AO194" s="29"/>
      <c r="AP194" s="29"/>
      <c r="AQ194" s="37"/>
      <c r="AR194" s="39" t="str">
        <f aca="false">IF(AN194&lt;&gt;"Yes","",IF(AO194="","SELECT RE-ENTRY STAGE","MOVE TO ACTIVE at "&amp;AO194))</f>
        <v/>
      </c>
      <c r="AS194" s="40" t="str">
        <f aca="false">IF(AN194="Yes",COUNTIF($AN$6:AN194,"Yes"),"")</f>
        <v/>
      </c>
      <c r="AT194" s="29"/>
      <c r="AU194" s="38" t="str">
        <f aca="false">IF($C194="","",IF(OR(F194="Completed",F194="Cancelled"),"",IF(AND(OR(F194="On Hold",ISNUMBER(VALUE(LEFT(H194,2)))),AT194=""),"Reason not given","")))</f>
        <v/>
      </c>
      <c r="AV194" s="30"/>
      <c r="AW194" s="30"/>
    </row>
    <row r="195" customFormat="false" ht="19.5" hidden="false" customHeight="true" outlineLevel="0" collapsed="false">
      <c r="A195" s="28" t="str">
        <f aca="false">IF($C195="","",COUNTA($C$6:$C195))</f>
        <v/>
      </c>
      <c r="B195" s="29"/>
      <c r="C195" s="30"/>
      <c r="D195" s="29"/>
      <c r="E195" s="31" t="str">
        <f aca="false">IF($C195="","",IF(NOT(OR(M195="Completed",M195="NA",M195="Cancelled")),"S1 Schematic",IF(NOT(OR(Q195="Completed",Q195="NA",Q195="Cancelled")),"S2 PCB Layout",IF(NOT(OR(U195="Completed",U195="NA",U195="Cancelled")),"S3 SI &amp; PI",IF(NOT(OR(Y195="Completed",Y195="NA",Y195="Cancelled")),"S4 Bare-PCB Fab",IF(NOT(OR(AC195="Completed",AC195="NA",AC195="Cancelled")),"S5 Assembly",IF(NOT(OR(AG195="Completed",AG195="NA",AG195="Cancelled")),"S6 Bring-up",IF(NOT(OR(AK195="Completed",AK195="NA",AK195="Cancelled")),"S7 BOM Procurement","All Stages Closed"))))))))</f>
        <v/>
      </c>
      <c r="F195" s="32" t="str">
        <f aca="false">IF($C195="","",IF(COUNTIF(M195,"Cancelled")+COUNTIF(Q195,"Cancelled")+COUNTIF(U195,"Cancelled")+COUNTIF(Y195,"Cancelled")+COUNTIF(AC195,"Cancelled")+COUNTIF(AG195,"Cancelled")+COUNTIF(AK195,"Cancelled")&gt;0,"Cancelled",IF(E195="All Stages Closed","Completed",IF(E195="S1 Schematic",M195,IF(E195="S2 PCB Layout",Q195,IF(E195="S3 SI &amp; PI",U195,IF(E195="S4 Bare-PCB Fab",Y195,IF(E195="S5 Assembly",AC195,IF(E195="S6 Bring-up",AG195,AK195)))))))))</f>
        <v/>
      </c>
      <c r="G195" s="33" t="str">
        <f aca="false">IF($C195="","",IF(E195="All Stages Closed","",IF(E195="S1 Schematic",IF(N195="","Not added",N195),IF(E195="S2 PCB Layout",IF(R195="","Not added",R195),IF(E195="S3 SI &amp; PI",IF(V195="","Not added",V195),IF(E195="S4 Bare-PCB Fab",IF(Z195="","Not added",Z195),IF(E195="S5 Assembly",IF(AD195="","Not added",AD195),IF(E195="S6 Bring-up",IF(AH195="","Not added",AH195),IF(AL195="","Not added",AL195)))))))))</f>
        <v/>
      </c>
      <c r="H195" s="32" t="str">
        <f aca="true">IF($C195="","",IF(OR(F195="Completed",F195="Cancelled"),"",IF(NOT(ISNUMBER(G195)),"No date set",IF(TODAY()&gt;G195,TODAY()-G195&amp;" days late",G195-TODAY()&amp;" days left"))))</f>
        <v/>
      </c>
      <c r="I195" s="31" t="str">
        <f aca="false">IF($C195="","",COUNTIF(M195,"Completed")+COUNTIF(Q195,"Completed")+COUNTIF(U195,"Completed")+COUNTIF(Y195,"Completed")+COUNTIF(AC195,"Completed")+COUNTIF(AG195,"Completed")+COUNTIF(AK195,"Completed"))</f>
        <v/>
      </c>
      <c r="J195" s="31" t="str">
        <f aca="false">IF($C195="","",7-(COUNTIF(M195,"NA")+COUNTIF(Q195,"NA")+COUNTIF(U195,"NA")+COUNTIF(Y195,"NA")+COUNTIF(AC195,"NA")+COUNTIF(AG195,"NA")+COUNTIF(AK195,"NA")))</f>
        <v/>
      </c>
      <c r="K195" s="34" t="str">
        <f aca="false">IFERROR(I195/J195,"")</f>
        <v/>
      </c>
      <c r="L195" s="29"/>
      <c r="M195" s="35"/>
      <c r="N195" s="36"/>
      <c r="O195" s="36"/>
      <c r="P195" s="29"/>
      <c r="Q195" s="35"/>
      <c r="R195" s="36"/>
      <c r="S195" s="36"/>
      <c r="T195" s="29"/>
      <c r="U195" s="35"/>
      <c r="V195" s="36"/>
      <c r="W195" s="36"/>
      <c r="X195" s="29"/>
      <c r="Y195" s="35"/>
      <c r="Z195" s="36"/>
      <c r="AA195" s="36"/>
      <c r="AB195" s="29"/>
      <c r="AC195" s="35"/>
      <c r="AD195" s="36"/>
      <c r="AE195" s="36"/>
      <c r="AF195" s="29"/>
      <c r="AG195" s="35"/>
      <c r="AH195" s="36"/>
      <c r="AI195" s="36"/>
      <c r="AJ195" s="29"/>
      <c r="AK195" s="35"/>
      <c r="AL195" s="36"/>
      <c r="AM195" s="36"/>
      <c r="AN195" s="29"/>
      <c r="AO195" s="29"/>
      <c r="AP195" s="29"/>
      <c r="AQ195" s="37"/>
      <c r="AR195" s="39" t="str">
        <f aca="false">IF(AN195&lt;&gt;"Yes","",IF(AO195="","SELECT RE-ENTRY STAGE","MOVE TO ACTIVE at "&amp;AO195))</f>
        <v/>
      </c>
      <c r="AS195" s="40" t="str">
        <f aca="false">IF(AN195="Yes",COUNTIF($AN$6:AN195,"Yes"),"")</f>
        <v/>
      </c>
      <c r="AT195" s="29"/>
      <c r="AU195" s="38" t="str">
        <f aca="false">IF($C195="","",IF(OR(F195="Completed",F195="Cancelled"),"",IF(AND(OR(F195="On Hold",ISNUMBER(VALUE(LEFT(H195,2)))),AT195=""),"Reason not given","")))</f>
        <v/>
      </c>
      <c r="AV195" s="30"/>
      <c r="AW195" s="30"/>
    </row>
    <row r="196" customFormat="false" ht="19.5" hidden="false" customHeight="true" outlineLevel="0" collapsed="false">
      <c r="A196" s="28" t="str">
        <f aca="false">IF($C196="","",COUNTA($C$6:$C196))</f>
        <v/>
      </c>
      <c r="B196" s="29"/>
      <c r="C196" s="30"/>
      <c r="D196" s="29"/>
      <c r="E196" s="31" t="str">
        <f aca="false">IF($C196="","",IF(NOT(OR(M196="Completed",M196="NA",M196="Cancelled")),"S1 Schematic",IF(NOT(OR(Q196="Completed",Q196="NA",Q196="Cancelled")),"S2 PCB Layout",IF(NOT(OR(U196="Completed",U196="NA",U196="Cancelled")),"S3 SI &amp; PI",IF(NOT(OR(Y196="Completed",Y196="NA",Y196="Cancelled")),"S4 Bare-PCB Fab",IF(NOT(OR(AC196="Completed",AC196="NA",AC196="Cancelled")),"S5 Assembly",IF(NOT(OR(AG196="Completed",AG196="NA",AG196="Cancelled")),"S6 Bring-up",IF(NOT(OR(AK196="Completed",AK196="NA",AK196="Cancelled")),"S7 BOM Procurement","All Stages Closed"))))))))</f>
        <v/>
      </c>
      <c r="F196" s="32" t="str">
        <f aca="false">IF($C196="","",IF(COUNTIF(M196,"Cancelled")+COUNTIF(Q196,"Cancelled")+COUNTIF(U196,"Cancelled")+COUNTIF(Y196,"Cancelled")+COUNTIF(AC196,"Cancelled")+COUNTIF(AG196,"Cancelled")+COUNTIF(AK196,"Cancelled")&gt;0,"Cancelled",IF(E196="All Stages Closed","Completed",IF(E196="S1 Schematic",M196,IF(E196="S2 PCB Layout",Q196,IF(E196="S3 SI &amp; PI",U196,IF(E196="S4 Bare-PCB Fab",Y196,IF(E196="S5 Assembly",AC196,IF(E196="S6 Bring-up",AG196,AK196)))))))))</f>
        <v/>
      </c>
      <c r="G196" s="33" t="str">
        <f aca="false">IF($C196="","",IF(E196="All Stages Closed","",IF(E196="S1 Schematic",IF(N196="","Not added",N196),IF(E196="S2 PCB Layout",IF(R196="","Not added",R196),IF(E196="S3 SI &amp; PI",IF(V196="","Not added",V196),IF(E196="S4 Bare-PCB Fab",IF(Z196="","Not added",Z196),IF(E196="S5 Assembly",IF(AD196="","Not added",AD196),IF(E196="S6 Bring-up",IF(AH196="","Not added",AH196),IF(AL196="","Not added",AL196)))))))))</f>
        <v/>
      </c>
      <c r="H196" s="32" t="str">
        <f aca="true">IF($C196="","",IF(OR(F196="Completed",F196="Cancelled"),"",IF(NOT(ISNUMBER(G196)),"No date set",IF(TODAY()&gt;G196,TODAY()-G196&amp;" days late",G196-TODAY()&amp;" days left"))))</f>
        <v/>
      </c>
      <c r="I196" s="31" t="str">
        <f aca="false">IF($C196="","",COUNTIF(M196,"Completed")+COUNTIF(Q196,"Completed")+COUNTIF(U196,"Completed")+COUNTIF(Y196,"Completed")+COUNTIF(AC196,"Completed")+COUNTIF(AG196,"Completed")+COUNTIF(AK196,"Completed"))</f>
        <v/>
      </c>
      <c r="J196" s="31" t="str">
        <f aca="false">IF($C196="","",7-(COUNTIF(M196,"NA")+COUNTIF(Q196,"NA")+COUNTIF(U196,"NA")+COUNTIF(Y196,"NA")+COUNTIF(AC196,"NA")+COUNTIF(AG196,"NA")+COUNTIF(AK196,"NA")))</f>
        <v/>
      </c>
      <c r="K196" s="34" t="str">
        <f aca="false">IFERROR(I196/J196,"")</f>
        <v/>
      </c>
      <c r="L196" s="29"/>
      <c r="M196" s="35"/>
      <c r="N196" s="36"/>
      <c r="O196" s="36"/>
      <c r="P196" s="29"/>
      <c r="Q196" s="35"/>
      <c r="R196" s="36"/>
      <c r="S196" s="36"/>
      <c r="T196" s="29"/>
      <c r="U196" s="35"/>
      <c r="V196" s="36"/>
      <c r="W196" s="36"/>
      <c r="X196" s="29"/>
      <c r="Y196" s="35"/>
      <c r="Z196" s="36"/>
      <c r="AA196" s="36"/>
      <c r="AB196" s="29"/>
      <c r="AC196" s="35"/>
      <c r="AD196" s="36"/>
      <c r="AE196" s="36"/>
      <c r="AF196" s="29"/>
      <c r="AG196" s="35"/>
      <c r="AH196" s="36"/>
      <c r="AI196" s="36"/>
      <c r="AJ196" s="29"/>
      <c r="AK196" s="35"/>
      <c r="AL196" s="36"/>
      <c r="AM196" s="36"/>
      <c r="AN196" s="29"/>
      <c r="AO196" s="29"/>
      <c r="AP196" s="29"/>
      <c r="AQ196" s="37"/>
      <c r="AR196" s="39" t="str">
        <f aca="false">IF(AN196&lt;&gt;"Yes","",IF(AO196="","SELECT RE-ENTRY STAGE","MOVE TO ACTIVE at "&amp;AO196))</f>
        <v/>
      </c>
      <c r="AS196" s="40" t="str">
        <f aca="false">IF(AN196="Yes",COUNTIF($AN$6:AN196,"Yes"),"")</f>
        <v/>
      </c>
      <c r="AT196" s="29"/>
      <c r="AU196" s="38" t="str">
        <f aca="false">IF($C196="","",IF(OR(F196="Completed",F196="Cancelled"),"",IF(AND(OR(F196="On Hold",ISNUMBER(VALUE(LEFT(H196,2)))),AT196=""),"Reason not given","")))</f>
        <v/>
      </c>
      <c r="AV196" s="30"/>
      <c r="AW196" s="30"/>
    </row>
    <row r="197" customFormat="false" ht="19.5" hidden="false" customHeight="true" outlineLevel="0" collapsed="false">
      <c r="A197" s="28" t="str">
        <f aca="false">IF($C197="","",COUNTA($C$6:$C197))</f>
        <v/>
      </c>
      <c r="B197" s="29"/>
      <c r="C197" s="30"/>
      <c r="D197" s="29"/>
      <c r="E197" s="31" t="str">
        <f aca="false">IF($C197="","",IF(NOT(OR(M197="Completed",M197="NA",M197="Cancelled")),"S1 Schematic",IF(NOT(OR(Q197="Completed",Q197="NA",Q197="Cancelled")),"S2 PCB Layout",IF(NOT(OR(U197="Completed",U197="NA",U197="Cancelled")),"S3 SI &amp; PI",IF(NOT(OR(Y197="Completed",Y197="NA",Y197="Cancelled")),"S4 Bare-PCB Fab",IF(NOT(OR(AC197="Completed",AC197="NA",AC197="Cancelled")),"S5 Assembly",IF(NOT(OR(AG197="Completed",AG197="NA",AG197="Cancelled")),"S6 Bring-up",IF(NOT(OR(AK197="Completed",AK197="NA",AK197="Cancelled")),"S7 BOM Procurement","All Stages Closed"))))))))</f>
        <v/>
      </c>
      <c r="F197" s="32" t="str">
        <f aca="false">IF($C197="","",IF(COUNTIF(M197,"Cancelled")+COUNTIF(Q197,"Cancelled")+COUNTIF(U197,"Cancelled")+COUNTIF(Y197,"Cancelled")+COUNTIF(AC197,"Cancelled")+COUNTIF(AG197,"Cancelled")+COUNTIF(AK197,"Cancelled")&gt;0,"Cancelled",IF(E197="All Stages Closed","Completed",IF(E197="S1 Schematic",M197,IF(E197="S2 PCB Layout",Q197,IF(E197="S3 SI &amp; PI",U197,IF(E197="S4 Bare-PCB Fab",Y197,IF(E197="S5 Assembly",AC197,IF(E197="S6 Bring-up",AG197,AK197)))))))))</f>
        <v/>
      </c>
      <c r="G197" s="33" t="str">
        <f aca="false">IF($C197="","",IF(E197="All Stages Closed","",IF(E197="S1 Schematic",IF(N197="","Not added",N197),IF(E197="S2 PCB Layout",IF(R197="","Not added",R197),IF(E197="S3 SI &amp; PI",IF(V197="","Not added",V197),IF(E197="S4 Bare-PCB Fab",IF(Z197="","Not added",Z197),IF(E197="S5 Assembly",IF(AD197="","Not added",AD197),IF(E197="S6 Bring-up",IF(AH197="","Not added",AH197),IF(AL197="","Not added",AL197)))))))))</f>
        <v/>
      </c>
      <c r="H197" s="32" t="str">
        <f aca="true">IF($C197="","",IF(OR(F197="Completed",F197="Cancelled"),"",IF(NOT(ISNUMBER(G197)),"No date set",IF(TODAY()&gt;G197,TODAY()-G197&amp;" days late",G197-TODAY()&amp;" days left"))))</f>
        <v/>
      </c>
      <c r="I197" s="31" t="str">
        <f aca="false">IF($C197="","",COUNTIF(M197,"Completed")+COUNTIF(Q197,"Completed")+COUNTIF(U197,"Completed")+COUNTIF(Y197,"Completed")+COUNTIF(AC197,"Completed")+COUNTIF(AG197,"Completed")+COUNTIF(AK197,"Completed"))</f>
        <v/>
      </c>
      <c r="J197" s="31" t="str">
        <f aca="false">IF($C197="","",7-(COUNTIF(M197,"NA")+COUNTIF(Q197,"NA")+COUNTIF(U197,"NA")+COUNTIF(Y197,"NA")+COUNTIF(AC197,"NA")+COUNTIF(AG197,"NA")+COUNTIF(AK197,"NA")))</f>
        <v/>
      </c>
      <c r="K197" s="34" t="str">
        <f aca="false">IFERROR(I197/J197,"")</f>
        <v/>
      </c>
      <c r="L197" s="29"/>
      <c r="M197" s="35"/>
      <c r="N197" s="36"/>
      <c r="O197" s="36"/>
      <c r="P197" s="29"/>
      <c r="Q197" s="35"/>
      <c r="R197" s="36"/>
      <c r="S197" s="36"/>
      <c r="T197" s="29"/>
      <c r="U197" s="35"/>
      <c r="V197" s="36"/>
      <c r="W197" s="36"/>
      <c r="X197" s="29"/>
      <c r="Y197" s="35"/>
      <c r="Z197" s="36"/>
      <c r="AA197" s="36"/>
      <c r="AB197" s="29"/>
      <c r="AC197" s="35"/>
      <c r="AD197" s="36"/>
      <c r="AE197" s="36"/>
      <c r="AF197" s="29"/>
      <c r="AG197" s="35"/>
      <c r="AH197" s="36"/>
      <c r="AI197" s="36"/>
      <c r="AJ197" s="29"/>
      <c r="AK197" s="35"/>
      <c r="AL197" s="36"/>
      <c r="AM197" s="36"/>
      <c r="AN197" s="29"/>
      <c r="AO197" s="29"/>
      <c r="AP197" s="29"/>
      <c r="AQ197" s="37"/>
      <c r="AR197" s="39" t="str">
        <f aca="false">IF(AN197&lt;&gt;"Yes","",IF(AO197="","SELECT RE-ENTRY STAGE","MOVE TO ACTIVE at "&amp;AO197))</f>
        <v/>
      </c>
      <c r="AS197" s="40" t="str">
        <f aca="false">IF(AN197="Yes",COUNTIF($AN$6:AN197,"Yes"),"")</f>
        <v/>
      </c>
      <c r="AT197" s="29"/>
      <c r="AU197" s="38" t="str">
        <f aca="false">IF($C197="","",IF(OR(F197="Completed",F197="Cancelled"),"",IF(AND(OR(F197="On Hold",ISNUMBER(VALUE(LEFT(H197,2)))),AT197=""),"Reason not given","")))</f>
        <v/>
      </c>
      <c r="AV197" s="30"/>
      <c r="AW197" s="30"/>
    </row>
    <row r="198" customFormat="false" ht="19.5" hidden="false" customHeight="true" outlineLevel="0" collapsed="false">
      <c r="A198" s="28" t="str">
        <f aca="false">IF($C198="","",COUNTA($C$6:$C198))</f>
        <v/>
      </c>
      <c r="B198" s="29"/>
      <c r="C198" s="30"/>
      <c r="D198" s="29"/>
      <c r="E198" s="31" t="str">
        <f aca="false">IF($C198="","",IF(NOT(OR(M198="Completed",M198="NA",M198="Cancelled")),"S1 Schematic",IF(NOT(OR(Q198="Completed",Q198="NA",Q198="Cancelled")),"S2 PCB Layout",IF(NOT(OR(U198="Completed",U198="NA",U198="Cancelled")),"S3 SI &amp; PI",IF(NOT(OR(Y198="Completed",Y198="NA",Y198="Cancelled")),"S4 Bare-PCB Fab",IF(NOT(OR(AC198="Completed",AC198="NA",AC198="Cancelled")),"S5 Assembly",IF(NOT(OR(AG198="Completed",AG198="NA",AG198="Cancelled")),"S6 Bring-up",IF(NOT(OR(AK198="Completed",AK198="NA",AK198="Cancelled")),"S7 BOM Procurement","All Stages Closed"))))))))</f>
        <v/>
      </c>
      <c r="F198" s="32" t="str">
        <f aca="false">IF($C198="","",IF(COUNTIF(M198,"Cancelled")+COUNTIF(Q198,"Cancelled")+COUNTIF(U198,"Cancelled")+COUNTIF(Y198,"Cancelled")+COUNTIF(AC198,"Cancelled")+COUNTIF(AG198,"Cancelled")+COUNTIF(AK198,"Cancelled")&gt;0,"Cancelled",IF(E198="All Stages Closed","Completed",IF(E198="S1 Schematic",M198,IF(E198="S2 PCB Layout",Q198,IF(E198="S3 SI &amp; PI",U198,IF(E198="S4 Bare-PCB Fab",Y198,IF(E198="S5 Assembly",AC198,IF(E198="S6 Bring-up",AG198,AK198)))))))))</f>
        <v/>
      </c>
      <c r="G198" s="33" t="str">
        <f aca="false">IF($C198="","",IF(E198="All Stages Closed","",IF(E198="S1 Schematic",IF(N198="","Not added",N198),IF(E198="S2 PCB Layout",IF(R198="","Not added",R198),IF(E198="S3 SI &amp; PI",IF(V198="","Not added",V198),IF(E198="S4 Bare-PCB Fab",IF(Z198="","Not added",Z198),IF(E198="S5 Assembly",IF(AD198="","Not added",AD198),IF(E198="S6 Bring-up",IF(AH198="","Not added",AH198),IF(AL198="","Not added",AL198)))))))))</f>
        <v/>
      </c>
      <c r="H198" s="32" t="str">
        <f aca="true">IF($C198="","",IF(OR(F198="Completed",F198="Cancelled"),"",IF(NOT(ISNUMBER(G198)),"No date set",IF(TODAY()&gt;G198,TODAY()-G198&amp;" days late",G198-TODAY()&amp;" days left"))))</f>
        <v/>
      </c>
      <c r="I198" s="31" t="str">
        <f aca="false">IF($C198="","",COUNTIF(M198,"Completed")+COUNTIF(Q198,"Completed")+COUNTIF(U198,"Completed")+COUNTIF(Y198,"Completed")+COUNTIF(AC198,"Completed")+COUNTIF(AG198,"Completed")+COUNTIF(AK198,"Completed"))</f>
        <v/>
      </c>
      <c r="J198" s="31" t="str">
        <f aca="false">IF($C198="","",7-(COUNTIF(M198,"NA")+COUNTIF(Q198,"NA")+COUNTIF(U198,"NA")+COUNTIF(Y198,"NA")+COUNTIF(AC198,"NA")+COUNTIF(AG198,"NA")+COUNTIF(AK198,"NA")))</f>
        <v/>
      </c>
      <c r="K198" s="34" t="str">
        <f aca="false">IFERROR(I198/J198,"")</f>
        <v/>
      </c>
      <c r="L198" s="29"/>
      <c r="M198" s="35"/>
      <c r="N198" s="36"/>
      <c r="O198" s="36"/>
      <c r="P198" s="29"/>
      <c r="Q198" s="35"/>
      <c r="R198" s="36"/>
      <c r="S198" s="36"/>
      <c r="T198" s="29"/>
      <c r="U198" s="35"/>
      <c r="V198" s="36"/>
      <c r="W198" s="36"/>
      <c r="X198" s="29"/>
      <c r="Y198" s="35"/>
      <c r="Z198" s="36"/>
      <c r="AA198" s="36"/>
      <c r="AB198" s="29"/>
      <c r="AC198" s="35"/>
      <c r="AD198" s="36"/>
      <c r="AE198" s="36"/>
      <c r="AF198" s="29"/>
      <c r="AG198" s="35"/>
      <c r="AH198" s="36"/>
      <c r="AI198" s="36"/>
      <c r="AJ198" s="29"/>
      <c r="AK198" s="35"/>
      <c r="AL198" s="36"/>
      <c r="AM198" s="36"/>
      <c r="AN198" s="29"/>
      <c r="AO198" s="29"/>
      <c r="AP198" s="29"/>
      <c r="AQ198" s="37"/>
      <c r="AR198" s="39" t="str">
        <f aca="false">IF(AN198&lt;&gt;"Yes","",IF(AO198="","SELECT RE-ENTRY STAGE","MOVE TO ACTIVE at "&amp;AO198))</f>
        <v/>
      </c>
      <c r="AS198" s="40" t="str">
        <f aca="false">IF(AN198="Yes",COUNTIF($AN$6:AN198,"Yes"),"")</f>
        <v/>
      </c>
      <c r="AT198" s="29"/>
      <c r="AU198" s="38" t="str">
        <f aca="false">IF($C198="","",IF(OR(F198="Completed",F198="Cancelled"),"",IF(AND(OR(F198="On Hold",ISNUMBER(VALUE(LEFT(H198,2)))),AT198=""),"Reason not given","")))</f>
        <v/>
      </c>
      <c r="AV198" s="30"/>
      <c r="AW198" s="30"/>
    </row>
    <row r="199" customFormat="false" ht="19.5" hidden="false" customHeight="true" outlineLevel="0" collapsed="false">
      <c r="A199" s="28" t="str">
        <f aca="false">IF($C199="","",COUNTA($C$6:$C199))</f>
        <v/>
      </c>
      <c r="B199" s="29"/>
      <c r="C199" s="30"/>
      <c r="D199" s="29"/>
      <c r="E199" s="31" t="str">
        <f aca="false">IF($C199="","",IF(NOT(OR(M199="Completed",M199="NA",M199="Cancelled")),"S1 Schematic",IF(NOT(OR(Q199="Completed",Q199="NA",Q199="Cancelled")),"S2 PCB Layout",IF(NOT(OR(U199="Completed",U199="NA",U199="Cancelled")),"S3 SI &amp; PI",IF(NOT(OR(Y199="Completed",Y199="NA",Y199="Cancelled")),"S4 Bare-PCB Fab",IF(NOT(OR(AC199="Completed",AC199="NA",AC199="Cancelled")),"S5 Assembly",IF(NOT(OR(AG199="Completed",AG199="NA",AG199="Cancelled")),"S6 Bring-up",IF(NOT(OR(AK199="Completed",AK199="NA",AK199="Cancelled")),"S7 BOM Procurement","All Stages Closed"))))))))</f>
        <v/>
      </c>
      <c r="F199" s="32" t="str">
        <f aca="false">IF($C199="","",IF(COUNTIF(M199,"Cancelled")+COUNTIF(Q199,"Cancelled")+COUNTIF(U199,"Cancelled")+COUNTIF(Y199,"Cancelled")+COUNTIF(AC199,"Cancelled")+COUNTIF(AG199,"Cancelled")+COUNTIF(AK199,"Cancelled")&gt;0,"Cancelled",IF(E199="All Stages Closed","Completed",IF(E199="S1 Schematic",M199,IF(E199="S2 PCB Layout",Q199,IF(E199="S3 SI &amp; PI",U199,IF(E199="S4 Bare-PCB Fab",Y199,IF(E199="S5 Assembly",AC199,IF(E199="S6 Bring-up",AG199,AK199)))))))))</f>
        <v/>
      </c>
      <c r="G199" s="33" t="str">
        <f aca="false">IF($C199="","",IF(E199="All Stages Closed","",IF(E199="S1 Schematic",IF(N199="","Not added",N199),IF(E199="S2 PCB Layout",IF(R199="","Not added",R199),IF(E199="S3 SI &amp; PI",IF(V199="","Not added",V199),IF(E199="S4 Bare-PCB Fab",IF(Z199="","Not added",Z199),IF(E199="S5 Assembly",IF(AD199="","Not added",AD199),IF(E199="S6 Bring-up",IF(AH199="","Not added",AH199),IF(AL199="","Not added",AL199)))))))))</f>
        <v/>
      </c>
      <c r="H199" s="32" t="str">
        <f aca="true">IF($C199="","",IF(OR(F199="Completed",F199="Cancelled"),"",IF(NOT(ISNUMBER(G199)),"No date set",IF(TODAY()&gt;G199,TODAY()-G199&amp;" days late",G199-TODAY()&amp;" days left"))))</f>
        <v/>
      </c>
      <c r="I199" s="31" t="str">
        <f aca="false">IF($C199="","",COUNTIF(M199,"Completed")+COUNTIF(Q199,"Completed")+COUNTIF(U199,"Completed")+COUNTIF(Y199,"Completed")+COUNTIF(AC199,"Completed")+COUNTIF(AG199,"Completed")+COUNTIF(AK199,"Completed"))</f>
        <v/>
      </c>
      <c r="J199" s="31" t="str">
        <f aca="false">IF($C199="","",7-(COUNTIF(M199,"NA")+COUNTIF(Q199,"NA")+COUNTIF(U199,"NA")+COUNTIF(Y199,"NA")+COUNTIF(AC199,"NA")+COUNTIF(AG199,"NA")+COUNTIF(AK199,"NA")))</f>
        <v/>
      </c>
      <c r="K199" s="34" t="str">
        <f aca="false">IFERROR(I199/J199,"")</f>
        <v/>
      </c>
      <c r="L199" s="29"/>
      <c r="M199" s="35"/>
      <c r="N199" s="36"/>
      <c r="O199" s="36"/>
      <c r="P199" s="29"/>
      <c r="Q199" s="35"/>
      <c r="R199" s="36"/>
      <c r="S199" s="36"/>
      <c r="T199" s="29"/>
      <c r="U199" s="35"/>
      <c r="V199" s="36"/>
      <c r="W199" s="36"/>
      <c r="X199" s="29"/>
      <c r="Y199" s="35"/>
      <c r="Z199" s="36"/>
      <c r="AA199" s="36"/>
      <c r="AB199" s="29"/>
      <c r="AC199" s="35"/>
      <c r="AD199" s="36"/>
      <c r="AE199" s="36"/>
      <c r="AF199" s="29"/>
      <c r="AG199" s="35"/>
      <c r="AH199" s="36"/>
      <c r="AI199" s="36"/>
      <c r="AJ199" s="29"/>
      <c r="AK199" s="35"/>
      <c r="AL199" s="36"/>
      <c r="AM199" s="36"/>
      <c r="AN199" s="29"/>
      <c r="AO199" s="29"/>
      <c r="AP199" s="29"/>
      <c r="AQ199" s="37"/>
      <c r="AR199" s="39" t="str">
        <f aca="false">IF(AN199&lt;&gt;"Yes","",IF(AO199="","SELECT RE-ENTRY STAGE","MOVE TO ACTIVE at "&amp;AO199))</f>
        <v/>
      </c>
      <c r="AS199" s="40" t="str">
        <f aca="false">IF(AN199="Yes",COUNTIF($AN$6:AN199,"Yes"),"")</f>
        <v/>
      </c>
      <c r="AT199" s="29"/>
      <c r="AU199" s="38" t="str">
        <f aca="false">IF($C199="","",IF(OR(F199="Completed",F199="Cancelled"),"",IF(AND(OR(F199="On Hold",ISNUMBER(VALUE(LEFT(H199,2)))),AT199=""),"Reason not given","")))</f>
        <v/>
      </c>
      <c r="AV199" s="30"/>
      <c r="AW199" s="30"/>
    </row>
    <row r="200" customFormat="false" ht="19.5" hidden="false" customHeight="true" outlineLevel="0" collapsed="false">
      <c r="A200" s="28" t="str">
        <f aca="false">IF($C200="","",COUNTA($C$6:$C200))</f>
        <v/>
      </c>
      <c r="B200" s="29"/>
      <c r="C200" s="30"/>
      <c r="D200" s="29"/>
      <c r="E200" s="31" t="str">
        <f aca="false">IF($C200="","",IF(NOT(OR(M200="Completed",M200="NA",M200="Cancelled")),"S1 Schematic",IF(NOT(OR(Q200="Completed",Q200="NA",Q200="Cancelled")),"S2 PCB Layout",IF(NOT(OR(U200="Completed",U200="NA",U200="Cancelled")),"S3 SI &amp; PI",IF(NOT(OR(Y200="Completed",Y200="NA",Y200="Cancelled")),"S4 Bare-PCB Fab",IF(NOT(OR(AC200="Completed",AC200="NA",AC200="Cancelled")),"S5 Assembly",IF(NOT(OR(AG200="Completed",AG200="NA",AG200="Cancelled")),"S6 Bring-up",IF(NOT(OR(AK200="Completed",AK200="NA",AK200="Cancelled")),"S7 BOM Procurement","All Stages Closed"))))))))</f>
        <v/>
      </c>
      <c r="F200" s="32" t="str">
        <f aca="false">IF($C200="","",IF(COUNTIF(M200,"Cancelled")+COUNTIF(Q200,"Cancelled")+COUNTIF(U200,"Cancelled")+COUNTIF(Y200,"Cancelled")+COUNTIF(AC200,"Cancelled")+COUNTIF(AG200,"Cancelled")+COUNTIF(AK200,"Cancelled")&gt;0,"Cancelled",IF(E200="All Stages Closed","Completed",IF(E200="S1 Schematic",M200,IF(E200="S2 PCB Layout",Q200,IF(E200="S3 SI &amp; PI",U200,IF(E200="S4 Bare-PCB Fab",Y200,IF(E200="S5 Assembly",AC200,IF(E200="S6 Bring-up",AG200,AK200)))))))))</f>
        <v/>
      </c>
      <c r="G200" s="33" t="str">
        <f aca="false">IF($C200="","",IF(E200="All Stages Closed","",IF(E200="S1 Schematic",IF(N200="","Not added",N200),IF(E200="S2 PCB Layout",IF(R200="","Not added",R200),IF(E200="S3 SI &amp; PI",IF(V200="","Not added",V200),IF(E200="S4 Bare-PCB Fab",IF(Z200="","Not added",Z200),IF(E200="S5 Assembly",IF(AD200="","Not added",AD200),IF(E200="S6 Bring-up",IF(AH200="","Not added",AH200),IF(AL200="","Not added",AL200)))))))))</f>
        <v/>
      </c>
      <c r="H200" s="32" t="str">
        <f aca="true">IF($C200="","",IF(OR(F200="Completed",F200="Cancelled"),"",IF(NOT(ISNUMBER(G200)),"No date set",IF(TODAY()&gt;G200,TODAY()-G200&amp;" days late",G200-TODAY()&amp;" days left"))))</f>
        <v/>
      </c>
      <c r="I200" s="31" t="str">
        <f aca="false">IF($C200="","",COUNTIF(M200,"Completed")+COUNTIF(Q200,"Completed")+COUNTIF(U200,"Completed")+COUNTIF(Y200,"Completed")+COUNTIF(AC200,"Completed")+COUNTIF(AG200,"Completed")+COUNTIF(AK200,"Completed"))</f>
        <v/>
      </c>
      <c r="J200" s="31" t="str">
        <f aca="false">IF($C200="","",7-(COUNTIF(M200,"NA")+COUNTIF(Q200,"NA")+COUNTIF(U200,"NA")+COUNTIF(Y200,"NA")+COUNTIF(AC200,"NA")+COUNTIF(AG200,"NA")+COUNTIF(AK200,"NA")))</f>
        <v/>
      </c>
      <c r="K200" s="34" t="str">
        <f aca="false">IFERROR(I200/J200,"")</f>
        <v/>
      </c>
      <c r="L200" s="29"/>
      <c r="M200" s="35"/>
      <c r="N200" s="36"/>
      <c r="O200" s="36"/>
      <c r="P200" s="29"/>
      <c r="Q200" s="35"/>
      <c r="R200" s="36"/>
      <c r="S200" s="36"/>
      <c r="T200" s="29"/>
      <c r="U200" s="35"/>
      <c r="V200" s="36"/>
      <c r="W200" s="36"/>
      <c r="X200" s="29"/>
      <c r="Y200" s="35"/>
      <c r="Z200" s="36"/>
      <c r="AA200" s="36"/>
      <c r="AB200" s="29"/>
      <c r="AC200" s="35"/>
      <c r="AD200" s="36"/>
      <c r="AE200" s="36"/>
      <c r="AF200" s="29"/>
      <c r="AG200" s="35"/>
      <c r="AH200" s="36"/>
      <c r="AI200" s="36"/>
      <c r="AJ200" s="29"/>
      <c r="AK200" s="35"/>
      <c r="AL200" s="36"/>
      <c r="AM200" s="36"/>
      <c r="AN200" s="29"/>
      <c r="AO200" s="29"/>
      <c r="AP200" s="29"/>
      <c r="AQ200" s="37"/>
      <c r="AR200" s="39" t="str">
        <f aca="false">IF(AN200&lt;&gt;"Yes","",IF(AO200="","SELECT RE-ENTRY STAGE","MOVE TO ACTIVE at "&amp;AO200))</f>
        <v/>
      </c>
      <c r="AS200" s="40" t="str">
        <f aca="false">IF(AN200="Yes",COUNTIF($AN$6:AN200,"Yes"),"")</f>
        <v/>
      </c>
      <c r="AT200" s="29"/>
      <c r="AU200" s="38" t="str">
        <f aca="false">IF($C200="","",IF(OR(F200="Completed",F200="Cancelled"),"",IF(AND(OR(F200="On Hold",ISNUMBER(VALUE(LEFT(H200,2)))),AT200=""),"Reason not given","")))</f>
        <v/>
      </c>
      <c r="AV200" s="30"/>
      <c r="AW200" s="30"/>
    </row>
    <row r="201" customFormat="false" ht="19.5" hidden="false" customHeight="true" outlineLevel="0" collapsed="false">
      <c r="A201" s="28" t="str">
        <f aca="false">IF($C201="","",COUNTA($C$6:$C201))</f>
        <v/>
      </c>
      <c r="B201" s="29"/>
      <c r="C201" s="30"/>
      <c r="D201" s="29"/>
      <c r="E201" s="31" t="str">
        <f aca="false">IF($C201="","",IF(NOT(OR(M201="Completed",M201="NA",M201="Cancelled")),"S1 Schematic",IF(NOT(OR(Q201="Completed",Q201="NA",Q201="Cancelled")),"S2 PCB Layout",IF(NOT(OR(U201="Completed",U201="NA",U201="Cancelled")),"S3 SI &amp; PI",IF(NOT(OR(Y201="Completed",Y201="NA",Y201="Cancelled")),"S4 Bare-PCB Fab",IF(NOT(OR(AC201="Completed",AC201="NA",AC201="Cancelled")),"S5 Assembly",IF(NOT(OR(AG201="Completed",AG201="NA",AG201="Cancelled")),"S6 Bring-up",IF(NOT(OR(AK201="Completed",AK201="NA",AK201="Cancelled")),"S7 BOM Procurement","All Stages Closed"))))))))</f>
        <v/>
      </c>
      <c r="F201" s="32" t="str">
        <f aca="false">IF($C201="","",IF(COUNTIF(M201,"Cancelled")+COUNTIF(Q201,"Cancelled")+COUNTIF(U201,"Cancelled")+COUNTIF(Y201,"Cancelled")+COUNTIF(AC201,"Cancelled")+COUNTIF(AG201,"Cancelled")+COUNTIF(AK201,"Cancelled")&gt;0,"Cancelled",IF(E201="All Stages Closed","Completed",IF(E201="S1 Schematic",M201,IF(E201="S2 PCB Layout",Q201,IF(E201="S3 SI &amp; PI",U201,IF(E201="S4 Bare-PCB Fab",Y201,IF(E201="S5 Assembly",AC201,IF(E201="S6 Bring-up",AG201,AK201)))))))))</f>
        <v/>
      </c>
      <c r="G201" s="33" t="str">
        <f aca="false">IF($C201="","",IF(E201="All Stages Closed","",IF(E201="S1 Schematic",IF(N201="","Not added",N201),IF(E201="S2 PCB Layout",IF(R201="","Not added",R201),IF(E201="S3 SI &amp; PI",IF(V201="","Not added",V201),IF(E201="S4 Bare-PCB Fab",IF(Z201="","Not added",Z201),IF(E201="S5 Assembly",IF(AD201="","Not added",AD201),IF(E201="S6 Bring-up",IF(AH201="","Not added",AH201),IF(AL201="","Not added",AL201)))))))))</f>
        <v/>
      </c>
      <c r="H201" s="32" t="str">
        <f aca="true">IF($C201="","",IF(OR(F201="Completed",F201="Cancelled"),"",IF(NOT(ISNUMBER(G201)),"No date set",IF(TODAY()&gt;G201,TODAY()-G201&amp;" days late",G201-TODAY()&amp;" days left"))))</f>
        <v/>
      </c>
      <c r="I201" s="31" t="str">
        <f aca="false">IF($C201="","",COUNTIF(M201,"Completed")+COUNTIF(Q201,"Completed")+COUNTIF(U201,"Completed")+COUNTIF(Y201,"Completed")+COUNTIF(AC201,"Completed")+COUNTIF(AG201,"Completed")+COUNTIF(AK201,"Completed"))</f>
        <v/>
      </c>
      <c r="J201" s="31" t="str">
        <f aca="false">IF($C201="","",7-(COUNTIF(M201,"NA")+COUNTIF(Q201,"NA")+COUNTIF(U201,"NA")+COUNTIF(Y201,"NA")+COUNTIF(AC201,"NA")+COUNTIF(AG201,"NA")+COUNTIF(AK201,"NA")))</f>
        <v/>
      </c>
      <c r="K201" s="34" t="str">
        <f aca="false">IFERROR(I201/J201,"")</f>
        <v/>
      </c>
      <c r="L201" s="29"/>
      <c r="M201" s="35"/>
      <c r="N201" s="36"/>
      <c r="O201" s="36"/>
      <c r="P201" s="29"/>
      <c r="Q201" s="35"/>
      <c r="R201" s="36"/>
      <c r="S201" s="36"/>
      <c r="T201" s="29"/>
      <c r="U201" s="35"/>
      <c r="V201" s="36"/>
      <c r="W201" s="36"/>
      <c r="X201" s="29"/>
      <c r="Y201" s="35"/>
      <c r="Z201" s="36"/>
      <c r="AA201" s="36"/>
      <c r="AB201" s="29"/>
      <c r="AC201" s="35"/>
      <c r="AD201" s="36"/>
      <c r="AE201" s="36"/>
      <c r="AF201" s="29"/>
      <c r="AG201" s="35"/>
      <c r="AH201" s="36"/>
      <c r="AI201" s="36"/>
      <c r="AJ201" s="29"/>
      <c r="AK201" s="35"/>
      <c r="AL201" s="36"/>
      <c r="AM201" s="36"/>
      <c r="AN201" s="29"/>
      <c r="AO201" s="29"/>
      <c r="AP201" s="29"/>
      <c r="AQ201" s="37"/>
      <c r="AR201" s="39" t="str">
        <f aca="false">IF(AN201&lt;&gt;"Yes","",IF(AO201="","SELECT RE-ENTRY STAGE","MOVE TO ACTIVE at "&amp;AO201))</f>
        <v/>
      </c>
      <c r="AS201" s="40" t="str">
        <f aca="false">IF(AN201="Yes",COUNTIF($AN$6:AN201,"Yes"),"")</f>
        <v/>
      </c>
      <c r="AT201" s="29"/>
      <c r="AU201" s="38" t="str">
        <f aca="false">IF($C201="","",IF(OR(F201="Completed",F201="Cancelled"),"",IF(AND(OR(F201="On Hold",ISNUMBER(VALUE(LEFT(H201,2)))),AT201=""),"Reason not given","")))</f>
        <v/>
      </c>
      <c r="AV201" s="30"/>
      <c r="AW201" s="30"/>
    </row>
    <row r="202" customFormat="false" ht="19.5" hidden="false" customHeight="true" outlineLevel="0" collapsed="false">
      <c r="A202" s="28" t="str">
        <f aca="false">IF($C202="","",COUNTA($C$6:$C202))</f>
        <v/>
      </c>
      <c r="B202" s="29"/>
      <c r="C202" s="30"/>
      <c r="D202" s="29"/>
      <c r="E202" s="31" t="str">
        <f aca="false">IF($C202="","",IF(NOT(OR(M202="Completed",M202="NA",M202="Cancelled")),"S1 Schematic",IF(NOT(OR(Q202="Completed",Q202="NA",Q202="Cancelled")),"S2 PCB Layout",IF(NOT(OR(U202="Completed",U202="NA",U202="Cancelled")),"S3 SI &amp; PI",IF(NOT(OR(Y202="Completed",Y202="NA",Y202="Cancelled")),"S4 Bare-PCB Fab",IF(NOT(OR(AC202="Completed",AC202="NA",AC202="Cancelled")),"S5 Assembly",IF(NOT(OR(AG202="Completed",AG202="NA",AG202="Cancelled")),"S6 Bring-up",IF(NOT(OR(AK202="Completed",AK202="NA",AK202="Cancelled")),"S7 BOM Procurement","All Stages Closed"))))))))</f>
        <v/>
      </c>
      <c r="F202" s="32" t="str">
        <f aca="false">IF($C202="","",IF(COUNTIF(M202,"Cancelled")+COUNTIF(Q202,"Cancelled")+COUNTIF(U202,"Cancelled")+COUNTIF(Y202,"Cancelled")+COUNTIF(AC202,"Cancelled")+COUNTIF(AG202,"Cancelled")+COUNTIF(AK202,"Cancelled")&gt;0,"Cancelled",IF(E202="All Stages Closed","Completed",IF(E202="S1 Schematic",M202,IF(E202="S2 PCB Layout",Q202,IF(E202="S3 SI &amp; PI",U202,IF(E202="S4 Bare-PCB Fab",Y202,IF(E202="S5 Assembly",AC202,IF(E202="S6 Bring-up",AG202,AK202)))))))))</f>
        <v/>
      </c>
      <c r="G202" s="33" t="str">
        <f aca="false">IF($C202="","",IF(E202="All Stages Closed","",IF(E202="S1 Schematic",IF(N202="","Not added",N202),IF(E202="S2 PCB Layout",IF(R202="","Not added",R202),IF(E202="S3 SI &amp; PI",IF(V202="","Not added",V202),IF(E202="S4 Bare-PCB Fab",IF(Z202="","Not added",Z202),IF(E202="S5 Assembly",IF(AD202="","Not added",AD202),IF(E202="S6 Bring-up",IF(AH202="","Not added",AH202),IF(AL202="","Not added",AL202)))))))))</f>
        <v/>
      </c>
      <c r="H202" s="32" t="str">
        <f aca="true">IF($C202="","",IF(OR(F202="Completed",F202="Cancelled"),"",IF(NOT(ISNUMBER(G202)),"No date set",IF(TODAY()&gt;G202,TODAY()-G202&amp;" days late",G202-TODAY()&amp;" days left"))))</f>
        <v/>
      </c>
      <c r="I202" s="31" t="str">
        <f aca="false">IF($C202="","",COUNTIF(M202,"Completed")+COUNTIF(Q202,"Completed")+COUNTIF(U202,"Completed")+COUNTIF(Y202,"Completed")+COUNTIF(AC202,"Completed")+COUNTIF(AG202,"Completed")+COUNTIF(AK202,"Completed"))</f>
        <v/>
      </c>
      <c r="J202" s="31" t="str">
        <f aca="false">IF($C202="","",7-(COUNTIF(M202,"NA")+COUNTIF(Q202,"NA")+COUNTIF(U202,"NA")+COUNTIF(Y202,"NA")+COUNTIF(AC202,"NA")+COUNTIF(AG202,"NA")+COUNTIF(AK202,"NA")))</f>
        <v/>
      </c>
      <c r="K202" s="34" t="str">
        <f aca="false">IFERROR(I202/J202,"")</f>
        <v/>
      </c>
      <c r="L202" s="29"/>
      <c r="M202" s="35"/>
      <c r="N202" s="36"/>
      <c r="O202" s="36"/>
      <c r="P202" s="29"/>
      <c r="Q202" s="35"/>
      <c r="R202" s="36"/>
      <c r="S202" s="36"/>
      <c r="T202" s="29"/>
      <c r="U202" s="35"/>
      <c r="V202" s="36"/>
      <c r="W202" s="36"/>
      <c r="X202" s="29"/>
      <c r="Y202" s="35"/>
      <c r="Z202" s="36"/>
      <c r="AA202" s="36"/>
      <c r="AB202" s="29"/>
      <c r="AC202" s="35"/>
      <c r="AD202" s="36"/>
      <c r="AE202" s="36"/>
      <c r="AF202" s="29"/>
      <c r="AG202" s="35"/>
      <c r="AH202" s="36"/>
      <c r="AI202" s="36"/>
      <c r="AJ202" s="29"/>
      <c r="AK202" s="35"/>
      <c r="AL202" s="36"/>
      <c r="AM202" s="36"/>
      <c r="AN202" s="29"/>
      <c r="AO202" s="29"/>
      <c r="AP202" s="29"/>
      <c r="AQ202" s="37"/>
      <c r="AR202" s="39" t="str">
        <f aca="false">IF(AN202&lt;&gt;"Yes","",IF(AO202="","SELECT RE-ENTRY STAGE","MOVE TO ACTIVE at "&amp;AO202))</f>
        <v/>
      </c>
      <c r="AS202" s="40" t="str">
        <f aca="false">IF(AN202="Yes",COUNTIF($AN$6:AN202,"Yes"),"")</f>
        <v/>
      </c>
      <c r="AT202" s="29"/>
      <c r="AU202" s="38" t="str">
        <f aca="false">IF($C202="","",IF(OR(F202="Completed",F202="Cancelled"),"",IF(AND(OR(F202="On Hold",ISNUMBER(VALUE(LEFT(H202,2)))),AT202=""),"Reason not given","")))</f>
        <v/>
      </c>
      <c r="AV202" s="30"/>
      <c r="AW202" s="30"/>
    </row>
    <row r="203" customFormat="false" ht="19.5" hidden="false" customHeight="true" outlineLevel="0" collapsed="false">
      <c r="A203" s="28" t="str">
        <f aca="false">IF($C203="","",COUNTA($C$6:$C203))</f>
        <v/>
      </c>
      <c r="B203" s="29"/>
      <c r="C203" s="30"/>
      <c r="D203" s="29"/>
      <c r="E203" s="31" t="str">
        <f aca="false">IF($C203="","",IF(NOT(OR(M203="Completed",M203="NA",M203="Cancelled")),"S1 Schematic",IF(NOT(OR(Q203="Completed",Q203="NA",Q203="Cancelled")),"S2 PCB Layout",IF(NOT(OR(U203="Completed",U203="NA",U203="Cancelled")),"S3 SI &amp; PI",IF(NOT(OR(Y203="Completed",Y203="NA",Y203="Cancelled")),"S4 Bare-PCB Fab",IF(NOT(OR(AC203="Completed",AC203="NA",AC203="Cancelled")),"S5 Assembly",IF(NOT(OR(AG203="Completed",AG203="NA",AG203="Cancelled")),"S6 Bring-up",IF(NOT(OR(AK203="Completed",AK203="NA",AK203="Cancelled")),"S7 BOM Procurement","All Stages Closed"))))))))</f>
        <v/>
      </c>
      <c r="F203" s="32" t="str">
        <f aca="false">IF($C203="","",IF(COUNTIF(M203,"Cancelled")+COUNTIF(Q203,"Cancelled")+COUNTIF(U203,"Cancelled")+COUNTIF(Y203,"Cancelled")+COUNTIF(AC203,"Cancelled")+COUNTIF(AG203,"Cancelled")+COUNTIF(AK203,"Cancelled")&gt;0,"Cancelled",IF(E203="All Stages Closed","Completed",IF(E203="S1 Schematic",M203,IF(E203="S2 PCB Layout",Q203,IF(E203="S3 SI &amp; PI",U203,IF(E203="S4 Bare-PCB Fab",Y203,IF(E203="S5 Assembly",AC203,IF(E203="S6 Bring-up",AG203,AK203)))))))))</f>
        <v/>
      </c>
      <c r="G203" s="33" t="str">
        <f aca="false">IF($C203="","",IF(E203="All Stages Closed","",IF(E203="S1 Schematic",IF(N203="","Not added",N203),IF(E203="S2 PCB Layout",IF(R203="","Not added",R203),IF(E203="S3 SI &amp; PI",IF(V203="","Not added",V203),IF(E203="S4 Bare-PCB Fab",IF(Z203="","Not added",Z203),IF(E203="S5 Assembly",IF(AD203="","Not added",AD203),IF(E203="S6 Bring-up",IF(AH203="","Not added",AH203),IF(AL203="","Not added",AL203)))))))))</f>
        <v/>
      </c>
      <c r="H203" s="32" t="str">
        <f aca="true">IF($C203="","",IF(OR(F203="Completed",F203="Cancelled"),"",IF(NOT(ISNUMBER(G203)),"No date set",IF(TODAY()&gt;G203,TODAY()-G203&amp;" days late",G203-TODAY()&amp;" days left"))))</f>
        <v/>
      </c>
      <c r="I203" s="31" t="str">
        <f aca="false">IF($C203="","",COUNTIF(M203,"Completed")+COUNTIF(Q203,"Completed")+COUNTIF(U203,"Completed")+COUNTIF(Y203,"Completed")+COUNTIF(AC203,"Completed")+COUNTIF(AG203,"Completed")+COUNTIF(AK203,"Completed"))</f>
        <v/>
      </c>
      <c r="J203" s="31" t="str">
        <f aca="false">IF($C203="","",7-(COUNTIF(M203,"NA")+COUNTIF(Q203,"NA")+COUNTIF(U203,"NA")+COUNTIF(Y203,"NA")+COUNTIF(AC203,"NA")+COUNTIF(AG203,"NA")+COUNTIF(AK203,"NA")))</f>
        <v/>
      </c>
      <c r="K203" s="34" t="str">
        <f aca="false">IFERROR(I203/J203,"")</f>
        <v/>
      </c>
      <c r="L203" s="29"/>
      <c r="M203" s="35"/>
      <c r="N203" s="36"/>
      <c r="O203" s="36"/>
      <c r="P203" s="29"/>
      <c r="Q203" s="35"/>
      <c r="R203" s="36"/>
      <c r="S203" s="36"/>
      <c r="T203" s="29"/>
      <c r="U203" s="35"/>
      <c r="V203" s="36"/>
      <c r="W203" s="36"/>
      <c r="X203" s="29"/>
      <c r="Y203" s="35"/>
      <c r="Z203" s="36"/>
      <c r="AA203" s="36"/>
      <c r="AB203" s="29"/>
      <c r="AC203" s="35"/>
      <c r="AD203" s="36"/>
      <c r="AE203" s="36"/>
      <c r="AF203" s="29"/>
      <c r="AG203" s="35"/>
      <c r="AH203" s="36"/>
      <c r="AI203" s="36"/>
      <c r="AJ203" s="29"/>
      <c r="AK203" s="35"/>
      <c r="AL203" s="36"/>
      <c r="AM203" s="36"/>
      <c r="AN203" s="29"/>
      <c r="AO203" s="29"/>
      <c r="AP203" s="29"/>
      <c r="AQ203" s="37"/>
      <c r="AR203" s="39" t="str">
        <f aca="false">IF(AN203&lt;&gt;"Yes","",IF(AO203="","SELECT RE-ENTRY STAGE","MOVE TO ACTIVE at "&amp;AO203))</f>
        <v/>
      </c>
      <c r="AS203" s="40" t="str">
        <f aca="false">IF(AN203="Yes",COUNTIF($AN$6:AN203,"Yes"),"")</f>
        <v/>
      </c>
      <c r="AT203" s="29"/>
      <c r="AU203" s="38" t="str">
        <f aca="false">IF($C203="","",IF(OR(F203="Completed",F203="Cancelled"),"",IF(AND(OR(F203="On Hold",ISNUMBER(VALUE(LEFT(H203,2)))),AT203=""),"Reason not given","")))</f>
        <v/>
      </c>
      <c r="AV203" s="30"/>
      <c r="AW203" s="30"/>
    </row>
    <row r="204" customFormat="false" ht="19.5" hidden="false" customHeight="true" outlineLevel="0" collapsed="false">
      <c r="A204" s="28" t="str">
        <f aca="false">IF($C204="","",COUNTA($C$6:$C204))</f>
        <v/>
      </c>
      <c r="B204" s="29"/>
      <c r="C204" s="30"/>
      <c r="D204" s="29"/>
      <c r="E204" s="31" t="str">
        <f aca="false">IF($C204="","",IF(NOT(OR(M204="Completed",M204="NA",M204="Cancelled")),"S1 Schematic",IF(NOT(OR(Q204="Completed",Q204="NA",Q204="Cancelled")),"S2 PCB Layout",IF(NOT(OR(U204="Completed",U204="NA",U204="Cancelled")),"S3 SI &amp; PI",IF(NOT(OR(Y204="Completed",Y204="NA",Y204="Cancelled")),"S4 Bare-PCB Fab",IF(NOT(OR(AC204="Completed",AC204="NA",AC204="Cancelled")),"S5 Assembly",IF(NOT(OR(AG204="Completed",AG204="NA",AG204="Cancelled")),"S6 Bring-up",IF(NOT(OR(AK204="Completed",AK204="NA",AK204="Cancelled")),"S7 BOM Procurement","All Stages Closed"))))))))</f>
        <v/>
      </c>
      <c r="F204" s="32" t="str">
        <f aca="false">IF($C204="","",IF(COUNTIF(M204,"Cancelled")+COUNTIF(Q204,"Cancelled")+COUNTIF(U204,"Cancelled")+COUNTIF(Y204,"Cancelled")+COUNTIF(AC204,"Cancelled")+COUNTIF(AG204,"Cancelled")+COUNTIF(AK204,"Cancelled")&gt;0,"Cancelled",IF(E204="All Stages Closed","Completed",IF(E204="S1 Schematic",M204,IF(E204="S2 PCB Layout",Q204,IF(E204="S3 SI &amp; PI",U204,IF(E204="S4 Bare-PCB Fab",Y204,IF(E204="S5 Assembly",AC204,IF(E204="S6 Bring-up",AG204,AK204)))))))))</f>
        <v/>
      </c>
      <c r="G204" s="33" t="str">
        <f aca="false">IF($C204="","",IF(E204="All Stages Closed","",IF(E204="S1 Schematic",IF(N204="","Not added",N204),IF(E204="S2 PCB Layout",IF(R204="","Not added",R204),IF(E204="S3 SI &amp; PI",IF(V204="","Not added",V204),IF(E204="S4 Bare-PCB Fab",IF(Z204="","Not added",Z204),IF(E204="S5 Assembly",IF(AD204="","Not added",AD204),IF(E204="S6 Bring-up",IF(AH204="","Not added",AH204),IF(AL204="","Not added",AL204)))))))))</f>
        <v/>
      </c>
      <c r="H204" s="32" t="str">
        <f aca="true">IF($C204="","",IF(OR(F204="Completed",F204="Cancelled"),"",IF(NOT(ISNUMBER(G204)),"No date set",IF(TODAY()&gt;G204,TODAY()-G204&amp;" days late",G204-TODAY()&amp;" days left"))))</f>
        <v/>
      </c>
      <c r="I204" s="31" t="str">
        <f aca="false">IF($C204="","",COUNTIF(M204,"Completed")+COUNTIF(Q204,"Completed")+COUNTIF(U204,"Completed")+COUNTIF(Y204,"Completed")+COUNTIF(AC204,"Completed")+COUNTIF(AG204,"Completed")+COUNTIF(AK204,"Completed"))</f>
        <v/>
      </c>
      <c r="J204" s="31" t="str">
        <f aca="false">IF($C204="","",7-(COUNTIF(M204,"NA")+COUNTIF(Q204,"NA")+COUNTIF(U204,"NA")+COUNTIF(Y204,"NA")+COUNTIF(AC204,"NA")+COUNTIF(AG204,"NA")+COUNTIF(AK204,"NA")))</f>
        <v/>
      </c>
      <c r="K204" s="34" t="str">
        <f aca="false">IFERROR(I204/J204,"")</f>
        <v/>
      </c>
      <c r="L204" s="29"/>
      <c r="M204" s="35"/>
      <c r="N204" s="36"/>
      <c r="O204" s="36"/>
      <c r="P204" s="29"/>
      <c r="Q204" s="35"/>
      <c r="R204" s="36"/>
      <c r="S204" s="36"/>
      <c r="T204" s="29"/>
      <c r="U204" s="35"/>
      <c r="V204" s="36"/>
      <c r="W204" s="36"/>
      <c r="X204" s="29"/>
      <c r="Y204" s="35"/>
      <c r="Z204" s="36"/>
      <c r="AA204" s="36"/>
      <c r="AB204" s="29"/>
      <c r="AC204" s="35"/>
      <c r="AD204" s="36"/>
      <c r="AE204" s="36"/>
      <c r="AF204" s="29"/>
      <c r="AG204" s="35"/>
      <c r="AH204" s="36"/>
      <c r="AI204" s="36"/>
      <c r="AJ204" s="29"/>
      <c r="AK204" s="35"/>
      <c r="AL204" s="36"/>
      <c r="AM204" s="36"/>
      <c r="AN204" s="29"/>
      <c r="AO204" s="29"/>
      <c r="AP204" s="29"/>
      <c r="AQ204" s="37"/>
      <c r="AR204" s="39" t="str">
        <f aca="false">IF(AN204&lt;&gt;"Yes","",IF(AO204="","SELECT RE-ENTRY STAGE","MOVE TO ACTIVE at "&amp;AO204))</f>
        <v/>
      </c>
      <c r="AS204" s="40" t="str">
        <f aca="false">IF(AN204="Yes",COUNTIF($AN$6:AN204,"Yes"),"")</f>
        <v/>
      </c>
      <c r="AT204" s="29"/>
      <c r="AU204" s="38" t="str">
        <f aca="false">IF($C204="","",IF(OR(F204="Completed",F204="Cancelled"),"",IF(AND(OR(F204="On Hold",ISNUMBER(VALUE(LEFT(H204,2)))),AT204=""),"Reason not given","")))</f>
        <v/>
      </c>
      <c r="AV204" s="30"/>
      <c r="AW204" s="30"/>
    </row>
    <row r="205" customFormat="false" ht="19.5" hidden="false" customHeight="true" outlineLevel="0" collapsed="false">
      <c r="A205" s="28" t="str">
        <f aca="false">IF($C205="","",COUNTA($C$6:$C205))</f>
        <v/>
      </c>
      <c r="B205" s="29"/>
      <c r="C205" s="30"/>
      <c r="D205" s="29"/>
      <c r="E205" s="31" t="str">
        <f aca="false">IF($C205="","",IF(NOT(OR(M205="Completed",M205="NA",M205="Cancelled")),"S1 Schematic",IF(NOT(OR(Q205="Completed",Q205="NA",Q205="Cancelled")),"S2 PCB Layout",IF(NOT(OR(U205="Completed",U205="NA",U205="Cancelled")),"S3 SI &amp; PI",IF(NOT(OR(Y205="Completed",Y205="NA",Y205="Cancelled")),"S4 Bare-PCB Fab",IF(NOT(OR(AC205="Completed",AC205="NA",AC205="Cancelled")),"S5 Assembly",IF(NOT(OR(AG205="Completed",AG205="NA",AG205="Cancelled")),"S6 Bring-up",IF(NOT(OR(AK205="Completed",AK205="NA",AK205="Cancelled")),"S7 BOM Procurement","All Stages Closed"))))))))</f>
        <v/>
      </c>
      <c r="F205" s="32" t="str">
        <f aca="false">IF($C205="","",IF(COUNTIF(M205,"Cancelled")+COUNTIF(Q205,"Cancelled")+COUNTIF(U205,"Cancelled")+COUNTIF(Y205,"Cancelled")+COUNTIF(AC205,"Cancelled")+COUNTIF(AG205,"Cancelled")+COUNTIF(AK205,"Cancelled")&gt;0,"Cancelled",IF(E205="All Stages Closed","Completed",IF(E205="S1 Schematic",M205,IF(E205="S2 PCB Layout",Q205,IF(E205="S3 SI &amp; PI",U205,IF(E205="S4 Bare-PCB Fab",Y205,IF(E205="S5 Assembly",AC205,IF(E205="S6 Bring-up",AG205,AK205)))))))))</f>
        <v/>
      </c>
      <c r="G205" s="33" t="str">
        <f aca="false">IF($C205="","",IF(E205="All Stages Closed","",IF(E205="S1 Schematic",IF(N205="","Not added",N205),IF(E205="S2 PCB Layout",IF(R205="","Not added",R205),IF(E205="S3 SI &amp; PI",IF(V205="","Not added",V205),IF(E205="S4 Bare-PCB Fab",IF(Z205="","Not added",Z205),IF(E205="S5 Assembly",IF(AD205="","Not added",AD205),IF(E205="S6 Bring-up",IF(AH205="","Not added",AH205),IF(AL205="","Not added",AL205)))))))))</f>
        <v/>
      </c>
      <c r="H205" s="32" t="str">
        <f aca="true">IF($C205="","",IF(OR(F205="Completed",F205="Cancelled"),"",IF(NOT(ISNUMBER(G205)),"No date set",IF(TODAY()&gt;G205,TODAY()-G205&amp;" days late",G205-TODAY()&amp;" days left"))))</f>
        <v/>
      </c>
      <c r="I205" s="31" t="str">
        <f aca="false">IF($C205="","",COUNTIF(M205,"Completed")+COUNTIF(Q205,"Completed")+COUNTIF(U205,"Completed")+COUNTIF(Y205,"Completed")+COUNTIF(AC205,"Completed")+COUNTIF(AG205,"Completed")+COUNTIF(AK205,"Completed"))</f>
        <v/>
      </c>
      <c r="J205" s="31" t="str">
        <f aca="false">IF($C205="","",7-(COUNTIF(M205,"NA")+COUNTIF(Q205,"NA")+COUNTIF(U205,"NA")+COUNTIF(Y205,"NA")+COUNTIF(AC205,"NA")+COUNTIF(AG205,"NA")+COUNTIF(AK205,"NA")))</f>
        <v/>
      </c>
      <c r="K205" s="34" t="str">
        <f aca="false">IFERROR(I205/J205,"")</f>
        <v/>
      </c>
      <c r="L205" s="29"/>
      <c r="M205" s="35"/>
      <c r="N205" s="36"/>
      <c r="O205" s="36"/>
      <c r="P205" s="29"/>
      <c r="Q205" s="35"/>
      <c r="R205" s="36"/>
      <c r="S205" s="36"/>
      <c r="T205" s="29"/>
      <c r="U205" s="35"/>
      <c r="V205" s="36"/>
      <c r="W205" s="36"/>
      <c r="X205" s="29"/>
      <c r="Y205" s="35"/>
      <c r="Z205" s="36"/>
      <c r="AA205" s="36"/>
      <c r="AB205" s="29"/>
      <c r="AC205" s="35"/>
      <c r="AD205" s="36"/>
      <c r="AE205" s="36"/>
      <c r="AF205" s="29"/>
      <c r="AG205" s="35"/>
      <c r="AH205" s="36"/>
      <c r="AI205" s="36"/>
      <c r="AJ205" s="29"/>
      <c r="AK205" s="35"/>
      <c r="AL205" s="36"/>
      <c r="AM205" s="36"/>
      <c r="AN205" s="29"/>
      <c r="AO205" s="29"/>
      <c r="AP205" s="29"/>
      <c r="AQ205" s="37"/>
      <c r="AR205" s="39" t="str">
        <f aca="false">IF(AN205&lt;&gt;"Yes","",IF(AO205="","SELECT RE-ENTRY STAGE","MOVE TO ACTIVE at "&amp;AO205))</f>
        <v/>
      </c>
      <c r="AS205" s="40" t="str">
        <f aca="false">IF(AN205="Yes",COUNTIF($AN$6:AN205,"Yes"),"")</f>
        <v/>
      </c>
      <c r="AT205" s="29"/>
      <c r="AU205" s="38" t="str">
        <f aca="false">IF($C205="","",IF(OR(F205="Completed",F205="Cancelled"),"",IF(AND(OR(F205="On Hold",ISNUMBER(VALUE(LEFT(H205,2)))),AT205=""),"Reason not given","")))</f>
        <v/>
      </c>
      <c r="AV205" s="30"/>
      <c r="AW205" s="30"/>
    </row>
    <row r="206" customFormat="false" ht="19.5" hidden="false" customHeight="true" outlineLevel="0" collapsed="false">
      <c r="A206" s="28" t="str">
        <f aca="false">IF($C206="","",COUNTA($C$6:$C206))</f>
        <v/>
      </c>
      <c r="B206" s="29"/>
      <c r="C206" s="30"/>
      <c r="D206" s="29"/>
      <c r="E206" s="31" t="str">
        <f aca="false">IF($C206="","",IF(NOT(OR(M206="Completed",M206="NA",M206="Cancelled")),"S1 Schematic",IF(NOT(OR(Q206="Completed",Q206="NA",Q206="Cancelled")),"S2 PCB Layout",IF(NOT(OR(U206="Completed",U206="NA",U206="Cancelled")),"S3 SI &amp; PI",IF(NOT(OR(Y206="Completed",Y206="NA",Y206="Cancelled")),"S4 Bare-PCB Fab",IF(NOT(OR(AC206="Completed",AC206="NA",AC206="Cancelled")),"S5 Assembly",IF(NOT(OR(AG206="Completed",AG206="NA",AG206="Cancelled")),"S6 Bring-up",IF(NOT(OR(AK206="Completed",AK206="NA",AK206="Cancelled")),"S7 BOM Procurement","All Stages Closed"))))))))</f>
        <v/>
      </c>
      <c r="F206" s="32" t="str">
        <f aca="false">IF($C206="","",IF(COUNTIF(M206,"Cancelled")+COUNTIF(Q206,"Cancelled")+COUNTIF(U206,"Cancelled")+COUNTIF(Y206,"Cancelled")+COUNTIF(AC206,"Cancelled")+COUNTIF(AG206,"Cancelled")+COUNTIF(AK206,"Cancelled")&gt;0,"Cancelled",IF(E206="All Stages Closed","Completed",IF(E206="S1 Schematic",M206,IF(E206="S2 PCB Layout",Q206,IF(E206="S3 SI &amp; PI",U206,IF(E206="S4 Bare-PCB Fab",Y206,IF(E206="S5 Assembly",AC206,IF(E206="S6 Bring-up",AG206,AK206)))))))))</f>
        <v/>
      </c>
      <c r="G206" s="33" t="str">
        <f aca="false">IF($C206="","",IF(E206="All Stages Closed","",IF(E206="S1 Schematic",IF(N206="","Not added",N206),IF(E206="S2 PCB Layout",IF(R206="","Not added",R206),IF(E206="S3 SI &amp; PI",IF(V206="","Not added",V206),IF(E206="S4 Bare-PCB Fab",IF(Z206="","Not added",Z206),IF(E206="S5 Assembly",IF(AD206="","Not added",AD206),IF(E206="S6 Bring-up",IF(AH206="","Not added",AH206),IF(AL206="","Not added",AL206)))))))))</f>
        <v/>
      </c>
      <c r="H206" s="32" t="str">
        <f aca="true">IF($C206="","",IF(OR(F206="Completed",F206="Cancelled"),"",IF(NOT(ISNUMBER(G206)),"No date set",IF(TODAY()&gt;G206,TODAY()-G206&amp;" days late",G206-TODAY()&amp;" days left"))))</f>
        <v/>
      </c>
      <c r="I206" s="31" t="str">
        <f aca="false">IF($C206="","",COUNTIF(M206,"Completed")+COUNTIF(Q206,"Completed")+COUNTIF(U206,"Completed")+COUNTIF(Y206,"Completed")+COUNTIF(AC206,"Completed")+COUNTIF(AG206,"Completed")+COUNTIF(AK206,"Completed"))</f>
        <v/>
      </c>
      <c r="J206" s="31" t="str">
        <f aca="false">IF($C206="","",7-(COUNTIF(M206,"NA")+COUNTIF(Q206,"NA")+COUNTIF(U206,"NA")+COUNTIF(Y206,"NA")+COUNTIF(AC206,"NA")+COUNTIF(AG206,"NA")+COUNTIF(AK206,"NA")))</f>
        <v/>
      </c>
      <c r="K206" s="34" t="str">
        <f aca="false">IFERROR(I206/J206,"")</f>
        <v/>
      </c>
      <c r="L206" s="29"/>
      <c r="M206" s="35"/>
      <c r="N206" s="36"/>
      <c r="O206" s="36"/>
      <c r="P206" s="29"/>
      <c r="Q206" s="35"/>
      <c r="R206" s="36"/>
      <c r="S206" s="36"/>
      <c r="T206" s="29"/>
      <c r="U206" s="35"/>
      <c r="V206" s="36"/>
      <c r="W206" s="36"/>
      <c r="X206" s="29"/>
      <c r="Y206" s="35"/>
      <c r="Z206" s="36"/>
      <c r="AA206" s="36"/>
      <c r="AB206" s="29"/>
      <c r="AC206" s="35"/>
      <c r="AD206" s="36"/>
      <c r="AE206" s="36"/>
      <c r="AF206" s="29"/>
      <c r="AG206" s="35"/>
      <c r="AH206" s="36"/>
      <c r="AI206" s="36"/>
      <c r="AJ206" s="29"/>
      <c r="AK206" s="35"/>
      <c r="AL206" s="36"/>
      <c r="AM206" s="36"/>
      <c r="AN206" s="29"/>
      <c r="AO206" s="29"/>
      <c r="AP206" s="29"/>
      <c r="AQ206" s="37"/>
      <c r="AR206" s="39" t="str">
        <f aca="false">IF(AN206&lt;&gt;"Yes","",IF(AO206="","SELECT RE-ENTRY STAGE","MOVE TO ACTIVE at "&amp;AO206))</f>
        <v/>
      </c>
      <c r="AS206" s="40" t="str">
        <f aca="false">IF(AN206="Yes",COUNTIF($AN$6:AN206,"Yes"),"")</f>
        <v/>
      </c>
      <c r="AT206" s="29"/>
      <c r="AU206" s="38" t="str">
        <f aca="false">IF($C206="","",IF(OR(F206="Completed",F206="Cancelled"),"",IF(AND(OR(F206="On Hold",ISNUMBER(VALUE(LEFT(H206,2)))),AT206=""),"Reason not given","")))</f>
        <v/>
      </c>
      <c r="AV206" s="30"/>
      <c r="AW206" s="30"/>
    </row>
    <row r="207" customFormat="false" ht="19.5" hidden="false" customHeight="true" outlineLevel="0" collapsed="false">
      <c r="A207" s="28" t="str">
        <f aca="false">IF($C207="","",COUNTA($C$6:$C207))</f>
        <v/>
      </c>
      <c r="B207" s="29"/>
      <c r="C207" s="30"/>
      <c r="D207" s="29"/>
      <c r="E207" s="31" t="str">
        <f aca="false">IF($C207="","",IF(NOT(OR(M207="Completed",M207="NA",M207="Cancelled")),"S1 Schematic",IF(NOT(OR(Q207="Completed",Q207="NA",Q207="Cancelled")),"S2 PCB Layout",IF(NOT(OR(U207="Completed",U207="NA",U207="Cancelled")),"S3 SI &amp; PI",IF(NOT(OR(Y207="Completed",Y207="NA",Y207="Cancelled")),"S4 Bare-PCB Fab",IF(NOT(OR(AC207="Completed",AC207="NA",AC207="Cancelled")),"S5 Assembly",IF(NOT(OR(AG207="Completed",AG207="NA",AG207="Cancelled")),"S6 Bring-up",IF(NOT(OR(AK207="Completed",AK207="NA",AK207="Cancelled")),"S7 BOM Procurement","All Stages Closed"))))))))</f>
        <v/>
      </c>
      <c r="F207" s="32" t="str">
        <f aca="false">IF($C207="","",IF(COUNTIF(M207,"Cancelled")+COUNTIF(Q207,"Cancelled")+COUNTIF(U207,"Cancelled")+COUNTIF(Y207,"Cancelled")+COUNTIF(AC207,"Cancelled")+COUNTIF(AG207,"Cancelled")+COUNTIF(AK207,"Cancelled")&gt;0,"Cancelled",IF(E207="All Stages Closed","Completed",IF(E207="S1 Schematic",M207,IF(E207="S2 PCB Layout",Q207,IF(E207="S3 SI &amp; PI",U207,IF(E207="S4 Bare-PCB Fab",Y207,IF(E207="S5 Assembly",AC207,IF(E207="S6 Bring-up",AG207,AK207)))))))))</f>
        <v/>
      </c>
      <c r="G207" s="33" t="str">
        <f aca="false">IF($C207="","",IF(E207="All Stages Closed","",IF(E207="S1 Schematic",IF(N207="","Not added",N207),IF(E207="S2 PCB Layout",IF(R207="","Not added",R207),IF(E207="S3 SI &amp; PI",IF(V207="","Not added",V207),IF(E207="S4 Bare-PCB Fab",IF(Z207="","Not added",Z207),IF(E207="S5 Assembly",IF(AD207="","Not added",AD207),IF(E207="S6 Bring-up",IF(AH207="","Not added",AH207),IF(AL207="","Not added",AL207)))))))))</f>
        <v/>
      </c>
      <c r="H207" s="32" t="str">
        <f aca="true">IF($C207="","",IF(OR(F207="Completed",F207="Cancelled"),"",IF(NOT(ISNUMBER(G207)),"No date set",IF(TODAY()&gt;G207,TODAY()-G207&amp;" days late",G207-TODAY()&amp;" days left"))))</f>
        <v/>
      </c>
      <c r="I207" s="31" t="str">
        <f aca="false">IF($C207="","",COUNTIF(M207,"Completed")+COUNTIF(Q207,"Completed")+COUNTIF(U207,"Completed")+COUNTIF(Y207,"Completed")+COUNTIF(AC207,"Completed")+COUNTIF(AG207,"Completed")+COUNTIF(AK207,"Completed"))</f>
        <v/>
      </c>
      <c r="J207" s="31" t="str">
        <f aca="false">IF($C207="","",7-(COUNTIF(M207,"NA")+COUNTIF(Q207,"NA")+COUNTIF(U207,"NA")+COUNTIF(Y207,"NA")+COUNTIF(AC207,"NA")+COUNTIF(AG207,"NA")+COUNTIF(AK207,"NA")))</f>
        <v/>
      </c>
      <c r="K207" s="34" t="str">
        <f aca="false">IFERROR(I207/J207,"")</f>
        <v/>
      </c>
      <c r="L207" s="29"/>
      <c r="M207" s="35"/>
      <c r="N207" s="36"/>
      <c r="O207" s="36"/>
      <c r="P207" s="29"/>
      <c r="Q207" s="35"/>
      <c r="R207" s="36"/>
      <c r="S207" s="36"/>
      <c r="T207" s="29"/>
      <c r="U207" s="35"/>
      <c r="V207" s="36"/>
      <c r="W207" s="36"/>
      <c r="X207" s="29"/>
      <c r="Y207" s="35"/>
      <c r="Z207" s="36"/>
      <c r="AA207" s="36"/>
      <c r="AB207" s="29"/>
      <c r="AC207" s="35"/>
      <c r="AD207" s="36"/>
      <c r="AE207" s="36"/>
      <c r="AF207" s="29"/>
      <c r="AG207" s="35"/>
      <c r="AH207" s="36"/>
      <c r="AI207" s="36"/>
      <c r="AJ207" s="29"/>
      <c r="AK207" s="35"/>
      <c r="AL207" s="36"/>
      <c r="AM207" s="36"/>
      <c r="AN207" s="29"/>
      <c r="AO207" s="29"/>
      <c r="AP207" s="29"/>
      <c r="AQ207" s="37"/>
      <c r="AR207" s="39" t="str">
        <f aca="false">IF(AN207&lt;&gt;"Yes","",IF(AO207="","SELECT RE-ENTRY STAGE","MOVE TO ACTIVE at "&amp;AO207))</f>
        <v/>
      </c>
      <c r="AS207" s="40" t="str">
        <f aca="false">IF(AN207="Yes",COUNTIF($AN$6:AN207,"Yes"),"")</f>
        <v/>
      </c>
      <c r="AT207" s="29"/>
      <c r="AU207" s="38" t="str">
        <f aca="false">IF($C207="","",IF(OR(F207="Completed",F207="Cancelled"),"",IF(AND(OR(F207="On Hold",ISNUMBER(VALUE(LEFT(H207,2)))),AT207=""),"Reason not given","")))</f>
        <v/>
      </c>
      <c r="AV207" s="30"/>
      <c r="AW207" s="30"/>
    </row>
    <row r="208" customFormat="false" ht="19.5" hidden="false" customHeight="true" outlineLevel="0" collapsed="false">
      <c r="A208" s="28" t="str">
        <f aca="false">IF($C208="","",COUNTA($C$6:$C208))</f>
        <v/>
      </c>
      <c r="B208" s="29"/>
      <c r="C208" s="30"/>
      <c r="D208" s="29"/>
      <c r="E208" s="31" t="str">
        <f aca="false">IF($C208="","",IF(NOT(OR(M208="Completed",M208="NA",M208="Cancelled")),"S1 Schematic",IF(NOT(OR(Q208="Completed",Q208="NA",Q208="Cancelled")),"S2 PCB Layout",IF(NOT(OR(U208="Completed",U208="NA",U208="Cancelled")),"S3 SI &amp; PI",IF(NOT(OR(Y208="Completed",Y208="NA",Y208="Cancelled")),"S4 Bare-PCB Fab",IF(NOT(OR(AC208="Completed",AC208="NA",AC208="Cancelled")),"S5 Assembly",IF(NOT(OR(AG208="Completed",AG208="NA",AG208="Cancelled")),"S6 Bring-up",IF(NOT(OR(AK208="Completed",AK208="NA",AK208="Cancelled")),"S7 BOM Procurement","All Stages Closed"))))))))</f>
        <v/>
      </c>
      <c r="F208" s="32" t="str">
        <f aca="false">IF($C208="","",IF(COUNTIF(M208,"Cancelled")+COUNTIF(Q208,"Cancelled")+COUNTIF(U208,"Cancelled")+COUNTIF(Y208,"Cancelled")+COUNTIF(AC208,"Cancelled")+COUNTIF(AG208,"Cancelled")+COUNTIF(AK208,"Cancelled")&gt;0,"Cancelled",IF(E208="All Stages Closed","Completed",IF(E208="S1 Schematic",M208,IF(E208="S2 PCB Layout",Q208,IF(E208="S3 SI &amp; PI",U208,IF(E208="S4 Bare-PCB Fab",Y208,IF(E208="S5 Assembly",AC208,IF(E208="S6 Bring-up",AG208,AK208)))))))))</f>
        <v/>
      </c>
      <c r="G208" s="33" t="str">
        <f aca="false">IF($C208="","",IF(E208="All Stages Closed","",IF(E208="S1 Schematic",IF(N208="","Not added",N208),IF(E208="S2 PCB Layout",IF(R208="","Not added",R208),IF(E208="S3 SI &amp; PI",IF(V208="","Not added",V208),IF(E208="S4 Bare-PCB Fab",IF(Z208="","Not added",Z208),IF(E208="S5 Assembly",IF(AD208="","Not added",AD208),IF(E208="S6 Bring-up",IF(AH208="","Not added",AH208),IF(AL208="","Not added",AL208)))))))))</f>
        <v/>
      </c>
      <c r="H208" s="32" t="str">
        <f aca="true">IF($C208="","",IF(OR(F208="Completed",F208="Cancelled"),"",IF(NOT(ISNUMBER(G208)),"No date set",IF(TODAY()&gt;G208,TODAY()-G208&amp;" days late",G208-TODAY()&amp;" days left"))))</f>
        <v/>
      </c>
      <c r="I208" s="31" t="str">
        <f aca="false">IF($C208="","",COUNTIF(M208,"Completed")+COUNTIF(Q208,"Completed")+COUNTIF(U208,"Completed")+COUNTIF(Y208,"Completed")+COUNTIF(AC208,"Completed")+COUNTIF(AG208,"Completed")+COUNTIF(AK208,"Completed"))</f>
        <v/>
      </c>
      <c r="J208" s="31" t="str">
        <f aca="false">IF($C208="","",7-(COUNTIF(M208,"NA")+COUNTIF(Q208,"NA")+COUNTIF(U208,"NA")+COUNTIF(Y208,"NA")+COUNTIF(AC208,"NA")+COUNTIF(AG208,"NA")+COUNTIF(AK208,"NA")))</f>
        <v/>
      </c>
      <c r="K208" s="34" t="str">
        <f aca="false">IFERROR(I208/J208,"")</f>
        <v/>
      </c>
      <c r="L208" s="29"/>
      <c r="M208" s="35"/>
      <c r="N208" s="36"/>
      <c r="O208" s="36"/>
      <c r="P208" s="29"/>
      <c r="Q208" s="35"/>
      <c r="R208" s="36"/>
      <c r="S208" s="36"/>
      <c r="T208" s="29"/>
      <c r="U208" s="35"/>
      <c r="V208" s="36"/>
      <c r="W208" s="36"/>
      <c r="X208" s="29"/>
      <c r="Y208" s="35"/>
      <c r="Z208" s="36"/>
      <c r="AA208" s="36"/>
      <c r="AB208" s="29"/>
      <c r="AC208" s="35"/>
      <c r="AD208" s="36"/>
      <c r="AE208" s="36"/>
      <c r="AF208" s="29"/>
      <c r="AG208" s="35"/>
      <c r="AH208" s="36"/>
      <c r="AI208" s="36"/>
      <c r="AJ208" s="29"/>
      <c r="AK208" s="35"/>
      <c r="AL208" s="36"/>
      <c r="AM208" s="36"/>
      <c r="AN208" s="29"/>
      <c r="AO208" s="29"/>
      <c r="AP208" s="29"/>
      <c r="AQ208" s="37"/>
      <c r="AR208" s="39" t="str">
        <f aca="false">IF(AN208&lt;&gt;"Yes","",IF(AO208="","SELECT RE-ENTRY STAGE","MOVE TO ACTIVE at "&amp;AO208))</f>
        <v/>
      </c>
      <c r="AS208" s="40" t="str">
        <f aca="false">IF(AN208="Yes",COUNTIF($AN$6:AN208,"Yes"),"")</f>
        <v/>
      </c>
      <c r="AT208" s="29"/>
      <c r="AU208" s="38" t="str">
        <f aca="false">IF($C208="","",IF(OR(F208="Completed",F208="Cancelled"),"",IF(AND(OR(F208="On Hold",ISNUMBER(VALUE(LEFT(H208,2)))),AT208=""),"Reason not given","")))</f>
        <v/>
      </c>
      <c r="AV208" s="30"/>
      <c r="AW208" s="30"/>
    </row>
    <row r="209" customFormat="false" ht="19.5" hidden="false" customHeight="true" outlineLevel="0" collapsed="false">
      <c r="A209" s="28" t="str">
        <f aca="false">IF($C209="","",COUNTA($C$6:$C209))</f>
        <v/>
      </c>
      <c r="B209" s="29"/>
      <c r="C209" s="30"/>
      <c r="D209" s="29"/>
      <c r="E209" s="31" t="str">
        <f aca="false">IF($C209="","",IF(NOT(OR(M209="Completed",M209="NA",M209="Cancelled")),"S1 Schematic",IF(NOT(OR(Q209="Completed",Q209="NA",Q209="Cancelled")),"S2 PCB Layout",IF(NOT(OR(U209="Completed",U209="NA",U209="Cancelled")),"S3 SI &amp; PI",IF(NOT(OR(Y209="Completed",Y209="NA",Y209="Cancelled")),"S4 Bare-PCB Fab",IF(NOT(OR(AC209="Completed",AC209="NA",AC209="Cancelled")),"S5 Assembly",IF(NOT(OR(AG209="Completed",AG209="NA",AG209="Cancelled")),"S6 Bring-up",IF(NOT(OR(AK209="Completed",AK209="NA",AK209="Cancelled")),"S7 BOM Procurement","All Stages Closed"))))))))</f>
        <v/>
      </c>
      <c r="F209" s="32" t="str">
        <f aca="false">IF($C209="","",IF(COUNTIF(M209,"Cancelled")+COUNTIF(Q209,"Cancelled")+COUNTIF(U209,"Cancelled")+COUNTIF(Y209,"Cancelled")+COUNTIF(AC209,"Cancelled")+COUNTIF(AG209,"Cancelled")+COUNTIF(AK209,"Cancelled")&gt;0,"Cancelled",IF(E209="All Stages Closed","Completed",IF(E209="S1 Schematic",M209,IF(E209="S2 PCB Layout",Q209,IF(E209="S3 SI &amp; PI",U209,IF(E209="S4 Bare-PCB Fab",Y209,IF(E209="S5 Assembly",AC209,IF(E209="S6 Bring-up",AG209,AK209)))))))))</f>
        <v/>
      </c>
      <c r="G209" s="33" t="str">
        <f aca="false">IF($C209="","",IF(E209="All Stages Closed","",IF(E209="S1 Schematic",IF(N209="","Not added",N209),IF(E209="S2 PCB Layout",IF(R209="","Not added",R209),IF(E209="S3 SI &amp; PI",IF(V209="","Not added",V209),IF(E209="S4 Bare-PCB Fab",IF(Z209="","Not added",Z209),IF(E209="S5 Assembly",IF(AD209="","Not added",AD209),IF(E209="S6 Bring-up",IF(AH209="","Not added",AH209),IF(AL209="","Not added",AL209)))))))))</f>
        <v/>
      </c>
      <c r="H209" s="32" t="str">
        <f aca="true">IF($C209="","",IF(OR(F209="Completed",F209="Cancelled"),"",IF(NOT(ISNUMBER(G209)),"No date set",IF(TODAY()&gt;G209,TODAY()-G209&amp;" days late",G209-TODAY()&amp;" days left"))))</f>
        <v/>
      </c>
      <c r="I209" s="31" t="str">
        <f aca="false">IF($C209="","",COUNTIF(M209,"Completed")+COUNTIF(Q209,"Completed")+COUNTIF(U209,"Completed")+COUNTIF(Y209,"Completed")+COUNTIF(AC209,"Completed")+COUNTIF(AG209,"Completed")+COUNTIF(AK209,"Completed"))</f>
        <v/>
      </c>
      <c r="J209" s="31" t="str">
        <f aca="false">IF($C209="","",7-(COUNTIF(M209,"NA")+COUNTIF(Q209,"NA")+COUNTIF(U209,"NA")+COUNTIF(Y209,"NA")+COUNTIF(AC209,"NA")+COUNTIF(AG209,"NA")+COUNTIF(AK209,"NA")))</f>
        <v/>
      </c>
      <c r="K209" s="34" t="str">
        <f aca="false">IFERROR(I209/J209,"")</f>
        <v/>
      </c>
      <c r="L209" s="29"/>
      <c r="M209" s="35"/>
      <c r="N209" s="36"/>
      <c r="O209" s="36"/>
      <c r="P209" s="29"/>
      <c r="Q209" s="35"/>
      <c r="R209" s="36"/>
      <c r="S209" s="36"/>
      <c r="T209" s="29"/>
      <c r="U209" s="35"/>
      <c r="V209" s="36"/>
      <c r="W209" s="36"/>
      <c r="X209" s="29"/>
      <c r="Y209" s="35"/>
      <c r="Z209" s="36"/>
      <c r="AA209" s="36"/>
      <c r="AB209" s="29"/>
      <c r="AC209" s="35"/>
      <c r="AD209" s="36"/>
      <c r="AE209" s="36"/>
      <c r="AF209" s="29"/>
      <c r="AG209" s="35"/>
      <c r="AH209" s="36"/>
      <c r="AI209" s="36"/>
      <c r="AJ209" s="29"/>
      <c r="AK209" s="35"/>
      <c r="AL209" s="36"/>
      <c r="AM209" s="36"/>
      <c r="AN209" s="29"/>
      <c r="AO209" s="29"/>
      <c r="AP209" s="29"/>
      <c r="AQ209" s="37"/>
      <c r="AR209" s="39" t="str">
        <f aca="false">IF(AN209&lt;&gt;"Yes","",IF(AO209="","SELECT RE-ENTRY STAGE","MOVE TO ACTIVE at "&amp;AO209))</f>
        <v/>
      </c>
      <c r="AS209" s="40" t="str">
        <f aca="false">IF(AN209="Yes",COUNTIF($AN$6:AN209,"Yes"),"")</f>
        <v/>
      </c>
      <c r="AT209" s="29"/>
      <c r="AU209" s="38" t="str">
        <f aca="false">IF($C209="","",IF(OR(F209="Completed",F209="Cancelled"),"",IF(AND(OR(F209="On Hold",ISNUMBER(VALUE(LEFT(H209,2)))),AT209=""),"Reason not given","")))</f>
        <v/>
      </c>
      <c r="AV209" s="30"/>
      <c r="AW209" s="30"/>
    </row>
    <row r="210" customFormat="false" ht="19.5" hidden="false" customHeight="true" outlineLevel="0" collapsed="false">
      <c r="A210" s="28" t="str">
        <f aca="false">IF($C210="","",COUNTA($C$6:$C210))</f>
        <v/>
      </c>
      <c r="B210" s="29"/>
      <c r="C210" s="30"/>
      <c r="D210" s="29"/>
      <c r="E210" s="31" t="str">
        <f aca="false">IF($C210="","",IF(NOT(OR(M210="Completed",M210="NA",M210="Cancelled")),"S1 Schematic",IF(NOT(OR(Q210="Completed",Q210="NA",Q210="Cancelled")),"S2 PCB Layout",IF(NOT(OR(U210="Completed",U210="NA",U210="Cancelled")),"S3 SI &amp; PI",IF(NOT(OR(Y210="Completed",Y210="NA",Y210="Cancelled")),"S4 Bare-PCB Fab",IF(NOT(OR(AC210="Completed",AC210="NA",AC210="Cancelled")),"S5 Assembly",IF(NOT(OR(AG210="Completed",AG210="NA",AG210="Cancelled")),"S6 Bring-up",IF(NOT(OR(AK210="Completed",AK210="NA",AK210="Cancelled")),"S7 BOM Procurement","All Stages Closed"))))))))</f>
        <v/>
      </c>
      <c r="F210" s="32" t="str">
        <f aca="false">IF($C210="","",IF(COUNTIF(M210,"Cancelled")+COUNTIF(Q210,"Cancelled")+COUNTIF(U210,"Cancelled")+COUNTIF(Y210,"Cancelled")+COUNTIF(AC210,"Cancelled")+COUNTIF(AG210,"Cancelled")+COUNTIF(AK210,"Cancelled")&gt;0,"Cancelled",IF(E210="All Stages Closed","Completed",IF(E210="S1 Schematic",M210,IF(E210="S2 PCB Layout",Q210,IF(E210="S3 SI &amp; PI",U210,IF(E210="S4 Bare-PCB Fab",Y210,IF(E210="S5 Assembly",AC210,IF(E210="S6 Bring-up",AG210,AK210)))))))))</f>
        <v/>
      </c>
      <c r="G210" s="33" t="str">
        <f aca="false">IF($C210="","",IF(E210="All Stages Closed","",IF(E210="S1 Schematic",IF(N210="","Not added",N210),IF(E210="S2 PCB Layout",IF(R210="","Not added",R210),IF(E210="S3 SI &amp; PI",IF(V210="","Not added",V210),IF(E210="S4 Bare-PCB Fab",IF(Z210="","Not added",Z210),IF(E210="S5 Assembly",IF(AD210="","Not added",AD210),IF(E210="S6 Bring-up",IF(AH210="","Not added",AH210),IF(AL210="","Not added",AL210)))))))))</f>
        <v/>
      </c>
      <c r="H210" s="32" t="str">
        <f aca="true">IF($C210="","",IF(OR(F210="Completed",F210="Cancelled"),"",IF(NOT(ISNUMBER(G210)),"No date set",IF(TODAY()&gt;G210,TODAY()-G210&amp;" days late",G210-TODAY()&amp;" days left"))))</f>
        <v/>
      </c>
      <c r="I210" s="31" t="str">
        <f aca="false">IF($C210="","",COUNTIF(M210,"Completed")+COUNTIF(Q210,"Completed")+COUNTIF(U210,"Completed")+COUNTIF(Y210,"Completed")+COUNTIF(AC210,"Completed")+COUNTIF(AG210,"Completed")+COUNTIF(AK210,"Completed"))</f>
        <v/>
      </c>
      <c r="J210" s="31" t="str">
        <f aca="false">IF($C210="","",7-(COUNTIF(M210,"NA")+COUNTIF(Q210,"NA")+COUNTIF(U210,"NA")+COUNTIF(Y210,"NA")+COUNTIF(AC210,"NA")+COUNTIF(AG210,"NA")+COUNTIF(AK210,"NA")))</f>
        <v/>
      </c>
      <c r="K210" s="34" t="str">
        <f aca="false">IFERROR(I210/J210,"")</f>
        <v/>
      </c>
      <c r="L210" s="29"/>
      <c r="M210" s="35"/>
      <c r="N210" s="36"/>
      <c r="O210" s="36"/>
      <c r="P210" s="29"/>
      <c r="Q210" s="35"/>
      <c r="R210" s="36"/>
      <c r="S210" s="36"/>
      <c r="T210" s="29"/>
      <c r="U210" s="35"/>
      <c r="V210" s="36"/>
      <c r="W210" s="36"/>
      <c r="X210" s="29"/>
      <c r="Y210" s="35"/>
      <c r="Z210" s="36"/>
      <c r="AA210" s="36"/>
      <c r="AB210" s="29"/>
      <c r="AC210" s="35"/>
      <c r="AD210" s="36"/>
      <c r="AE210" s="36"/>
      <c r="AF210" s="29"/>
      <c r="AG210" s="35"/>
      <c r="AH210" s="36"/>
      <c r="AI210" s="36"/>
      <c r="AJ210" s="29"/>
      <c r="AK210" s="35"/>
      <c r="AL210" s="36"/>
      <c r="AM210" s="36"/>
      <c r="AN210" s="29"/>
      <c r="AO210" s="29"/>
      <c r="AP210" s="29"/>
      <c r="AQ210" s="37"/>
      <c r="AR210" s="39" t="str">
        <f aca="false">IF(AN210&lt;&gt;"Yes","",IF(AO210="","SELECT RE-ENTRY STAGE","MOVE TO ACTIVE at "&amp;AO210))</f>
        <v/>
      </c>
      <c r="AS210" s="40" t="str">
        <f aca="false">IF(AN210="Yes",COUNTIF($AN$6:AN210,"Yes"),"")</f>
        <v/>
      </c>
      <c r="AT210" s="29"/>
      <c r="AU210" s="38" t="str">
        <f aca="false">IF($C210="","",IF(OR(F210="Completed",F210="Cancelled"),"",IF(AND(OR(F210="On Hold",ISNUMBER(VALUE(LEFT(H210,2)))),AT210=""),"Reason not given","")))</f>
        <v/>
      </c>
      <c r="AV210" s="30"/>
      <c r="AW210" s="30"/>
    </row>
    <row r="211" customFormat="false" ht="19.5" hidden="false" customHeight="true" outlineLevel="0" collapsed="false">
      <c r="A211" s="28" t="str">
        <f aca="false">IF($C211="","",COUNTA($C$6:$C211))</f>
        <v/>
      </c>
      <c r="B211" s="29"/>
      <c r="C211" s="30"/>
      <c r="D211" s="29"/>
      <c r="E211" s="31" t="str">
        <f aca="false">IF($C211="","",IF(NOT(OR(M211="Completed",M211="NA",M211="Cancelled")),"S1 Schematic",IF(NOT(OR(Q211="Completed",Q211="NA",Q211="Cancelled")),"S2 PCB Layout",IF(NOT(OR(U211="Completed",U211="NA",U211="Cancelled")),"S3 SI &amp; PI",IF(NOT(OR(Y211="Completed",Y211="NA",Y211="Cancelled")),"S4 Bare-PCB Fab",IF(NOT(OR(AC211="Completed",AC211="NA",AC211="Cancelled")),"S5 Assembly",IF(NOT(OR(AG211="Completed",AG211="NA",AG211="Cancelled")),"S6 Bring-up",IF(NOT(OR(AK211="Completed",AK211="NA",AK211="Cancelled")),"S7 BOM Procurement","All Stages Closed"))))))))</f>
        <v/>
      </c>
      <c r="F211" s="32" t="str">
        <f aca="false">IF($C211="","",IF(COUNTIF(M211,"Cancelled")+COUNTIF(Q211,"Cancelled")+COUNTIF(U211,"Cancelled")+COUNTIF(Y211,"Cancelled")+COUNTIF(AC211,"Cancelled")+COUNTIF(AG211,"Cancelled")+COUNTIF(AK211,"Cancelled")&gt;0,"Cancelled",IF(E211="All Stages Closed","Completed",IF(E211="S1 Schematic",M211,IF(E211="S2 PCB Layout",Q211,IF(E211="S3 SI &amp; PI",U211,IF(E211="S4 Bare-PCB Fab",Y211,IF(E211="S5 Assembly",AC211,IF(E211="S6 Bring-up",AG211,AK211)))))))))</f>
        <v/>
      </c>
      <c r="G211" s="33" t="str">
        <f aca="false">IF($C211="","",IF(E211="All Stages Closed","",IF(E211="S1 Schematic",IF(N211="","Not added",N211),IF(E211="S2 PCB Layout",IF(R211="","Not added",R211),IF(E211="S3 SI &amp; PI",IF(V211="","Not added",V211),IF(E211="S4 Bare-PCB Fab",IF(Z211="","Not added",Z211),IF(E211="S5 Assembly",IF(AD211="","Not added",AD211),IF(E211="S6 Bring-up",IF(AH211="","Not added",AH211),IF(AL211="","Not added",AL211)))))))))</f>
        <v/>
      </c>
      <c r="H211" s="32" t="str">
        <f aca="true">IF($C211="","",IF(OR(F211="Completed",F211="Cancelled"),"",IF(NOT(ISNUMBER(G211)),"No date set",IF(TODAY()&gt;G211,TODAY()-G211&amp;" days late",G211-TODAY()&amp;" days left"))))</f>
        <v/>
      </c>
      <c r="I211" s="31" t="str">
        <f aca="false">IF($C211="","",COUNTIF(M211,"Completed")+COUNTIF(Q211,"Completed")+COUNTIF(U211,"Completed")+COUNTIF(Y211,"Completed")+COUNTIF(AC211,"Completed")+COUNTIF(AG211,"Completed")+COUNTIF(AK211,"Completed"))</f>
        <v/>
      </c>
      <c r="J211" s="31" t="str">
        <f aca="false">IF($C211="","",7-(COUNTIF(M211,"NA")+COUNTIF(Q211,"NA")+COUNTIF(U211,"NA")+COUNTIF(Y211,"NA")+COUNTIF(AC211,"NA")+COUNTIF(AG211,"NA")+COUNTIF(AK211,"NA")))</f>
        <v/>
      </c>
      <c r="K211" s="34" t="str">
        <f aca="false">IFERROR(I211/J211,"")</f>
        <v/>
      </c>
      <c r="L211" s="29"/>
      <c r="M211" s="35"/>
      <c r="N211" s="36"/>
      <c r="O211" s="36"/>
      <c r="P211" s="29"/>
      <c r="Q211" s="35"/>
      <c r="R211" s="36"/>
      <c r="S211" s="36"/>
      <c r="T211" s="29"/>
      <c r="U211" s="35"/>
      <c r="V211" s="36"/>
      <c r="W211" s="36"/>
      <c r="X211" s="29"/>
      <c r="Y211" s="35"/>
      <c r="Z211" s="36"/>
      <c r="AA211" s="36"/>
      <c r="AB211" s="29"/>
      <c r="AC211" s="35"/>
      <c r="AD211" s="36"/>
      <c r="AE211" s="36"/>
      <c r="AF211" s="29"/>
      <c r="AG211" s="35"/>
      <c r="AH211" s="36"/>
      <c r="AI211" s="36"/>
      <c r="AJ211" s="29"/>
      <c r="AK211" s="35"/>
      <c r="AL211" s="36"/>
      <c r="AM211" s="36"/>
      <c r="AN211" s="29"/>
      <c r="AO211" s="29"/>
      <c r="AP211" s="29"/>
      <c r="AQ211" s="37"/>
      <c r="AR211" s="39" t="str">
        <f aca="false">IF(AN211&lt;&gt;"Yes","",IF(AO211="","SELECT RE-ENTRY STAGE","MOVE TO ACTIVE at "&amp;AO211))</f>
        <v/>
      </c>
      <c r="AS211" s="40" t="str">
        <f aca="false">IF(AN211="Yes",COUNTIF($AN$6:AN211,"Yes"),"")</f>
        <v/>
      </c>
      <c r="AT211" s="29"/>
      <c r="AU211" s="38" t="str">
        <f aca="false">IF($C211="","",IF(OR(F211="Completed",F211="Cancelled"),"",IF(AND(OR(F211="On Hold",ISNUMBER(VALUE(LEFT(H211,2)))),AT211=""),"Reason not given","")))</f>
        <v/>
      </c>
      <c r="AV211" s="30"/>
      <c r="AW211" s="30"/>
    </row>
    <row r="212" customFormat="false" ht="19.5" hidden="false" customHeight="true" outlineLevel="0" collapsed="false">
      <c r="A212" s="28" t="str">
        <f aca="false">IF($C212="","",COUNTA($C$6:$C212))</f>
        <v/>
      </c>
      <c r="B212" s="29"/>
      <c r="C212" s="30"/>
      <c r="D212" s="29"/>
      <c r="E212" s="31" t="str">
        <f aca="false">IF($C212="","",IF(NOT(OR(M212="Completed",M212="NA",M212="Cancelled")),"S1 Schematic",IF(NOT(OR(Q212="Completed",Q212="NA",Q212="Cancelled")),"S2 PCB Layout",IF(NOT(OR(U212="Completed",U212="NA",U212="Cancelled")),"S3 SI &amp; PI",IF(NOT(OR(Y212="Completed",Y212="NA",Y212="Cancelled")),"S4 Bare-PCB Fab",IF(NOT(OR(AC212="Completed",AC212="NA",AC212="Cancelled")),"S5 Assembly",IF(NOT(OR(AG212="Completed",AG212="NA",AG212="Cancelled")),"S6 Bring-up",IF(NOT(OR(AK212="Completed",AK212="NA",AK212="Cancelled")),"S7 BOM Procurement","All Stages Closed"))))))))</f>
        <v/>
      </c>
      <c r="F212" s="32" t="str">
        <f aca="false">IF($C212="","",IF(COUNTIF(M212,"Cancelled")+COUNTIF(Q212,"Cancelled")+COUNTIF(U212,"Cancelled")+COUNTIF(Y212,"Cancelled")+COUNTIF(AC212,"Cancelled")+COUNTIF(AG212,"Cancelled")+COUNTIF(AK212,"Cancelled")&gt;0,"Cancelled",IF(E212="All Stages Closed","Completed",IF(E212="S1 Schematic",M212,IF(E212="S2 PCB Layout",Q212,IF(E212="S3 SI &amp; PI",U212,IF(E212="S4 Bare-PCB Fab",Y212,IF(E212="S5 Assembly",AC212,IF(E212="S6 Bring-up",AG212,AK212)))))))))</f>
        <v/>
      </c>
      <c r="G212" s="33" t="str">
        <f aca="false">IF($C212="","",IF(E212="All Stages Closed","",IF(E212="S1 Schematic",IF(N212="","Not added",N212),IF(E212="S2 PCB Layout",IF(R212="","Not added",R212),IF(E212="S3 SI &amp; PI",IF(V212="","Not added",V212),IF(E212="S4 Bare-PCB Fab",IF(Z212="","Not added",Z212),IF(E212="S5 Assembly",IF(AD212="","Not added",AD212),IF(E212="S6 Bring-up",IF(AH212="","Not added",AH212),IF(AL212="","Not added",AL212)))))))))</f>
        <v/>
      </c>
      <c r="H212" s="32" t="str">
        <f aca="true">IF($C212="","",IF(OR(F212="Completed",F212="Cancelled"),"",IF(NOT(ISNUMBER(G212)),"No date set",IF(TODAY()&gt;G212,TODAY()-G212&amp;" days late",G212-TODAY()&amp;" days left"))))</f>
        <v/>
      </c>
      <c r="I212" s="31" t="str">
        <f aca="false">IF($C212="","",COUNTIF(M212,"Completed")+COUNTIF(Q212,"Completed")+COUNTIF(U212,"Completed")+COUNTIF(Y212,"Completed")+COUNTIF(AC212,"Completed")+COUNTIF(AG212,"Completed")+COUNTIF(AK212,"Completed"))</f>
        <v/>
      </c>
      <c r="J212" s="31" t="str">
        <f aca="false">IF($C212="","",7-(COUNTIF(M212,"NA")+COUNTIF(Q212,"NA")+COUNTIF(U212,"NA")+COUNTIF(Y212,"NA")+COUNTIF(AC212,"NA")+COUNTIF(AG212,"NA")+COUNTIF(AK212,"NA")))</f>
        <v/>
      </c>
      <c r="K212" s="34" t="str">
        <f aca="false">IFERROR(I212/J212,"")</f>
        <v/>
      </c>
      <c r="L212" s="29"/>
      <c r="M212" s="35"/>
      <c r="N212" s="36"/>
      <c r="O212" s="36"/>
      <c r="P212" s="29"/>
      <c r="Q212" s="35"/>
      <c r="R212" s="36"/>
      <c r="S212" s="36"/>
      <c r="T212" s="29"/>
      <c r="U212" s="35"/>
      <c r="V212" s="36"/>
      <c r="W212" s="36"/>
      <c r="X212" s="29"/>
      <c r="Y212" s="35"/>
      <c r="Z212" s="36"/>
      <c r="AA212" s="36"/>
      <c r="AB212" s="29"/>
      <c r="AC212" s="35"/>
      <c r="AD212" s="36"/>
      <c r="AE212" s="36"/>
      <c r="AF212" s="29"/>
      <c r="AG212" s="35"/>
      <c r="AH212" s="36"/>
      <c r="AI212" s="36"/>
      <c r="AJ212" s="29"/>
      <c r="AK212" s="35"/>
      <c r="AL212" s="36"/>
      <c r="AM212" s="36"/>
      <c r="AN212" s="29"/>
      <c r="AO212" s="29"/>
      <c r="AP212" s="29"/>
      <c r="AQ212" s="37"/>
      <c r="AR212" s="39" t="str">
        <f aca="false">IF(AN212&lt;&gt;"Yes","",IF(AO212="","SELECT RE-ENTRY STAGE","MOVE TO ACTIVE at "&amp;AO212))</f>
        <v/>
      </c>
      <c r="AS212" s="40" t="str">
        <f aca="false">IF(AN212="Yes",COUNTIF($AN$6:AN212,"Yes"),"")</f>
        <v/>
      </c>
      <c r="AT212" s="29"/>
      <c r="AU212" s="38" t="str">
        <f aca="false">IF($C212="","",IF(OR(F212="Completed",F212="Cancelled"),"",IF(AND(OR(F212="On Hold",ISNUMBER(VALUE(LEFT(H212,2)))),AT212=""),"Reason not given","")))</f>
        <v/>
      </c>
      <c r="AV212" s="30"/>
      <c r="AW212" s="30"/>
    </row>
    <row r="213" customFormat="false" ht="19.5" hidden="false" customHeight="true" outlineLevel="0" collapsed="false">
      <c r="A213" s="28" t="str">
        <f aca="false">IF($C213="","",COUNTA($C$6:$C213))</f>
        <v/>
      </c>
      <c r="B213" s="29"/>
      <c r="C213" s="30"/>
      <c r="D213" s="29"/>
      <c r="E213" s="31" t="str">
        <f aca="false">IF($C213="","",IF(NOT(OR(M213="Completed",M213="NA",M213="Cancelled")),"S1 Schematic",IF(NOT(OR(Q213="Completed",Q213="NA",Q213="Cancelled")),"S2 PCB Layout",IF(NOT(OR(U213="Completed",U213="NA",U213="Cancelled")),"S3 SI &amp; PI",IF(NOT(OR(Y213="Completed",Y213="NA",Y213="Cancelled")),"S4 Bare-PCB Fab",IF(NOT(OR(AC213="Completed",AC213="NA",AC213="Cancelled")),"S5 Assembly",IF(NOT(OR(AG213="Completed",AG213="NA",AG213="Cancelled")),"S6 Bring-up",IF(NOT(OR(AK213="Completed",AK213="NA",AK213="Cancelled")),"S7 BOM Procurement","All Stages Closed"))))))))</f>
        <v/>
      </c>
      <c r="F213" s="32" t="str">
        <f aca="false">IF($C213="","",IF(COUNTIF(M213,"Cancelled")+COUNTIF(Q213,"Cancelled")+COUNTIF(U213,"Cancelled")+COUNTIF(Y213,"Cancelled")+COUNTIF(AC213,"Cancelled")+COUNTIF(AG213,"Cancelled")+COUNTIF(AK213,"Cancelled")&gt;0,"Cancelled",IF(E213="All Stages Closed","Completed",IF(E213="S1 Schematic",M213,IF(E213="S2 PCB Layout",Q213,IF(E213="S3 SI &amp; PI",U213,IF(E213="S4 Bare-PCB Fab",Y213,IF(E213="S5 Assembly",AC213,IF(E213="S6 Bring-up",AG213,AK213)))))))))</f>
        <v/>
      </c>
      <c r="G213" s="33" t="str">
        <f aca="false">IF($C213="","",IF(E213="All Stages Closed","",IF(E213="S1 Schematic",IF(N213="","Not added",N213),IF(E213="S2 PCB Layout",IF(R213="","Not added",R213),IF(E213="S3 SI &amp; PI",IF(V213="","Not added",V213),IF(E213="S4 Bare-PCB Fab",IF(Z213="","Not added",Z213),IF(E213="S5 Assembly",IF(AD213="","Not added",AD213),IF(E213="S6 Bring-up",IF(AH213="","Not added",AH213),IF(AL213="","Not added",AL213)))))))))</f>
        <v/>
      </c>
      <c r="H213" s="32" t="str">
        <f aca="true">IF($C213="","",IF(OR(F213="Completed",F213="Cancelled"),"",IF(NOT(ISNUMBER(G213)),"No date set",IF(TODAY()&gt;G213,TODAY()-G213&amp;" days late",G213-TODAY()&amp;" days left"))))</f>
        <v/>
      </c>
      <c r="I213" s="31" t="str">
        <f aca="false">IF($C213="","",COUNTIF(M213,"Completed")+COUNTIF(Q213,"Completed")+COUNTIF(U213,"Completed")+COUNTIF(Y213,"Completed")+COUNTIF(AC213,"Completed")+COUNTIF(AG213,"Completed")+COUNTIF(AK213,"Completed"))</f>
        <v/>
      </c>
      <c r="J213" s="31" t="str">
        <f aca="false">IF($C213="","",7-(COUNTIF(M213,"NA")+COUNTIF(Q213,"NA")+COUNTIF(U213,"NA")+COUNTIF(Y213,"NA")+COUNTIF(AC213,"NA")+COUNTIF(AG213,"NA")+COUNTIF(AK213,"NA")))</f>
        <v/>
      </c>
      <c r="K213" s="34" t="str">
        <f aca="false">IFERROR(I213/J213,"")</f>
        <v/>
      </c>
      <c r="L213" s="29"/>
      <c r="M213" s="35"/>
      <c r="N213" s="36"/>
      <c r="O213" s="36"/>
      <c r="P213" s="29"/>
      <c r="Q213" s="35"/>
      <c r="R213" s="36"/>
      <c r="S213" s="36"/>
      <c r="T213" s="29"/>
      <c r="U213" s="35"/>
      <c r="V213" s="36"/>
      <c r="W213" s="36"/>
      <c r="X213" s="29"/>
      <c r="Y213" s="35"/>
      <c r="Z213" s="36"/>
      <c r="AA213" s="36"/>
      <c r="AB213" s="29"/>
      <c r="AC213" s="35"/>
      <c r="AD213" s="36"/>
      <c r="AE213" s="36"/>
      <c r="AF213" s="29"/>
      <c r="AG213" s="35"/>
      <c r="AH213" s="36"/>
      <c r="AI213" s="36"/>
      <c r="AJ213" s="29"/>
      <c r="AK213" s="35"/>
      <c r="AL213" s="36"/>
      <c r="AM213" s="36"/>
      <c r="AN213" s="29"/>
      <c r="AO213" s="29"/>
      <c r="AP213" s="29"/>
      <c r="AQ213" s="37"/>
      <c r="AR213" s="39" t="str">
        <f aca="false">IF(AN213&lt;&gt;"Yes","",IF(AO213="","SELECT RE-ENTRY STAGE","MOVE TO ACTIVE at "&amp;AO213))</f>
        <v/>
      </c>
      <c r="AS213" s="40" t="str">
        <f aca="false">IF(AN213="Yes",COUNTIF($AN$6:AN213,"Yes"),"")</f>
        <v/>
      </c>
      <c r="AT213" s="29"/>
      <c r="AU213" s="38" t="str">
        <f aca="false">IF($C213="","",IF(OR(F213="Completed",F213="Cancelled"),"",IF(AND(OR(F213="On Hold",ISNUMBER(VALUE(LEFT(H213,2)))),AT213=""),"Reason not given","")))</f>
        <v/>
      </c>
      <c r="AV213" s="30"/>
      <c r="AW213" s="30"/>
    </row>
    <row r="214" customFormat="false" ht="19.5" hidden="false" customHeight="true" outlineLevel="0" collapsed="false">
      <c r="A214" s="28" t="str">
        <f aca="false">IF($C214="","",COUNTA($C$6:$C214))</f>
        <v/>
      </c>
      <c r="B214" s="29"/>
      <c r="C214" s="30"/>
      <c r="D214" s="29"/>
      <c r="E214" s="31" t="str">
        <f aca="false">IF($C214="","",IF(NOT(OR(M214="Completed",M214="NA",M214="Cancelled")),"S1 Schematic",IF(NOT(OR(Q214="Completed",Q214="NA",Q214="Cancelled")),"S2 PCB Layout",IF(NOT(OR(U214="Completed",U214="NA",U214="Cancelled")),"S3 SI &amp; PI",IF(NOT(OR(Y214="Completed",Y214="NA",Y214="Cancelled")),"S4 Bare-PCB Fab",IF(NOT(OR(AC214="Completed",AC214="NA",AC214="Cancelled")),"S5 Assembly",IF(NOT(OR(AG214="Completed",AG214="NA",AG214="Cancelled")),"S6 Bring-up",IF(NOT(OR(AK214="Completed",AK214="NA",AK214="Cancelled")),"S7 BOM Procurement","All Stages Closed"))))))))</f>
        <v/>
      </c>
      <c r="F214" s="32" t="str">
        <f aca="false">IF($C214="","",IF(COUNTIF(M214,"Cancelled")+COUNTIF(Q214,"Cancelled")+COUNTIF(U214,"Cancelled")+COUNTIF(Y214,"Cancelled")+COUNTIF(AC214,"Cancelled")+COUNTIF(AG214,"Cancelled")+COUNTIF(AK214,"Cancelled")&gt;0,"Cancelled",IF(E214="All Stages Closed","Completed",IF(E214="S1 Schematic",M214,IF(E214="S2 PCB Layout",Q214,IF(E214="S3 SI &amp; PI",U214,IF(E214="S4 Bare-PCB Fab",Y214,IF(E214="S5 Assembly",AC214,IF(E214="S6 Bring-up",AG214,AK214)))))))))</f>
        <v/>
      </c>
      <c r="G214" s="33" t="str">
        <f aca="false">IF($C214="","",IF(E214="All Stages Closed","",IF(E214="S1 Schematic",IF(N214="","Not added",N214),IF(E214="S2 PCB Layout",IF(R214="","Not added",R214),IF(E214="S3 SI &amp; PI",IF(V214="","Not added",V214),IF(E214="S4 Bare-PCB Fab",IF(Z214="","Not added",Z214),IF(E214="S5 Assembly",IF(AD214="","Not added",AD214),IF(E214="S6 Bring-up",IF(AH214="","Not added",AH214),IF(AL214="","Not added",AL214)))))))))</f>
        <v/>
      </c>
      <c r="H214" s="32" t="str">
        <f aca="true">IF($C214="","",IF(OR(F214="Completed",F214="Cancelled"),"",IF(NOT(ISNUMBER(G214)),"No date set",IF(TODAY()&gt;G214,TODAY()-G214&amp;" days late",G214-TODAY()&amp;" days left"))))</f>
        <v/>
      </c>
      <c r="I214" s="31" t="str">
        <f aca="false">IF($C214="","",COUNTIF(M214,"Completed")+COUNTIF(Q214,"Completed")+COUNTIF(U214,"Completed")+COUNTIF(Y214,"Completed")+COUNTIF(AC214,"Completed")+COUNTIF(AG214,"Completed")+COUNTIF(AK214,"Completed"))</f>
        <v/>
      </c>
      <c r="J214" s="31" t="str">
        <f aca="false">IF($C214="","",7-(COUNTIF(M214,"NA")+COUNTIF(Q214,"NA")+COUNTIF(U214,"NA")+COUNTIF(Y214,"NA")+COUNTIF(AC214,"NA")+COUNTIF(AG214,"NA")+COUNTIF(AK214,"NA")))</f>
        <v/>
      </c>
      <c r="K214" s="34" t="str">
        <f aca="false">IFERROR(I214/J214,"")</f>
        <v/>
      </c>
      <c r="L214" s="29"/>
      <c r="M214" s="35"/>
      <c r="N214" s="36"/>
      <c r="O214" s="36"/>
      <c r="P214" s="29"/>
      <c r="Q214" s="35"/>
      <c r="R214" s="36"/>
      <c r="S214" s="36"/>
      <c r="T214" s="29"/>
      <c r="U214" s="35"/>
      <c r="V214" s="36"/>
      <c r="W214" s="36"/>
      <c r="X214" s="29"/>
      <c r="Y214" s="35"/>
      <c r="Z214" s="36"/>
      <c r="AA214" s="36"/>
      <c r="AB214" s="29"/>
      <c r="AC214" s="35"/>
      <c r="AD214" s="36"/>
      <c r="AE214" s="36"/>
      <c r="AF214" s="29"/>
      <c r="AG214" s="35"/>
      <c r="AH214" s="36"/>
      <c r="AI214" s="36"/>
      <c r="AJ214" s="29"/>
      <c r="AK214" s="35"/>
      <c r="AL214" s="36"/>
      <c r="AM214" s="36"/>
      <c r="AN214" s="29"/>
      <c r="AO214" s="29"/>
      <c r="AP214" s="29"/>
      <c r="AQ214" s="37"/>
      <c r="AR214" s="39" t="str">
        <f aca="false">IF(AN214&lt;&gt;"Yes","",IF(AO214="","SELECT RE-ENTRY STAGE","MOVE TO ACTIVE at "&amp;AO214))</f>
        <v/>
      </c>
      <c r="AS214" s="40" t="str">
        <f aca="false">IF(AN214="Yes",COUNTIF($AN$6:AN214,"Yes"),"")</f>
        <v/>
      </c>
      <c r="AT214" s="29"/>
      <c r="AU214" s="38" t="str">
        <f aca="false">IF($C214="","",IF(OR(F214="Completed",F214="Cancelled"),"",IF(AND(OR(F214="On Hold",ISNUMBER(VALUE(LEFT(H214,2)))),AT214=""),"Reason not given","")))</f>
        <v/>
      </c>
      <c r="AV214" s="30"/>
      <c r="AW214" s="30"/>
    </row>
    <row r="215" customFormat="false" ht="19.5" hidden="false" customHeight="true" outlineLevel="0" collapsed="false">
      <c r="A215" s="28" t="str">
        <f aca="false">IF($C215="","",COUNTA($C$6:$C215))</f>
        <v/>
      </c>
      <c r="B215" s="29"/>
      <c r="C215" s="30"/>
      <c r="D215" s="29"/>
      <c r="E215" s="31" t="str">
        <f aca="false">IF($C215="","",IF(NOT(OR(M215="Completed",M215="NA",M215="Cancelled")),"S1 Schematic",IF(NOT(OR(Q215="Completed",Q215="NA",Q215="Cancelled")),"S2 PCB Layout",IF(NOT(OR(U215="Completed",U215="NA",U215="Cancelled")),"S3 SI &amp; PI",IF(NOT(OR(Y215="Completed",Y215="NA",Y215="Cancelled")),"S4 Bare-PCB Fab",IF(NOT(OR(AC215="Completed",AC215="NA",AC215="Cancelled")),"S5 Assembly",IF(NOT(OR(AG215="Completed",AG215="NA",AG215="Cancelled")),"S6 Bring-up",IF(NOT(OR(AK215="Completed",AK215="NA",AK215="Cancelled")),"S7 BOM Procurement","All Stages Closed"))))))))</f>
        <v/>
      </c>
      <c r="F215" s="32" t="str">
        <f aca="false">IF($C215="","",IF(COUNTIF(M215,"Cancelled")+COUNTIF(Q215,"Cancelled")+COUNTIF(U215,"Cancelled")+COUNTIF(Y215,"Cancelled")+COUNTIF(AC215,"Cancelled")+COUNTIF(AG215,"Cancelled")+COUNTIF(AK215,"Cancelled")&gt;0,"Cancelled",IF(E215="All Stages Closed","Completed",IF(E215="S1 Schematic",M215,IF(E215="S2 PCB Layout",Q215,IF(E215="S3 SI &amp; PI",U215,IF(E215="S4 Bare-PCB Fab",Y215,IF(E215="S5 Assembly",AC215,IF(E215="S6 Bring-up",AG215,AK215)))))))))</f>
        <v/>
      </c>
      <c r="G215" s="33" t="str">
        <f aca="false">IF($C215="","",IF(E215="All Stages Closed","",IF(E215="S1 Schematic",IF(N215="","Not added",N215),IF(E215="S2 PCB Layout",IF(R215="","Not added",R215),IF(E215="S3 SI &amp; PI",IF(V215="","Not added",V215),IF(E215="S4 Bare-PCB Fab",IF(Z215="","Not added",Z215),IF(E215="S5 Assembly",IF(AD215="","Not added",AD215),IF(E215="S6 Bring-up",IF(AH215="","Not added",AH215),IF(AL215="","Not added",AL215)))))))))</f>
        <v/>
      </c>
      <c r="H215" s="32" t="str">
        <f aca="true">IF($C215="","",IF(OR(F215="Completed",F215="Cancelled"),"",IF(NOT(ISNUMBER(G215)),"No date set",IF(TODAY()&gt;G215,TODAY()-G215&amp;" days late",G215-TODAY()&amp;" days left"))))</f>
        <v/>
      </c>
      <c r="I215" s="31" t="str">
        <f aca="false">IF($C215="","",COUNTIF(M215,"Completed")+COUNTIF(Q215,"Completed")+COUNTIF(U215,"Completed")+COUNTIF(Y215,"Completed")+COUNTIF(AC215,"Completed")+COUNTIF(AG215,"Completed")+COUNTIF(AK215,"Completed"))</f>
        <v/>
      </c>
      <c r="J215" s="31" t="str">
        <f aca="false">IF($C215="","",7-(COUNTIF(M215,"NA")+COUNTIF(Q215,"NA")+COUNTIF(U215,"NA")+COUNTIF(Y215,"NA")+COUNTIF(AC215,"NA")+COUNTIF(AG215,"NA")+COUNTIF(AK215,"NA")))</f>
        <v/>
      </c>
      <c r="K215" s="34" t="str">
        <f aca="false">IFERROR(I215/J215,"")</f>
        <v/>
      </c>
      <c r="L215" s="29"/>
      <c r="M215" s="35"/>
      <c r="N215" s="36"/>
      <c r="O215" s="36"/>
      <c r="P215" s="29"/>
      <c r="Q215" s="35"/>
      <c r="R215" s="36"/>
      <c r="S215" s="36"/>
      <c r="T215" s="29"/>
      <c r="U215" s="35"/>
      <c r="V215" s="36"/>
      <c r="W215" s="36"/>
      <c r="X215" s="29"/>
      <c r="Y215" s="35"/>
      <c r="Z215" s="36"/>
      <c r="AA215" s="36"/>
      <c r="AB215" s="29"/>
      <c r="AC215" s="35"/>
      <c r="AD215" s="36"/>
      <c r="AE215" s="36"/>
      <c r="AF215" s="29"/>
      <c r="AG215" s="35"/>
      <c r="AH215" s="36"/>
      <c r="AI215" s="36"/>
      <c r="AJ215" s="29"/>
      <c r="AK215" s="35"/>
      <c r="AL215" s="36"/>
      <c r="AM215" s="36"/>
      <c r="AN215" s="29"/>
      <c r="AO215" s="29"/>
      <c r="AP215" s="29"/>
      <c r="AQ215" s="37"/>
      <c r="AR215" s="39" t="str">
        <f aca="false">IF(AN215&lt;&gt;"Yes","",IF(AO215="","SELECT RE-ENTRY STAGE","MOVE TO ACTIVE at "&amp;AO215))</f>
        <v/>
      </c>
      <c r="AS215" s="40" t="str">
        <f aca="false">IF(AN215="Yes",COUNTIF($AN$6:AN215,"Yes"),"")</f>
        <v/>
      </c>
      <c r="AT215" s="29"/>
      <c r="AU215" s="38" t="str">
        <f aca="false">IF($C215="","",IF(OR(F215="Completed",F215="Cancelled"),"",IF(AND(OR(F215="On Hold",ISNUMBER(VALUE(LEFT(H215,2)))),AT215=""),"Reason not given","")))</f>
        <v/>
      </c>
      <c r="AV215" s="30"/>
      <c r="AW215" s="30"/>
    </row>
    <row r="216" customFormat="false" ht="19.5" hidden="false" customHeight="true" outlineLevel="0" collapsed="false">
      <c r="A216" s="28" t="str">
        <f aca="false">IF($C216="","",COUNTA($C$6:$C216))</f>
        <v/>
      </c>
      <c r="B216" s="29"/>
      <c r="C216" s="30"/>
      <c r="D216" s="29"/>
      <c r="E216" s="31" t="str">
        <f aca="false">IF($C216="","",IF(NOT(OR(M216="Completed",M216="NA",M216="Cancelled")),"S1 Schematic",IF(NOT(OR(Q216="Completed",Q216="NA",Q216="Cancelled")),"S2 PCB Layout",IF(NOT(OR(U216="Completed",U216="NA",U216="Cancelled")),"S3 SI &amp; PI",IF(NOT(OR(Y216="Completed",Y216="NA",Y216="Cancelled")),"S4 Bare-PCB Fab",IF(NOT(OR(AC216="Completed",AC216="NA",AC216="Cancelled")),"S5 Assembly",IF(NOT(OR(AG216="Completed",AG216="NA",AG216="Cancelled")),"S6 Bring-up",IF(NOT(OR(AK216="Completed",AK216="NA",AK216="Cancelled")),"S7 BOM Procurement","All Stages Closed"))))))))</f>
        <v/>
      </c>
      <c r="F216" s="32" t="str">
        <f aca="false">IF($C216="","",IF(COUNTIF(M216,"Cancelled")+COUNTIF(Q216,"Cancelled")+COUNTIF(U216,"Cancelled")+COUNTIF(Y216,"Cancelled")+COUNTIF(AC216,"Cancelled")+COUNTIF(AG216,"Cancelled")+COUNTIF(AK216,"Cancelled")&gt;0,"Cancelled",IF(E216="All Stages Closed","Completed",IF(E216="S1 Schematic",M216,IF(E216="S2 PCB Layout",Q216,IF(E216="S3 SI &amp; PI",U216,IF(E216="S4 Bare-PCB Fab",Y216,IF(E216="S5 Assembly",AC216,IF(E216="S6 Bring-up",AG216,AK216)))))))))</f>
        <v/>
      </c>
      <c r="G216" s="33" t="str">
        <f aca="false">IF($C216="","",IF(E216="All Stages Closed","",IF(E216="S1 Schematic",IF(N216="","Not added",N216),IF(E216="S2 PCB Layout",IF(R216="","Not added",R216),IF(E216="S3 SI &amp; PI",IF(V216="","Not added",V216),IF(E216="S4 Bare-PCB Fab",IF(Z216="","Not added",Z216),IF(E216="S5 Assembly",IF(AD216="","Not added",AD216),IF(E216="S6 Bring-up",IF(AH216="","Not added",AH216),IF(AL216="","Not added",AL216)))))))))</f>
        <v/>
      </c>
      <c r="H216" s="32" t="str">
        <f aca="true">IF($C216="","",IF(OR(F216="Completed",F216="Cancelled"),"",IF(NOT(ISNUMBER(G216)),"No date set",IF(TODAY()&gt;G216,TODAY()-G216&amp;" days late",G216-TODAY()&amp;" days left"))))</f>
        <v/>
      </c>
      <c r="I216" s="31" t="str">
        <f aca="false">IF($C216="","",COUNTIF(M216,"Completed")+COUNTIF(Q216,"Completed")+COUNTIF(U216,"Completed")+COUNTIF(Y216,"Completed")+COUNTIF(AC216,"Completed")+COUNTIF(AG216,"Completed")+COUNTIF(AK216,"Completed"))</f>
        <v/>
      </c>
      <c r="J216" s="31" t="str">
        <f aca="false">IF($C216="","",7-(COUNTIF(M216,"NA")+COUNTIF(Q216,"NA")+COUNTIF(U216,"NA")+COUNTIF(Y216,"NA")+COUNTIF(AC216,"NA")+COUNTIF(AG216,"NA")+COUNTIF(AK216,"NA")))</f>
        <v/>
      </c>
      <c r="K216" s="34" t="str">
        <f aca="false">IFERROR(I216/J216,"")</f>
        <v/>
      </c>
      <c r="L216" s="29"/>
      <c r="M216" s="35"/>
      <c r="N216" s="36"/>
      <c r="O216" s="36"/>
      <c r="P216" s="29"/>
      <c r="Q216" s="35"/>
      <c r="R216" s="36"/>
      <c r="S216" s="36"/>
      <c r="T216" s="29"/>
      <c r="U216" s="35"/>
      <c r="V216" s="36"/>
      <c r="W216" s="36"/>
      <c r="X216" s="29"/>
      <c r="Y216" s="35"/>
      <c r="Z216" s="36"/>
      <c r="AA216" s="36"/>
      <c r="AB216" s="29"/>
      <c r="AC216" s="35"/>
      <c r="AD216" s="36"/>
      <c r="AE216" s="36"/>
      <c r="AF216" s="29"/>
      <c r="AG216" s="35"/>
      <c r="AH216" s="36"/>
      <c r="AI216" s="36"/>
      <c r="AJ216" s="29"/>
      <c r="AK216" s="35"/>
      <c r="AL216" s="36"/>
      <c r="AM216" s="36"/>
      <c r="AN216" s="29"/>
      <c r="AO216" s="29"/>
      <c r="AP216" s="29"/>
      <c r="AQ216" s="37"/>
      <c r="AR216" s="39" t="str">
        <f aca="false">IF(AN216&lt;&gt;"Yes","",IF(AO216="","SELECT RE-ENTRY STAGE","MOVE TO ACTIVE at "&amp;AO216))</f>
        <v/>
      </c>
      <c r="AS216" s="40" t="str">
        <f aca="false">IF(AN216="Yes",COUNTIF($AN$6:AN216,"Yes"),"")</f>
        <v/>
      </c>
      <c r="AT216" s="29"/>
      <c r="AU216" s="38" t="str">
        <f aca="false">IF($C216="","",IF(OR(F216="Completed",F216="Cancelled"),"",IF(AND(OR(F216="On Hold",ISNUMBER(VALUE(LEFT(H216,2)))),AT216=""),"Reason not given","")))</f>
        <v/>
      </c>
      <c r="AV216" s="30"/>
      <c r="AW216" s="30"/>
    </row>
    <row r="217" customFormat="false" ht="19.5" hidden="false" customHeight="true" outlineLevel="0" collapsed="false">
      <c r="A217" s="28" t="str">
        <f aca="false">IF($C217="","",COUNTA($C$6:$C217))</f>
        <v/>
      </c>
      <c r="B217" s="29"/>
      <c r="C217" s="30"/>
      <c r="D217" s="29"/>
      <c r="E217" s="31" t="str">
        <f aca="false">IF($C217="","",IF(NOT(OR(M217="Completed",M217="NA",M217="Cancelled")),"S1 Schematic",IF(NOT(OR(Q217="Completed",Q217="NA",Q217="Cancelled")),"S2 PCB Layout",IF(NOT(OR(U217="Completed",U217="NA",U217="Cancelled")),"S3 SI &amp; PI",IF(NOT(OR(Y217="Completed",Y217="NA",Y217="Cancelled")),"S4 Bare-PCB Fab",IF(NOT(OR(AC217="Completed",AC217="NA",AC217="Cancelled")),"S5 Assembly",IF(NOT(OR(AG217="Completed",AG217="NA",AG217="Cancelled")),"S6 Bring-up",IF(NOT(OR(AK217="Completed",AK217="NA",AK217="Cancelled")),"S7 BOM Procurement","All Stages Closed"))))))))</f>
        <v/>
      </c>
      <c r="F217" s="32" t="str">
        <f aca="false">IF($C217="","",IF(COUNTIF(M217,"Cancelled")+COUNTIF(Q217,"Cancelled")+COUNTIF(U217,"Cancelled")+COUNTIF(Y217,"Cancelled")+COUNTIF(AC217,"Cancelled")+COUNTIF(AG217,"Cancelled")+COUNTIF(AK217,"Cancelled")&gt;0,"Cancelled",IF(E217="All Stages Closed","Completed",IF(E217="S1 Schematic",M217,IF(E217="S2 PCB Layout",Q217,IF(E217="S3 SI &amp; PI",U217,IF(E217="S4 Bare-PCB Fab",Y217,IF(E217="S5 Assembly",AC217,IF(E217="S6 Bring-up",AG217,AK217)))))))))</f>
        <v/>
      </c>
      <c r="G217" s="33" t="str">
        <f aca="false">IF($C217="","",IF(E217="All Stages Closed","",IF(E217="S1 Schematic",IF(N217="","Not added",N217),IF(E217="S2 PCB Layout",IF(R217="","Not added",R217),IF(E217="S3 SI &amp; PI",IF(V217="","Not added",V217),IF(E217="S4 Bare-PCB Fab",IF(Z217="","Not added",Z217),IF(E217="S5 Assembly",IF(AD217="","Not added",AD217),IF(E217="S6 Bring-up",IF(AH217="","Not added",AH217),IF(AL217="","Not added",AL217)))))))))</f>
        <v/>
      </c>
      <c r="H217" s="32" t="str">
        <f aca="true">IF($C217="","",IF(OR(F217="Completed",F217="Cancelled"),"",IF(NOT(ISNUMBER(G217)),"No date set",IF(TODAY()&gt;G217,TODAY()-G217&amp;" days late",G217-TODAY()&amp;" days left"))))</f>
        <v/>
      </c>
      <c r="I217" s="31" t="str">
        <f aca="false">IF($C217="","",COUNTIF(M217,"Completed")+COUNTIF(Q217,"Completed")+COUNTIF(U217,"Completed")+COUNTIF(Y217,"Completed")+COUNTIF(AC217,"Completed")+COUNTIF(AG217,"Completed")+COUNTIF(AK217,"Completed"))</f>
        <v/>
      </c>
      <c r="J217" s="31" t="str">
        <f aca="false">IF($C217="","",7-(COUNTIF(M217,"NA")+COUNTIF(Q217,"NA")+COUNTIF(U217,"NA")+COUNTIF(Y217,"NA")+COUNTIF(AC217,"NA")+COUNTIF(AG217,"NA")+COUNTIF(AK217,"NA")))</f>
        <v/>
      </c>
      <c r="K217" s="34" t="str">
        <f aca="false">IFERROR(I217/J217,"")</f>
        <v/>
      </c>
      <c r="L217" s="29"/>
      <c r="M217" s="35"/>
      <c r="N217" s="36"/>
      <c r="O217" s="36"/>
      <c r="P217" s="29"/>
      <c r="Q217" s="35"/>
      <c r="R217" s="36"/>
      <c r="S217" s="36"/>
      <c r="T217" s="29"/>
      <c r="U217" s="35"/>
      <c r="V217" s="36"/>
      <c r="W217" s="36"/>
      <c r="X217" s="29"/>
      <c r="Y217" s="35"/>
      <c r="Z217" s="36"/>
      <c r="AA217" s="36"/>
      <c r="AB217" s="29"/>
      <c r="AC217" s="35"/>
      <c r="AD217" s="36"/>
      <c r="AE217" s="36"/>
      <c r="AF217" s="29"/>
      <c r="AG217" s="35"/>
      <c r="AH217" s="36"/>
      <c r="AI217" s="36"/>
      <c r="AJ217" s="29"/>
      <c r="AK217" s="35"/>
      <c r="AL217" s="36"/>
      <c r="AM217" s="36"/>
      <c r="AN217" s="29"/>
      <c r="AO217" s="29"/>
      <c r="AP217" s="29"/>
      <c r="AQ217" s="37"/>
      <c r="AR217" s="39" t="str">
        <f aca="false">IF(AN217&lt;&gt;"Yes","",IF(AO217="","SELECT RE-ENTRY STAGE","MOVE TO ACTIVE at "&amp;AO217))</f>
        <v/>
      </c>
      <c r="AS217" s="40" t="str">
        <f aca="false">IF(AN217="Yes",COUNTIF($AN$6:AN217,"Yes"),"")</f>
        <v/>
      </c>
      <c r="AT217" s="29"/>
      <c r="AU217" s="38" t="str">
        <f aca="false">IF($C217="","",IF(OR(F217="Completed",F217="Cancelled"),"",IF(AND(OR(F217="On Hold",ISNUMBER(VALUE(LEFT(H217,2)))),AT217=""),"Reason not given","")))</f>
        <v/>
      </c>
      <c r="AV217" s="30"/>
      <c r="AW217" s="30"/>
    </row>
    <row r="218" customFormat="false" ht="19.5" hidden="false" customHeight="true" outlineLevel="0" collapsed="false">
      <c r="A218" s="28" t="str">
        <f aca="false">IF($C218="","",COUNTA($C$6:$C218))</f>
        <v/>
      </c>
      <c r="B218" s="29"/>
      <c r="C218" s="30"/>
      <c r="D218" s="29"/>
      <c r="E218" s="31" t="str">
        <f aca="false">IF($C218="","",IF(NOT(OR(M218="Completed",M218="NA",M218="Cancelled")),"S1 Schematic",IF(NOT(OR(Q218="Completed",Q218="NA",Q218="Cancelled")),"S2 PCB Layout",IF(NOT(OR(U218="Completed",U218="NA",U218="Cancelled")),"S3 SI &amp; PI",IF(NOT(OR(Y218="Completed",Y218="NA",Y218="Cancelled")),"S4 Bare-PCB Fab",IF(NOT(OR(AC218="Completed",AC218="NA",AC218="Cancelled")),"S5 Assembly",IF(NOT(OR(AG218="Completed",AG218="NA",AG218="Cancelled")),"S6 Bring-up",IF(NOT(OR(AK218="Completed",AK218="NA",AK218="Cancelled")),"S7 BOM Procurement","All Stages Closed"))))))))</f>
        <v/>
      </c>
      <c r="F218" s="32" t="str">
        <f aca="false">IF($C218="","",IF(COUNTIF(M218,"Cancelled")+COUNTIF(Q218,"Cancelled")+COUNTIF(U218,"Cancelled")+COUNTIF(Y218,"Cancelled")+COUNTIF(AC218,"Cancelled")+COUNTIF(AG218,"Cancelled")+COUNTIF(AK218,"Cancelled")&gt;0,"Cancelled",IF(E218="All Stages Closed","Completed",IF(E218="S1 Schematic",M218,IF(E218="S2 PCB Layout",Q218,IF(E218="S3 SI &amp; PI",U218,IF(E218="S4 Bare-PCB Fab",Y218,IF(E218="S5 Assembly",AC218,IF(E218="S6 Bring-up",AG218,AK218)))))))))</f>
        <v/>
      </c>
      <c r="G218" s="33" t="str">
        <f aca="false">IF($C218="","",IF(E218="All Stages Closed","",IF(E218="S1 Schematic",IF(N218="","Not added",N218),IF(E218="S2 PCB Layout",IF(R218="","Not added",R218),IF(E218="S3 SI &amp; PI",IF(V218="","Not added",V218),IF(E218="S4 Bare-PCB Fab",IF(Z218="","Not added",Z218),IF(E218="S5 Assembly",IF(AD218="","Not added",AD218),IF(E218="S6 Bring-up",IF(AH218="","Not added",AH218),IF(AL218="","Not added",AL218)))))))))</f>
        <v/>
      </c>
      <c r="H218" s="32" t="str">
        <f aca="true">IF($C218="","",IF(OR(F218="Completed",F218="Cancelled"),"",IF(NOT(ISNUMBER(G218)),"No date set",IF(TODAY()&gt;G218,TODAY()-G218&amp;" days late",G218-TODAY()&amp;" days left"))))</f>
        <v/>
      </c>
      <c r="I218" s="31" t="str">
        <f aca="false">IF($C218="","",COUNTIF(M218,"Completed")+COUNTIF(Q218,"Completed")+COUNTIF(U218,"Completed")+COUNTIF(Y218,"Completed")+COUNTIF(AC218,"Completed")+COUNTIF(AG218,"Completed")+COUNTIF(AK218,"Completed"))</f>
        <v/>
      </c>
      <c r="J218" s="31" t="str">
        <f aca="false">IF($C218="","",7-(COUNTIF(M218,"NA")+COUNTIF(Q218,"NA")+COUNTIF(U218,"NA")+COUNTIF(Y218,"NA")+COUNTIF(AC218,"NA")+COUNTIF(AG218,"NA")+COUNTIF(AK218,"NA")))</f>
        <v/>
      </c>
      <c r="K218" s="34" t="str">
        <f aca="false">IFERROR(I218/J218,"")</f>
        <v/>
      </c>
      <c r="L218" s="29"/>
      <c r="M218" s="35"/>
      <c r="N218" s="36"/>
      <c r="O218" s="36"/>
      <c r="P218" s="29"/>
      <c r="Q218" s="35"/>
      <c r="R218" s="36"/>
      <c r="S218" s="36"/>
      <c r="T218" s="29"/>
      <c r="U218" s="35"/>
      <c r="V218" s="36"/>
      <c r="W218" s="36"/>
      <c r="X218" s="29"/>
      <c r="Y218" s="35"/>
      <c r="Z218" s="36"/>
      <c r="AA218" s="36"/>
      <c r="AB218" s="29"/>
      <c r="AC218" s="35"/>
      <c r="AD218" s="36"/>
      <c r="AE218" s="36"/>
      <c r="AF218" s="29"/>
      <c r="AG218" s="35"/>
      <c r="AH218" s="36"/>
      <c r="AI218" s="36"/>
      <c r="AJ218" s="29"/>
      <c r="AK218" s="35"/>
      <c r="AL218" s="36"/>
      <c r="AM218" s="36"/>
      <c r="AN218" s="29"/>
      <c r="AO218" s="29"/>
      <c r="AP218" s="29"/>
      <c r="AQ218" s="37"/>
      <c r="AR218" s="39" t="str">
        <f aca="false">IF(AN218&lt;&gt;"Yes","",IF(AO218="","SELECT RE-ENTRY STAGE","MOVE TO ACTIVE at "&amp;AO218))</f>
        <v/>
      </c>
      <c r="AS218" s="40" t="str">
        <f aca="false">IF(AN218="Yes",COUNTIF($AN$6:AN218,"Yes"),"")</f>
        <v/>
      </c>
      <c r="AT218" s="29"/>
      <c r="AU218" s="38" t="str">
        <f aca="false">IF($C218="","",IF(OR(F218="Completed",F218="Cancelled"),"",IF(AND(OR(F218="On Hold",ISNUMBER(VALUE(LEFT(H218,2)))),AT218=""),"Reason not given","")))</f>
        <v/>
      </c>
      <c r="AV218" s="30"/>
      <c r="AW218" s="30"/>
    </row>
    <row r="219" customFormat="false" ht="19.5" hidden="false" customHeight="true" outlineLevel="0" collapsed="false">
      <c r="A219" s="28" t="str">
        <f aca="false">IF($C219="","",COUNTA($C$6:$C219))</f>
        <v/>
      </c>
      <c r="B219" s="29"/>
      <c r="C219" s="30"/>
      <c r="D219" s="29"/>
      <c r="E219" s="31" t="str">
        <f aca="false">IF($C219="","",IF(NOT(OR(M219="Completed",M219="NA",M219="Cancelled")),"S1 Schematic",IF(NOT(OR(Q219="Completed",Q219="NA",Q219="Cancelled")),"S2 PCB Layout",IF(NOT(OR(U219="Completed",U219="NA",U219="Cancelled")),"S3 SI &amp; PI",IF(NOT(OR(Y219="Completed",Y219="NA",Y219="Cancelled")),"S4 Bare-PCB Fab",IF(NOT(OR(AC219="Completed",AC219="NA",AC219="Cancelled")),"S5 Assembly",IF(NOT(OR(AG219="Completed",AG219="NA",AG219="Cancelled")),"S6 Bring-up",IF(NOT(OR(AK219="Completed",AK219="NA",AK219="Cancelled")),"S7 BOM Procurement","All Stages Closed"))))))))</f>
        <v/>
      </c>
      <c r="F219" s="32" t="str">
        <f aca="false">IF($C219="","",IF(COUNTIF(M219,"Cancelled")+COUNTIF(Q219,"Cancelled")+COUNTIF(U219,"Cancelled")+COUNTIF(Y219,"Cancelled")+COUNTIF(AC219,"Cancelled")+COUNTIF(AG219,"Cancelled")+COUNTIF(AK219,"Cancelled")&gt;0,"Cancelled",IF(E219="All Stages Closed","Completed",IF(E219="S1 Schematic",M219,IF(E219="S2 PCB Layout",Q219,IF(E219="S3 SI &amp; PI",U219,IF(E219="S4 Bare-PCB Fab",Y219,IF(E219="S5 Assembly",AC219,IF(E219="S6 Bring-up",AG219,AK219)))))))))</f>
        <v/>
      </c>
      <c r="G219" s="33" t="str">
        <f aca="false">IF($C219="","",IF(E219="All Stages Closed","",IF(E219="S1 Schematic",IF(N219="","Not added",N219),IF(E219="S2 PCB Layout",IF(R219="","Not added",R219),IF(E219="S3 SI &amp; PI",IF(V219="","Not added",V219),IF(E219="S4 Bare-PCB Fab",IF(Z219="","Not added",Z219),IF(E219="S5 Assembly",IF(AD219="","Not added",AD219),IF(E219="S6 Bring-up",IF(AH219="","Not added",AH219),IF(AL219="","Not added",AL219)))))))))</f>
        <v/>
      </c>
      <c r="H219" s="32" t="str">
        <f aca="true">IF($C219="","",IF(OR(F219="Completed",F219="Cancelled"),"",IF(NOT(ISNUMBER(G219)),"No date set",IF(TODAY()&gt;G219,TODAY()-G219&amp;" days late",G219-TODAY()&amp;" days left"))))</f>
        <v/>
      </c>
      <c r="I219" s="31" t="str">
        <f aca="false">IF($C219="","",COUNTIF(M219,"Completed")+COUNTIF(Q219,"Completed")+COUNTIF(U219,"Completed")+COUNTIF(Y219,"Completed")+COUNTIF(AC219,"Completed")+COUNTIF(AG219,"Completed")+COUNTIF(AK219,"Completed"))</f>
        <v/>
      </c>
      <c r="J219" s="31" t="str">
        <f aca="false">IF($C219="","",7-(COUNTIF(M219,"NA")+COUNTIF(Q219,"NA")+COUNTIF(U219,"NA")+COUNTIF(Y219,"NA")+COUNTIF(AC219,"NA")+COUNTIF(AG219,"NA")+COUNTIF(AK219,"NA")))</f>
        <v/>
      </c>
      <c r="K219" s="34" t="str">
        <f aca="false">IFERROR(I219/J219,"")</f>
        <v/>
      </c>
      <c r="L219" s="29"/>
      <c r="M219" s="35"/>
      <c r="N219" s="36"/>
      <c r="O219" s="36"/>
      <c r="P219" s="29"/>
      <c r="Q219" s="35"/>
      <c r="R219" s="36"/>
      <c r="S219" s="36"/>
      <c r="T219" s="29"/>
      <c r="U219" s="35"/>
      <c r="V219" s="36"/>
      <c r="W219" s="36"/>
      <c r="X219" s="29"/>
      <c r="Y219" s="35"/>
      <c r="Z219" s="36"/>
      <c r="AA219" s="36"/>
      <c r="AB219" s="29"/>
      <c r="AC219" s="35"/>
      <c r="AD219" s="36"/>
      <c r="AE219" s="36"/>
      <c r="AF219" s="29"/>
      <c r="AG219" s="35"/>
      <c r="AH219" s="36"/>
      <c r="AI219" s="36"/>
      <c r="AJ219" s="29"/>
      <c r="AK219" s="35"/>
      <c r="AL219" s="36"/>
      <c r="AM219" s="36"/>
      <c r="AN219" s="29"/>
      <c r="AO219" s="29"/>
      <c r="AP219" s="29"/>
      <c r="AQ219" s="37"/>
      <c r="AR219" s="39" t="str">
        <f aca="false">IF(AN219&lt;&gt;"Yes","",IF(AO219="","SELECT RE-ENTRY STAGE","MOVE TO ACTIVE at "&amp;AO219))</f>
        <v/>
      </c>
      <c r="AS219" s="40" t="str">
        <f aca="false">IF(AN219="Yes",COUNTIF($AN$6:AN219,"Yes"),"")</f>
        <v/>
      </c>
      <c r="AT219" s="29"/>
      <c r="AU219" s="38" t="str">
        <f aca="false">IF($C219="","",IF(OR(F219="Completed",F219="Cancelled"),"",IF(AND(OR(F219="On Hold",ISNUMBER(VALUE(LEFT(H219,2)))),AT219=""),"Reason not given","")))</f>
        <v/>
      </c>
      <c r="AV219" s="30"/>
      <c r="AW219" s="30"/>
    </row>
    <row r="220" customFormat="false" ht="19.5" hidden="false" customHeight="true" outlineLevel="0" collapsed="false">
      <c r="A220" s="28" t="str">
        <f aca="false">IF($C220="","",COUNTA($C$6:$C220))</f>
        <v/>
      </c>
      <c r="B220" s="29"/>
      <c r="C220" s="30"/>
      <c r="D220" s="29"/>
      <c r="E220" s="31" t="str">
        <f aca="false">IF($C220="","",IF(NOT(OR(M220="Completed",M220="NA",M220="Cancelled")),"S1 Schematic",IF(NOT(OR(Q220="Completed",Q220="NA",Q220="Cancelled")),"S2 PCB Layout",IF(NOT(OR(U220="Completed",U220="NA",U220="Cancelled")),"S3 SI &amp; PI",IF(NOT(OR(Y220="Completed",Y220="NA",Y220="Cancelled")),"S4 Bare-PCB Fab",IF(NOT(OR(AC220="Completed",AC220="NA",AC220="Cancelled")),"S5 Assembly",IF(NOT(OR(AG220="Completed",AG220="NA",AG220="Cancelled")),"S6 Bring-up",IF(NOT(OR(AK220="Completed",AK220="NA",AK220="Cancelled")),"S7 BOM Procurement","All Stages Closed"))))))))</f>
        <v/>
      </c>
      <c r="F220" s="32" t="str">
        <f aca="false">IF($C220="","",IF(COUNTIF(M220,"Cancelled")+COUNTIF(Q220,"Cancelled")+COUNTIF(U220,"Cancelled")+COUNTIF(Y220,"Cancelled")+COUNTIF(AC220,"Cancelled")+COUNTIF(AG220,"Cancelled")+COUNTIF(AK220,"Cancelled")&gt;0,"Cancelled",IF(E220="All Stages Closed","Completed",IF(E220="S1 Schematic",M220,IF(E220="S2 PCB Layout",Q220,IF(E220="S3 SI &amp; PI",U220,IF(E220="S4 Bare-PCB Fab",Y220,IF(E220="S5 Assembly",AC220,IF(E220="S6 Bring-up",AG220,AK220)))))))))</f>
        <v/>
      </c>
      <c r="G220" s="33" t="str">
        <f aca="false">IF($C220="","",IF(E220="All Stages Closed","",IF(E220="S1 Schematic",IF(N220="","Not added",N220),IF(E220="S2 PCB Layout",IF(R220="","Not added",R220),IF(E220="S3 SI &amp; PI",IF(V220="","Not added",V220),IF(E220="S4 Bare-PCB Fab",IF(Z220="","Not added",Z220),IF(E220="S5 Assembly",IF(AD220="","Not added",AD220),IF(E220="S6 Bring-up",IF(AH220="","Not added",AH220),IF(AL220="","Not added",AL220)))))))))</f>
        <v/>
      </c>
      <c r="H220" s="32" t="str">
        <f aca="true">IF($C220="","",IF(OR(F220="Completed",F220="Cancelled"),"",IF(NOT(ISNUMBER(G220)),"No date set",IF(TODAY()&gt;G220,TODAY()-G220&amp;" days late",G220-TODAY()&amp;" days left"))))</f>
        <v/>
      </c>
      <c r="I220" s="31" t="str">
        <f aca="false">IF($C220="","",COUNTIF(M220,"Completed")+COUNTIF(Q220,"Completed")+COUNTIF(U220,"Completed")+COUNTIF(Y220,"Completed")+COUNTIF(AC220,"Completed")+COUNTIF(AG220,"Completed")+COUNTIF(AK220,"Completed"))</f>
        <v/>
      </c>
      <c r="J220" s="31" t="str">
        <f aca="false">IF($C220="","",7-(COUNTIF(M220,"NA")+COUNTIF(Q220,"NA")+COUNTIF(U220,"NA")+COUNTIF(Y220,"NA")+COUNTIF(AC220,"NA")+COUNTIF(AG220,"NA")+COUNTIF(AK220,"NA")))</f>
        <v/>
      </c>
      <c r="K220" s="34" t="str">
        <f aca="false">IFERROR(I220/J220,"")</f>
        <v/>
      </c>
      <c r="L220" s="29"/>
      <c r="M220" s="35"/>
      <c r="N220" s="36"/>
      <c r="O220" s="36"/>
      <c r="P220" s="29"/>
      <c r="Q220" s="35"/>
      <c r="R220" s="36"/>
      <c r="S220" s="36"/>
      <c r="T220" s="29"/>
      <c r="U220" s="35"/>
      <c r="V220" s="36"/>
      <c r="W220" s="36"/>
      <c r="X220" s="29"/>
      <c r="Y220" s="35"/>
      <c r="Z220" s="36"/>
      <c r="AA220" s="36"/>
      <c r="AB220" s="29"/>
      <c r="AC220" s="35"/>
      <c r="AD220" s="36"/>
      <c r="AE220" s="36"/>
      <c r="AF220" s="29"/>
      <c r="AG220" s="35"/>
      <c r="AH220" s="36"/>
      <c r="AI220" s="36"/>
      <c r="AJ220" s="29"/>
      <c r="AK220" s="35"/>
      <c r="AL220" s="36"/>
      <c r="AM220" s="36"/>
      <c r="AN220" s="29"/>
      <c r="AO220" s="29"/>
      <c r="AP220" s="29"/>
      <c r="AQ220" s="37"/>
      <c r="AR220" s="39" t="str">
        <f aca="false">IF(AN220&lt;&gt;"Yes","",IF(AO220="","SELECT RE-ENTRY STAGE","MOVE TO ACTIVE at "&amp;AO220))</f>
        <v/>
      </c>
      <c r="AS220" s="40" t="str">
        <f aca="false">IF(AN220="Yes",COUNTIF($AN$6:AN220,"Yes"),"")</f>
        <v/>
      </c>
      <c r="AT220" s="29"/>
      <c r="AU220" s="38" t="str">
        <f aca="false">IF($C220="","",IF(OR(F220="Completed",F220="Cancelled"),"",IF(AND(OR(F220="On Hold",ISNUMBER(VALUE(LEFT(H220,2)))),AT220=""),"Reason not given","")))</f>
        <v/>
      </c>
      <c r="AV220" s="30"/>
      <c r="AW220" s="30"/>
    </row>
    <row r="221" customFormat="false" ht="19.5" hidden="false" customHeight="true" outlineLevel="0" collapsed="false">
      <c r="A221" s="28" t="str">
        <f aca="false">IF($C221="","",COUNTA($C$6:$C221))</f>
        <v/>
      </c>
      <c r="B221" s="29"/>
      <c r="C221" s="30"/>
      <c r="D221" s="29"/>
      <c r="E221" s="31" t="str">
        <f aca="false">IF($C221="","",IF(NOT(OR(M221="Completed",M221="NA",M221="Cancelled")),"S1 Schematic",IF(NOT(OR(Q221="Completed",Q221="NA",Q221="Cancelled")),"S2 PCB Layout",IF(NOT(OR(U221="Completed",U221="NA",U221="Cancelled")),"S3 SI &amp; PI",IF(NOT(OR(Y221="Completed",Y221="NA",Y221="Cancelled")),"S4 Bare-PCB Fab",IF(NOT(OR(AC221="Completed",AC221="NA",AC221="Cancelled")),"S5 Assembly",IF(NOT(OR(AG221="Completed",AG221="NA",AG221="Cancelled")),"S6 Bring-up",IF(NOT(OR(AK221="Completed",AK221="NA",AK221="Cancelled")),"S7 BOM Procurement","All Stages Closed"))))))))</f>
        <v/>
      </c>
      <c r="F221" s="32" t="str">
        <f aca="false">IF($C221="","",IF(COUNTIF(M221,"Cancelled")+COUNTIF(Q221,"Cancelled")+COUNTIF(U221,"Cancelled")+COUNTIF(Y221,"Cancelled")+COUNTIF(AC221,"Cancelled")+COUNTIF(AG221,"Cancelled")+COUNTIF(AK221,"Cancelled")&gt;0,"Cancelled",IF(E221="All Stages Closed","Completed",IF(E221="S1 Schematic",M221,IF(E221="S2 PCB Layout",Q221,IF(E221="S3 SI &amp; PI",U221,IF(E221="S4 Bare-PCB Fab",Y221,IF(E221="S5 Assembly",AC221,IF(E221="S6 Bring-up",AG221,AK221)))))))))</f>
        <v/>
      </c>
      <c r="G221" s="33" t="str">
        <f aca="false">IF($C221="","",IF(E221="All Stages Closed","",IF(E221="S1 Schematic",IF(N221="","Not added",N221),IF(E221="S2 PCB Layout",IF(R221="","Not added",R221),IF(E221="S3 SI &amp; PI",IF(V221="","Not added",V221),IF(E221="S4 Bare-PCB Fab",IF(Z221="","Not added",Z221),IF(E221="S5 Assembly",IF(AD221="","Not added",AD221),IF(E221="S6 Bring-up",IF(AH221="","Not added",AH221),IF(AL221="","Not added",AL221)))))))))</f>
        <v/>
      </c>
      <c r="H221" s="32" t="str">
        <f aca="true">IF($C221="","",IF(OR(F221="Completed",F221="Cancelled"),"",IF(NOT(ISNUMBER(G221)),"No date set",IF(TODAY()&gt;G221,TODAY()-G221&amp;" days late",G221-TODAY()&amp;" days left"))))</f>
        <v/>
      </c>
      <c r="I221" s="31" t="str">
        <f aca="false">IF($C221="","",COUNTIF(M221,"Completed")+COUNTIF(Q221,"Completed")+COUNTIF(U221,"Completed")+COUNTIF(Y221,"Completed")+COUNTIF(AC221,"Completed")+COUNTIF(AG221,"Completed")+COUNTIF(AK221,"Completed"))</f>
        <v/>
      </c>
      <c r="J221" s="31" t="str">
        <f aca="false">IF($C221="","",7-(COUNTIF(M221,"NA")+COUNTIF(Q221,"NA")+COUNTIF(U221,"NA")+COUNTIF(Y221,"NA")+COUNTIF(AC221,"NA")+COUNTIF(AG221,"NA")+COUNTIF(AK221,"NA")))</f>
        <v/>
      </c>
      <c r="K221" s="34" t="str">
        <f aca="false">IFERROR(I221/J221,"")</f>
        <v/>
      </c>
      <c r="L221" s="29"/>
      <c r="M221" s="35"/>
      <c r="N221" s="36"/>
      <c r="O221" s="36"/>
      <c r="P221" s="29"/>
      <c r="Q221" s="35"/>
      <c r="R221" s="36"/>
      <c r="S221" s="36"/>
      <c r="T221" s="29"/>
      <c r="U221" s="35"/>
      <c r="V221" s="36"/>
      <c r="W221" s="36"/>
      <c r="X221" s="29"/>
      <c r="Y221" s="35"/>
      <c r="Z221" s="36"/>
      <c r="AA221" s="36"/>
      <c r="AB221" s="29"/>
      <c r="AC221" s="35"/>
      <c r="AD221" s="36"/>
      <c r="AE221" s="36"/>
      <c r="AF221" s="29"/>
      <c r="AG221" s="35"/>
      <c r="AH221" s="36"/>
      <c r="AI221" s="36"/>
      <c r="AJ221" s="29"/>
      <c r="AK221" s="35"/>
      <c r="AL221" s="36"/>
      <c r="AM221" s="36"/>
      <c r="AN221" s="29"/>
      <c r="AO221" s="29"/>
      <c r="AP221" s="29"/>
      <c r="AQ221" s="37"/>
      <c r="AR221" s="39" t="str">
        <f aca="false">IF(AN221&lt;&gt;"Yes","",IF(AO221="","SELECT RE-ENTRY STAGE","MOVE TO ACTIVE at "&amp;AO221))</f>
        <v/>
      </c>
      <c r="AS221" s="40" t="str">
        <f aca="false">IF(AN221="Yes",COUNTIF($AN$6:AN221,"Yes"),"")</f>
        <v/>
      </c>
      <c r="AT221" s="29"/>
      <c r="AU221" s="38" t="str">
        <f aca="false">IF($C221="","",IF(OR(F221="Completed",F221="Cancelled"),"",IF(AND(OR(F221="On Hold",ISNUMBER(VALUE(LEFT(H221,2)))),AT221=""),"Reason not given","")))</f>
        <v/>
      </c>
      <c r="AV221" s="30"/>
      <c r="AW221" s="30"/>
    </row>
    <row r="222" customFormat="false" ht="19.5" hidden="false" customHeight="true" outlineLevel="0" collapsed="false">
      <c r="A222" s="28" t="str">
        <f aca="false">IF($C222="","",COUNTA($C$6:$C222))</f>
        <v/>
      </c>
      <c r="B222" s="29"/>
      <c r="C222" s="30"/>
      <c r="D222" s="29"/>
      <c r="E222" s="31" t="str">
        <f aca="false">IF($C222="","",IF(NOT(OR(M222="Completed",M222="NA",M222="Cancelled")),"S1 Schematic",IF(NOT(OR(Q222="Completed",Q222="NA",Q222="Cancelled")),"S2 PCB Layout",IF(NOT(OR(U222="Completed",U222="NA",U222="Cancelled")),"S3 SI &amp; PI",IF(NOT(OR(Y222="Completed",Y222="NA",Y222="Cancelled")),"S4 Bare-PCB Fab",IF(NOT(OR(AC222="Completed",AC222="NA",AC222="Cancelled")),"S5 Assembly",IF(NOT(OR(AG222="Completed",AG222="NA",AG222="Cancelled")),"S6 Bring-up",IF(NOT(OR(AK222="Completed",AK222="NA",AK222="Cancelled")),"S7 BOM Procurement","All Stages Closed"))))))))</f>
        <v/>
      </c>
      <c r="F222" s="32" t="str">
        <f aca="false">IF($C222="","",IF(COUNTIF(M222,"Cancelled")+COUNTIF(Q222,"Cancelled")+COUNTIF(U222,"Cancelled")+COUNTIF(Y222,"Cancelled")+COUNTIF(AC222,"Cancelled")+COUNTIF(AG222,"Cancelled")+COUNTIF(AK222,"Cancelled")&gt;0,"Cancelled",IF(E222="All Stages Closed","Completed",IF(E222="S1 Schematic",M222,IF(E222="S2 PCB Layout",Q222,IF(E222="S3 SI &amp; PI",U222,IF(E222="S4 Bare-PCB Fab",Y222,IF(E222="S5 Assembly",AC222,IF(E222="S6 Bring-up",AG222,AK222)))))))))</f>
        <v/>
      </c>
      <c r="G222" s="33" t="str">
        <f aca="false">IF($C222="","",IF(E222="All Stages Closed","",IF(E222="S1 Schematic",IF(N222="","Not added",N222),IF(E222="S2 PCB Layout",IF(R222="","Not added",R222),IF(E222="S3 SI &amp; PI",IF(V222="","Not added",V222),IF(E222="S4 Bare-PCB Fab",IF(Z222="","Not added",Z222),IF(E222="S5 Assembly",IF(AD222="","Not added",AD222),IF(E222="S6 Bring-up",IF(AH222="","Not added",AH222),IF(AL222="","Not added",AL222)))))))))</f>
        <v/>
      </c>
      <c r="H222" s="32" t="str">
        <f aca="true">IF($C222="","",IF(OR(F222="Completed",F222="Cancelled"),"",IF(NOT(ISNUMBER(G222)),"No date set",IF(TODAY()&gt;G222,TODAY()-G222&amp;" days late",G222-TODAY()&amp;" days left"))))</f>
        <v/>
      </c>
      <c r="I222" s="31" t="str">
        <f aca="false">IF($C222="","",COUNTIF(M222,"Completed")+COUNTIF(Q222,"Completed")+COUNTIF(U222,"Completed")+COUNTIF(Y222,"Completed")+COUNTIF(AC222,"Completed")+COUNTIF(AG222,"Completed")+COUNTIF(AK222,"Completed"))</f>
        <v/>
      </c>
      <c r="J222" s="31" t="str">
        <f aca="false">IF($C222="","",7-(COUNTIF(M222,"NA")+COUNTIF(Q222,"NA")+COUNTIF(U222,"NA")+COUNTIF(Y222,"NA")+COUNTIF(AC222,"NA")+COUNTIF(AG222,"NA")+COUNTIF(AK222,"NA")))</f>
        <v/>
      </c>
      <c r="K222" s="34" t="str">
        <f aca="false">IFERROR(I222/J222,"")</f>
        <v/>
      </c>
      <c r="L222" s="29"/>
      <c r="M222" s="35"/>
      <c r="N222" s="36"/>
      <c r="O222" s="36"/>
      <c r="P222" s="29"/>
      <c r="Q222" s="35"/>
      <c r="R222" s="36"/>
      <c r="S222" s="36"/>
      <c r="T222" s="29"/>
      <c r="U222" s="35"/>
      <c r="V222" s="36"/>
      <c r="W222" s="36"/>
      <c r="X222" s="29"/>
      <c r="Y222" s="35"/>
      <c r="Z222" s="36"/>
      <c r="AA222" s="36"/>
      <c r="AB222" s="29"/>
      <c r="AC222" s="35"/>
      <c r="AD222" s="36"/>
      <c r="AE222" s="36"/>
      <c r="AF222" s="29"/>
      <c r="AG222" s="35"/>
      <c r="AH222" s="36"/>
      <c r="AI222" s="36"/>
      <c r="AJ222" s="29"/>
      <c r="AK222" s="35"/>
      <c r="AL222" s="36"/>
      <c r="AM222" s="36"/>
      <c r="AN222" s="29"/>
      <c r="AO222" s="29"/>
      <c r="AP222" s="29"/>
      <c r="AQ222" s="37"/>
      <c r="AR222" s="39" t="str">
        <f aca="false">IF(AN222&lt;&gt;"Yes","",IF(AO222="","SELECT RE-ENTRY STAGE","MOVE TO ACTIVE at "&amp;AO222))</f>
        <v/>
      </c>
      <c r="AS222" s="40" t="str">
        <f aca="false">IF(AN222="Yes",COUNTIF($AN$6:AN222,"Yes"),"")</f>
        <v/>
      </c>
      <c r="AT222" s="29"/>
      <c r="AU222" s="38" t="str">
        <f aca="false">IF($C222="","",IF(OR(F222="Completed",F222="Cancelled"),"",IF(AND(OR(F222="On Hold",ISNUMBER(VALUE(LEFT(H222,2)))),AT222=""),"Reason not given","")))</f>
        <v/>
      </c>
      <c r="AV222" s="30"/>
      <c r="AW222" s="30"/>
    </row>
    <row r="223" customFormat="false" ht="19.5" hidden="false" customHeight="true" outlineLevel="0" collapsed="false">
      <c r="A223" s="28" t="str">
        <f aca="false">IF($C223="","",COUNTA($C$6:$C223))</f>
        <v/>
      </c>
      <c r="B223" s="29"/>
      <c r="C223" s="30"/>
      <c r="D223" s="29"/>
      <c r="E223" s="31" t="str">
        <f aca="false">IF($C223="","",IF(NOT(OR(M223="Completed",M223="NA",M223="Cancelled")),"S1 Schematic",IF(NOT(OR(Q223="Completed",Q223="NA",Q223="Cancelled")),"S2 PCB Layout",IF(NOT(OR(U223="Completed",U223="NA",U223="Cancelled")),"S3 SI &amp; PI",IF(NOT(OR(Y223="Completed",Y223="NA",Y223="Cancelled")),"S4 Bare-PCB Fab",IF(NOT(OR(AC223="Completed",AC223="NA",AC223="Cancelled")),"S5 Assembly",IF(NOT(OR(AG223="Completed",AG223="NA",AG223="Cancelled")),"S6 Bring-up",IF(NOT(OR(AK223="Completed",AK223="NA",AK223="Cancelled")),"S7 BOM Procurement","All Stages Closed"))))))))</f>
        <v/>
      </c>
      <c r="F223" s="32" t="str">
        <f aca="false">IF($C223="","",IF(COUNTIF(M223,"Cancelled")+COUNTIF(Q223,"Cancelled")+COUNTIF(U223,"Cancelled")+COUNTIF(Y223,"Cancelled")+COUNTIF(AC223,"Cancelled")+COUNTIF(AG223,"Cancelled")+COUNTIF(AK223,"Cancelled")&gt;0,"Cancelled",IF(E223="All Stages Closed","Completed",IF(E223="S1 Schematic",M223,IF(E223="S2 PCB Layout",Q223,IF(E223="S3 SI &amp; PI",U223,IF(E223="S4 Bare-PCB Fab",Y223,IF(E223="S5 Assembly",AC223,IF(E223="S6 Bring-up",AG223,AK223)))))))))</f>
        <v/>
      </c>
      <c r="G223" s="33" t="str">
        <f aca="false">IF($C223="","",IF(E223="All Stages Closed","",IF(E223="S1 Schematic",IF(N223="","Not added",N223),IF(E223="S2 PCB Layout",IF(R223="","Not added",R223),IF(E223="S3 SI &amp; PI",IF(V223="","Not added",V223),IF(E223="S4 Bare-PCB Fab",IF(Z223="","Not added",Z223),IF(E223="S5 Assembly",IF(AD223="","Not added",AD223),IF(E223="S6 Bring-up",IF(AH223="","Not added",AH223),IF(AL223="","Not added",AL223)))))))))</f>
        <v/>
      </c>
      <c r="H223" s="32" t="str">
        <f aca="true">IF($C223="","",IF(OR(F223="Completed",F223="Cancelled"),"",IF(NOT(ISNUMBER(G223)),"No date set",IF(TODAY()&gt;G223,TODAY()-G223&amp;" days late",G223-TODAY()&amp;" days left"))))</f>
        <v/>
      </c>
      <c r="I223" s="31" t="str">
        <f aca="false">IF($C223="","",COUNTIF(M223,"Completed")+COUNTIF(Q223,"Completed")+COUNTIF(U223,"Completed")+COUNTIF(Y223,"Completed")+COUNTIF(AC223,"Completed")+COUNTIF(AG223,"Completed")+COUNTIF(AK223,"Completed"))</f>
        <v/>
      </c>
      <c r="J223" s="31" t="str">
        <f aca="false">IF($C223="","",7-(COUNTIF(M223,"NA")+COUNTIF(Q223,"NA")+COUNTIF(U223,"NA")+COUNTIF(Y223,"NA")+COUNTIF(AC223,"NA")+COUNTIF(AG223,"NA")+COUNTIF(AK223,"NA")))</f>
        <v/>
      </c>
      <c r="K223" s="34" t="str">
        <f aca="false">IFERROR(I223/J223,"")</f>
        <v/>
      </c>
      <c r="L223" s="29"/>
      <c r="M223" s="35"/>
      <c r="N223" s="36"/>
      <c r="O223" s="36"/>
      <c r="P223" s="29"/>
      <c r="Q223" s="35"/>
      <c r="R223" s="36"/>
      <c r="S223" s="36"/>
      <c r="T223" s="29"/>
      <c r="U223" s="35"/>
      <c r="V223" s="36"/>
      <c r="W223" s="36"/>
      <c r="X223" s="29"/>
      <c r="Y223" s="35"/>
      <c r="Z223" s="36"/>
      <c r="AA223" s="36"/>
      <c r="AB223" s="29"/>
      <c r="AC223" s="35"/>
      <c r="AD223" s="36"/>
      <c r="AE223" s="36"/>
      <c r="AF223" s="29"/>
      <c r="AG223" s="35"/>
      <c r="AH223" s="36"/>
      <c r="AI223" s="36"/>
      <c r="AJ223" s="29"/>
      <c r="AK223" s="35"/>
      <c r="AL223" s="36"/>
      <c r="AM223" s="36"/>
      <c r="AN223" s="29"/>
      <c r="AO223" s="29"/>
      <c r="AP223" s="29"/>
      <c r="AQ223" s="37"/>
      <c r="AR223" s="39" t="str">
        <f aca="false">IF(AN223&lt;&gt;"Yes","",IF(AO223="","SELECT RE-ENTRY STAGE","MOVE TO ACTIVE at "&amp;AO223))</f>
        <v/>
      </c>
      <c r="AS223" s="40" t="str">
        <f aca="false">IF(AN223="Yes",COUNTIF($AN$6:AN223,"Yes"),"")</f>
        <v/>
      </c>
      <c r="AT223" s="29"/>
      <c r="AU223" s="38" t="str">
        <f aca="false">IF($C223="","",IF(OR(F223="Completed",F223="Cancelled"),"",IF(AND(OR(F223="On Hold",ISNUMBER(VALUE(LEFT(H223,2)))),AT223=""),"Reason not given","")))</f>
        <v/>
      </c>
      <c r="AV223" s="30"/>
      <c r="AW223" s="30"/>
    </row>
    <row r="224" customFormat="false" ht="19.5" hidden="false" customHeight="true" outlineLevel="0" collapsed="false">
      <c r="A224" s="28" t="str">
        <f aca="false">IF($C224="","",COUNTA($C$6:$C224))</f>
        <v/>
      </c>
      <c r="B224" s="29"/>
      <c r="C224" s="30"/>
      <c r="D224" s="29"/>
      <c r="E224" s="31" t="str">
        <f aca="false">IF($C224="","",IF(NOT(OR(M224="Completed",M224="NA",M224="Cancelled")),"S1 Schematic",IF(NOT(OR(Q224="Completed",Q224="NA",Q224="Cancelled")),"S2 PCB Layout",IF(NOT(OR(U224="Completed",U224="NA",U224="Cancelled")),"S3 SI &amp; PI",IF(NOT(OR(Y224="Completed",Y224="NA",Y224="Cancelled")),"S4 Bare-PCB Fab",IF(NOT(OR(AC224="Completed",AC224="NA",AC224="Cancelled")),"S5 Assembly",IF(NOT(OR(AG224="Completed",AG224="NA",AG224="Cancelled")),"S6 Bring-up",IF(NOT(OR(AK224="Completed",AK224="NA",AK224="Cancelled")),"S7 BOM Procurement","All Stages Closed"))))))))</f>
        <v/>
      </c>
      <c r="F224" s="32" t="str">
        <f aca="false">IF($C224="","",IF(COUNTIF(M224,"Cancelled")+COUNTIF(Q224,"Cancelled")+COUNTIF(U224,"Cancelled")+COUNTIF(Y224,"Cancelled")+COUNTIF(AC224,"Cancelled")+COUNTIF(AG224,"Cancelled")+COUNTIF(AK224,"Cancelled")&gt;0,"Cancelled",IF(E224="All Stages Closed","Completed",IF(E224="S1 Schematic",M224,IF(E224="S2 PCB Layout",Q224,IF(E224="S3 SI &amp; PI",U224,IF(E224="S4 Bare-PCB Fab",Y224,IF(E224="S5 Assembly",AC224,IF(E224="S6 Bring-up",AG224,AK224)))))))))</f>
        <v/>
      </c>
      <c r="G224" s="33" t="str">
        <f aca="false">IF($C224="","",IF(E224="All Stages Closed","",IF(E224="S1 Schematic",IF(N224="","Not added",N224),IF(E224="S2 PCB Layout",IF(R224="","Not added",R224),IF(E224="S3 SI &amp; PI",IF(V224="","Not added",V224),IF(E224="S4 Bare-PCB Fab",IF(Z224="","Not added",Z224),IF(E224="S5 Assembly",IF(AD224="","Not added",AD224),IF(E224="S6 Bring-up",IF(AH224="","Not added",AH224),IF(AL224="","Not added",AL224)))))))))</f>
        <v/>
      </c>
      <c r="H224" s="32" t="str">
        <f aca="true">IF($C224="","",IF(OR(F224="Completed",F224="Cancelled"),"",IF(NOT(ISNUMBER(G224)),"No date set",IF(TODAY()&gt;G224,TODAY()-G224&amp;" days late",G224-TODAY()&amp;" days left"))))</f>
        <v/>
      </c>
      <c r="I224" s="31" t="str">
        <f aca="false">IF($C224="","",COUNTIF(M224,"Completed")+COUNTIF(Q224,"Completed")+COUNTIF(U224,"Completed")+COUNTIF(Y224,"Completed")+COUNTIF(AC224,"Completed")+COUNTIF(AG224,"Completed")+COUNTIF(AK224,"Completed"))</f>
        <v/>
      </c>
      <c r="J224" s="31" t="str">
        <f aca="false">IF($C224="","",7-(COUNTIF(M224,"NA")+COUNTIF(Q224,"NA")+COUNTIF(U224,"NA")+COUNTIF(Y224,"NA")+COUNTIF(AC224,"NA")+COUNTIF(AG224,"NA")+COUNTIF(AK224,"NA")))</f>
        <v/>
      </c>
      <c r="K224" s="34" t="str">
        <f aca="false">IFERROR(I224/J224,"")</f>
        <v/>
      </c>
      <c r="L224" s="29"/>
      <c r="M224" s="35"/>
      <c r="N224" s="36"/>
      <c r="O224" s="36"/>
      <c r="P224" s="29"/>
      <c r="Q224" s="35"/>
      <c r="R224" s="36"/>
      <c r="S224" s="36"/>
      <c r="T224" s="29"/>
      <c r="U224" s="35"/>
      <c r="V224" s="36"/>
      <c r="W224" s="36"/>
      <c r="X224" s="29"/>
      <c r="Y224" s="35"/>
      <c r="Z224" s="36"/>
      <c r="AA224" s="36"/>
      <c r="AB224" s="29"/>
      <c r="AC224" s="35"/>
      <c r="AD224" s="36"/>
      <c r="AE224" s="36"/>
      <c r="AF224" s="29"/>
      <c r="AG224" s="35"/>
      <c r="AH224" s="36"/>
      <c r="AI224" s="36"/>
      <c r="AJ224" s="29"/>
      <c r="AK224" s="35"/>
      <c r="AL224" s="36"/>
      <c r="AM224" s="36"/>
      <c r="AN224" s="29"/>
      <c r="AO224" s="29"/>
      <c r="AP224" s="29"/>
      <c r="AQ224" s="37"/>
      <c r="AR224" s="39" t="str">
        <f aca="false">IF(AN224&lt;&gt;"Yes","",IF(AO224="","SELECT RE-ENTRY STAGE","MOVE TO ACTIVE at "&amp;AO224))</f>
        <v/>
      </c>
      <c r="AS224" s="40" t="str">
        <f aca="false">IF(AN224="Yes",COUNTIF($AN$6:AN224,"Yes"),"")</f>
        <v/>
      </c>
      <c r="AT224" s="29"/>
      <c r="AU224" s="38" t="str">
        <f aca="false">IF($C224="","",IF(OR(F224="Completed",F224="Cancelled"),"",IF(AND(OR(F224="On Hold",ISNUMBER(VALUE(LEFT(H224,2)))),AT224=""),"Reason not given","")))</f>
        <v/>
      </c>
      <c r="AV224" s="30"/>
      <c r="AW224" s="30"/>
    </row>
    <row r="225" customFormat="false" ht="19.5" hidden="false" customHeight="true" outlineLevel="0" collapsed="false">
      <c r="A225" s="28" t="str">
        <f aca="false">IF($C225="","",COUNTA($C$6:$C225))</f>
        <v/>
      </c>
      <c r="B225" s="29"/>
      <c r="C225" s="30"/>
      <c r="D225" s="29"/>
      <c r="E225" s="31" t="str">
        <f aca="false">IF($C225="","",IF(NOT(OR(M225="Completed",M225="NA",M225="Cancelled")),"S1 Schematic",IF(NOT(OR(Q225="Completed",Q225="NA",Q225="Cancelled")),"S2 PCB Layout",IF(NOT(OR(U225="Completed",U225="NA",U225="Cancelled")),"S3 SI &amp; PI",IF(NOT(OR(Y225="Completed",Y225="NA",Y225="Cancelled")),"S4 Bare-PCB Fab",IF(NOT(OR(AC225="Completed",AC225="NA",AC225="Cancelled")),"S5 Assembly",IF(NOT(OR(AG225="Completed",AG225="NA",AG225="Cancelled")),"S6 Bring-up",IF(NOT(OR(AK225="Completed",AK225="NA",AK225="Cancelled")),"S7 BOM Procurement","All Stages Closed"))))))))</f>
        <v/>
      </c>
      <c r="F225" s="32" t="str">
        <f aca="false">IF($C225="","",IF(COUNTIF(M225,"Cancelled")+COUNTIF(Q225,"Cancelled")+COUNTIF(U225,"Cancelled")+COUNTIF(Y225,"Cancelled")+COUNTIF(AC225,"Cancelled")+COUNTIF(AG225,"Cancelled")+COUNTIF(AK225,"Cancelled")&gt;0,"Cancelled",IF(E225="All Stages Closed","Completed",IF(E225="S1 Schematic",M225,IF(E225="S2 PCB Layout",Q225,IF(E225="S3 SI &amp; PI",U225,IF(E225="S4 Bare-PCB Fab",Y225,IF(E225="S5 Assembly",AC225,IF(E225="S6 Bring-up",AG225,AK225)))))))))</f>
        <v/>
      </c>
      <c r="G225" s="33" t="str">
        <f aca="false">IF($C225="","",IF(E225="All Stages Closed","",IF(E225="S1 Schematic",IF(N225="","Not added",N225),IF(E225="S2 PCB Layout",IF(R225="","Not added",R225),IF(E225="S3 SI &amp; PI",IF(V225="","Not added",V225),IF(E225="S4 Bare-PCB Fab",IF(Z225="","Not added",Z225),IF(E225="S5 Assembly",IF(AD225="","Not added",AD225),IF(E225="S6 Bring-up",IF(AH225="","Not added",AH225),IF(AL225="","Not added",AL225)))))))))</f>
        <v/>
      </c>
      <c r="H225" s="32" t="str">
        <f aca="true">IF($C225="","",IF(OR(F225="Completed",F225="Cancelled"),"",IF(NOT(ISNUMBER(G225)),"No date set",IF(TODAY()&gt;G225,TODAY()-G225&amp;" days late",G225-TODAY()&amp;" days left"))))</f>
        <v/>
      </c>
      <c r="I225" s="31" t="str">
        <f aca="false">IF($C225="","",COUNTIF(M225,"Completed")+COUNTIF(Q225,"Completed")+COUNTIF(U225,"Completed")+COUNTIF(Y225,"Completed")+COUNTIF(AC225,"Completed")+COUNTIF(AG225,"Completed")+COUNTIF(AK225,"Completed"))</f>
        <v/>
      </c>
      <c r="J225" s="31" t="str">
        <f aca="false">IF($C225="","",7-(COUNTIF(M225,"NA")+COUNTIF(Q225,"NA")+COUNTIF(U225,"NA")+COUNTIF(Y225,"NA")+COUNTIF(AC225,"NA")+COUNTIF(AG225,"NA")+COUNTIF(AK225,"NA")))</f>
        <v/>
      </c>
      <c r="K225" s="34" t="str">
        <f aca="false">IFERROR(I225/J225,"")</f>
        <v/>
      </c>
      <c r="L225" s="29"/>
      <c r="M225" s="35"/>
      <c r="N225" s="36"/>
      <c r="O225" s="36"/>
      <c r="P225" s="29"/>
      <c r="Q225" s="35"/>
      <c r="R225" s="36"/>
      <c r="S225" s="36"/>
      <c r="T225" s="29"/>
      <c r="U225" s="35"/>
      <c r="V225" s="36"/>
      <c r="W225" s="36"/>
      <c r="X225" s="29"/>
      <c r="Y225" s="35"/>
      <c r="Z225" s="36"/>
      <c r="AA225" s="36"/>
      <c r="AB225" s="29"/>
      <c r="AC225" s="35"/>
      <c r="AD225" s="36"/>
      <c r="AE225" s="36"/>
      <c r="AF225" s="29"/>
      <c r="AG225" s="35"/>
      <c r="AH225" s="36"/>
      <c r="AI225" s="36"/>
      <c r="AJ225" s="29"/>
      <c r="AK225" s="35"/>
      <c r="AL225" s="36"/>
      <c r="AM225" s="36"/>
      <c r="AN225" s="29"/>
      <c r="AO225" s="29"/>
      <c r="AP225" s="29"/>
      <c r="AQ225" s="37"/>
      <c r="AR225" s="39" t="str">
        <f aca="false">IF(AN225&lt;&gt;"Yes","",IF(AO225="","SELECT RE-ENTRY STAGE","MOVE TO ACTIVE at "&amp;AO225))</f>
        <v/>
      </c>
      <c r="AS225" s="40" t="str">
        <f aca="false">IF(AN225="Yes",COUNTIF($AN$6:AN225,"Yes"),"")</f>
        <v/>
      </c>
      <c r="AT225" s="29"/>
      <c r="AU225" s="38" t="str">
        <f aca="false">IF($C225="","",IF(OR(F225="Completed",F225="Cancelled"),"",IF(AND(OR(F225="On Hold",ISNUMBER(VALUE(LEFT(H225,2)))),AT225=""),"Reason not given","")))</f>
        <v/>
      </c>
      <c r="AV225" s="30"/>
      <c r="AW225" s="30"/>
    </row>
    <row r="226" customFormat="false" ht="19.5" hidden="false" customHeight="true" outlineLevel="0" collapsed="false">
      <c r="A226" s="28" t="str">
        <f aca="false">IF($C226="","",COUNTA($C$6:$C226))</f>
        <v/>
      </c>
      <c r="B226" s="29"/>
      <c r="C226" s="30"/>
      <c r="D226" s="29"/>
      <c r="E226" s="31" t="str">
        <f aca="false">IF($C226="","",IF(NOT(OR(M226="Completed",M226="NA",M226="Cancelled")),"S1 Schematic",IF(NOT(OR(Q226="Completed",Q226="NA",Q226="Cancelled")),"S2 PCB Layout",IF(NOT(OR(U226="Completed",U226="NA",U226="Cancelled")),"S3 SI &amp; PI",IF(NOT(OR(Y226="Completed",Y226="NA",Y226="Cancelled")),"S4 Bare-PCB Fab",IF(NOT(OR(AC226="Completed",AC226="NA",AC226="Cancelled")),"S5 Assembly",IF(NOT(OR(AG226="Completed",AG226="NA",AG226="Cancelled")),"S6 Bring-up",IF(NOT(OR(AK226="Completed",AK226="NA",AK226="Cancelled")),"S7 BOM Procurement","All Stages Closed"))))))))</f>
        <v/>
      </c>
      <c r="F226" s="32" t="str">
        <f aca="false">IF($C226="","",IF(COUNTIF(M226,"Cancelled")+COUNTIF(Q226,"Cancelled")+COUNTIF(U226,"Cancelled")+COUNTIF(Y226,"Cancelled")+COUNTIF(AC226,"Cancelled")+COUNTIF(AG226,"Cancelled")+COUNTIF(AK226,"Cancelled")&gt;0,"Cancelled",IF(E226="All Stages Closed","Completed",IF(E226="S1 Schematic",M226,IF(E226="S2 PCB Layout",Q226,IF(E226="S3 SI &amp; PI",U226,IF(E226="S4 Bare-PCB Fab",Y226,IF(E226="S5 Assembly",AC226,IF(E226="S6 Bring-up",AG226,AK226)))))))))</f>
        <v/>
      </c>
      <c r="G226" s="33" t="str">
        <f aca="false">IF($C226="","",IF(E226="All Stages Closed","",IF(E226="S1 Schematic",IF(N226="","Not added",N226),IF(E226="S2 PCB Layout",IF(R226="","Not added",R226),IF(E226="S3 SI &amp; PI",IF(V226="","Not added",V226),IF(E226="S4 Bare-PCB Fab",IF(Z226="","Not added",Z226),IF(E226="S5 Assembly",IF(AD226="","Not added",AD226),IF(E226="S6 Bring-up",IF(AH226="","Not added",AH226),IF(AL226="","Not added",AL226)))))))))</f>
        <v/>
      </c>
      <c r="H226" s="32" t="str">
        <f aca="true">IF($C226="","",IF(OR(F226="Completed",F226="Cancelled"),"",IF(NOT(ISNUMBER(G226)),"No date set",IF(TODAY()&gt;G226,TODAY()-G226&amp;" days late",G226-TODAY()&amp;" days left"))))</f>
        <v/>
      </c>
      <c r="I226" s="31" t="str">
        <f aca="false">IF($C226="","",COUNTIF(M226,"Completed")+COUNTIF(Q226,"Completed")+COUNTIF(U226,"Completed")+COUNTIF(Y226,"Completed")+COUNTIF(AC226,"Completed")+COUNTIF(AG226,"Completed")+COUNTIF(AK226,"Completed"))</f>
        <v/>
      </c>
      <c r="J226" s="31" t="str">
        <f aca="false">IF($C226="","",7-(COUNTIF(M226,"NA")+COUNTIF(Q226,"NA")+COUNTIF(U226,"NA")+COUNTIF(Y226,"NA")+COUNTIF(AC226,"NA")+COUNTIF(AG226,"NA")+COUNTIF(AK226,"NA")))</f>
        <v/>
      </c>
      <c r="K226" s="34" t="str">
        <f aca="false">IFERROR(I226/J226,"")</f>
        <v/>
      </c>
      <c r="L226" s="29"/>
      <c r="M226" s="35"/>
      <c r="N226" s="36"/>
      <c r="O226" s="36"/>
      <c r="P226" s="29"/>
      <c r="Q226" s="35"/>
      <c r="R226" s="36"/>
      <c r="S226" s="36"/>
      <c r="T226" s="29"/>
      <c r="U226" s="35"/>
      <c r="V226" s="36"/>
      <c r="W226" s="36"/>
      <c r="X226" s="29"/>
      <c r="Y226" s="35"/>
      <c r="Z226" s="36"/>
      <c r="AA226" s="36"/>
      <c r="AB226" s="29"/>
      <c r="AC226" s="35"/>
      <c r="AD226" s="36"/>
      <c r="AE226" s="36"/>
      <c r="AF226" s="29"/>
      <c r="AG226" s="35"/>
      <c r="AH226" s="36"/>
      <c r="AI226" s="36"/>
      <c r="AJ226" s="29"/>
      <c r="AK226" s="35"/>
      <c r="AL226" s="36"/>
      <c r="AM226" s="36"/>
      <c r="AN226" s="29"/>
      <c r="AO226" s="29"/>
      <c r="AP226" s="29"/>
      <c r="AQ226" s="37"/>
      <c r="AR226" s="39" t="str">
        <f aca="false">IF(AN226&lt;&gt;"Yes","",IF(AO226="","SELECT RE-ENTRY STAGE","MOVE TO ACTIVE at "&amp;AO226))</f>
        <v/>
      </c>
      <c r="AS226" s="40" t="str">
        <f aca="false">IF(AN226="Yes",COUNTIF($AN$6:AN226,"Yes"),"")</f>
        <v/>
      </c>
      <c r="AT226" s="29"/>
      <c r="AU226" s="38" t="str">
        <f aca="false">IF($C226="","",IF(OR(F226="Completed",F226="Cancelled"),"",IF(AND(OR(F226="On Hold",ISNUMBER(VALUE(LEFT(H226,2)))),AT226=""),"Reason not given","")))</f>
        <v/>
      </c>
      <c r="AV226" s="30"/>
      <c r="AW226" s="30"/>
    </row>
    <row r="227" customFormat="false" ht="19.5" hidden="false" customHeight="true" outlineLevel="0" collapsed="false">
      <c r="A227" s="28" t="str">
        <f aca="false">IF($C227="","",COUNTA($C$6:$C227))</f>
        <v/>
      </c>
      <c r="B227" s="29"/>
      <c r="C227" s="30"/>
      <c r="D227" s="29"/>
      <c r="E227" s="31" t="str">
        <f aca="false">IF($C227="","",IF(NOT(OR(M227="Completed",M227="NA",M227="Cancelled")),"S1 Schematic",IF(NOT(OR(Q227="Completed",Q227="NA",Q227="Cancelled")),"S2 PCB Layout",IF(NOT(OR(U227="Completed",U227="NA",U227="Cancelled")),"S3 SI &amp; PI",IF(NOT(OR(Y227="Completed",Y227="NA",Y227="Cancelled")),"S4 Bare-PCB Fab",IF(NOT(OR(AC227="Completed",AC227="NA",AC227="Cancelled")),"S5 Assembly",IF(NOT(OR(AG227="Completed",AG227="NA",AG227="Cancelled")),"S6 Bring-up",IF(NOT(OR(AK227="Completed",AK227="NA",AK227="Cancelled")),"S7 BOM Procurement","All Stages Closed"))))))))</f>
        <v/>
      </c>
      <c r="F227" s="32" t="str">
        <f aca="false">IF($C227="","",IF(COUNTIF(M227,"Cancelled")+COUNTIF(Q227,"Cancelled")+COUNTIF(U227,"Cancelled")+COUNTIF(Y227,"Cancelled")+COUNTIF(AC227,"Cancelled")+COUNTIF(AG227,"Cancelled")+COUNTIF(AK227,"Cancelled")&gt;0,"Cancelled",IF(E227="All Stages Closed","Completed",IF(E227="S1 Schematic",M227,IF(E227="S2 PCB Layout",Q227,IF(E227="S3 SI &amp; PI",U227,IF(E227="S4 Bare-PCB Fab",Y227,IF(E227="S5 Assembly",AC227,IF(E227="S6 Bring-up",AG227,AK227)))))))))</f>
        <v/>
      </c>
      <c r="G227" s="33" t="str">
        <f aca="false">IF($C227="","",IF(E227="All Stages Closed","",IF(E227="S1 Schematic",IF(N227="","Not added",N227),IF(E227="S2 PCB Layout",IF(R227="","Not added",R227),IF(E227="S3 SI &amp; PI",IF(V227="","Not added",V227),IF(E227="S4 Bare-PCB Fab",IF(Z227="","Not added",Z227),IF(E227="S5 Assembly",IF(AD227="","Not added",AD227),IF(E227="S6 Bring-up",IF(AH227="","Not added",AH227),IF(AL227="","Not added",AL227)))))))))</f>
        <v/>
      </c>
      <c r="H227" s="32" t="str">
        <f aca="true">IF($C227="","",IF(OR(F227="Completed",F227="Cancelled"),"",IF(NOT(ISNUMBER(G227)),"No date set",IF(TODAY()&gt;G227,TODAY()-G227&amp;" days late",G227-TODAY()&amp;" days left"))))</f>
        <v/>
      </c>
      <c r="I227" s="31" t="str">
        <f aca="false">IF($C227="","",COUNTIF(M227,"Completed")+COUNTIF(Q227,"Completed")+COUNTIF(U227,"Completed")+COUNTIF(Y227,"Completed")+COUNTIF(AC227,"Completed")+COUNTIF(AG227,"Completed")+COUNTIF(AK227,"Completed"))</f>
        <v/>
      </c>
      <c r="J227" s="31" t="str">
        <f aca="false">IF($C227="","",7-(COUNTIF(M227,"NA")+COUNTIF(Q227,"NA")+COUNTIF(U227,"NA")+COUNTIF(Y227,"NA")+COUNTIF(AC227,"NA")+COUNTIF(AG227,"NA")+COUNTIF(AK227,"NA")))</f>
        <v/>
      </c>
      <c r="K227" s="34" t="str">
        <f aca="false">IFERROR(I227/J227,"")</f>
        <v/>
      </c>
      <c r="L227" s="29"/>
      <c r="M227" s="35"/>
      <c r="N227" s="36"/>
      <c r="O227" s="36"/>
      <c r="P227" s="29"/>
      <c r="Q227" s="35"/>
      <c r="R227" s="36"/>
      <c r="S227" s="36"/>
      <c r="T227" s="29"/>
      <c r="U227" s="35"/>
      <c r="V227" s="36"/>
      <c r="W227" s="36"/>
      <c r="X227" s="29"/>
      <c r="Y227" s="35"/>
      <c r="Z227" s="36"/>
      <c r="AA227" s="36"/>
      <c r="AB227" s="29"/>
      <c r="AC227" s="35"/>
      <c r="AD227" s="36"/>
      <c r="AE227" s="36"/>
      <c r="AF227" s="29"/>
      <c r="AG227" s="35"/>
      <c r="AH227" s="36"/>
      <c r="AI227" s="36"/>
      <c r="AJ227" s="29"/>
      <c r="AK227" s="35"/>
      <c r="AL227" s="36"/>
      <c r="AM227" s="36"/>
      <c r="AN227" s="29"/>
      <c r="AO227" s="29"/>
      <c r="AP227" s="29"/>
      <c r="AQ227" s="37"/>
      <c r="AR227" s="39" t="str">
        <f aca="false">IF(AN227&lt;&gt;"Yes","",IF(AO227="","SELECT RE-ENTRY STAGE","MOVE TO ACTIVE at "&amp;AO227))</f>
        <v/>
      </c>
      <c r="AS227" s="40" t="str">
        <f aca="false">IF(AN227="Yes",COUNTIF($AN$6:AN227,"Yes"),"")</f>
        <v/>
      </c>
      <c r="AT227" s="29"/>
      <c r="AU227" s="38" t="str">
        <f aca="false">IF($C227="","",IF(OR(F227="Completed",F227="Cancelled"),"",IF(AND(OR(F227="On Hold",ISNUMBER(VALUE(LEFT(H227,2)))),AT227=""),"Reason not given","")))</f>
        <v/>
      </c>
      <c r="AV227" s="30"/>
      <c r="AW227" s="30"/>
    </row>
    <row r="228" customFormat="false" ht="19.5" hidden="false" customHeight="true" outlineLevel="0" collapsed="false">
      <c r="A228" s="28" t="str">
        <f aca="false">IF($C228="","",COUNTA($C$6:$C228))</f>
        <v/>
      </c>
      <c r="B228" s="29"/>
      <c r="C228" s="30"/>
      <c r="D228" s="29"/>
      <c r="E228" s="31" t="str">
        <f aca="false">IF($C228="","",IF(NOT(OR(M228="Completed",M228="NA",M228="Cancelled")),"S1 Schematic",IF(NOT(OR(Q228="Completed",Q228="NA",Q228="Cancelled")),"S2 PCB Layout",IF(NOT(OR(U228="Completed",U228="NA",U228="Cancelled")),"S3 SI &amp; PI",IF(NOT(OR(Y228="Completed",Y228="NA",Y228="Cancelled")),"S4 Bare-PCB Fab",IF(NOT(OR(AC228="Completed",AC228="NA",AC228="Cancelled")),"S5 Assembly",IF(NOT(OR(AG228="Completed",AG228="NA",AG228="Cancelled")),"S6 Bring-up",IF(NOT(OR(AK228="Completed",AK228="NA",AK228="Cancelled")),"S7 BOM Procurement","All Stages Closed"))))))))</f>
        <v/>
      </c>
      <c r="F228" s="32" t="str">
        <f aca="false">IF($C228="","",IF(COUNTIF(M228,"Cancelled")+COUNTIF(Q228,"Cancelled")+COUNTIF(U228,"Cancelled")+COUNTIF(Y228,"Cancelled")+COUNTIF(AC228,"Cancelled")+COUNTIF(AG228,"Cancelled")+COUNTIF(AK228,"Cancelled")&gt;0,"Cancelled",IF(E228="All Stages Closed","Completed",IF(E228="S1 Schematic",M228,IF(E228="S2 PCB Layout",Q228,IF(E228="S3 SI &amp; PI",U228,IF(E228="S4 Bare-PCB Fab",Y228,IF(E228="S5 Assembly",AC228,IF(E228="S6 Bring-up",AG228,AK228)))))))))</f>
        <v/>
      </c>
      <c r="G228" s="33" t="str">
        <f aca="false">IF($C228="","",IF(E228="All Stages Closed","",IF(E228="S1 Schematic",IF(N228="","Not added",N228),IF(E228="S2 PCB Layout",IF(R228="","Not added",R228),IF(E228="S3 SI &amp; PI",IF(V228="","Not added",V228),IF(E228="S4 Bare-PCB Fab",IF(Z228="","Not added",Z228),IF(E228="S5 Assembly",IF(AD228="","Not added",AD228),IF(E228="S6 Bring-up",IF(AH228="","Not added",AH228),IF(AL228="","Not added",AL228)))))))))</f>
        <v/>
      </c>
      <c r="H228" s="32" t="str">
        <f aca="true">IF($C228="","",IF(OR(F228="Completed",F228="Cancelled"),"",IF(NOT(ISNUMBER(G228)),"No date set",IF(TODAY()&gt;G228,TODAY()-G228&amp;" days late",G228-TODAY()&amp;" days left"))))</f>
        <v/>
      </c>
      <c r="I228" s="31" t="str">
        <f aca="false">IF($C228="","",COUNTIF(M228,"Completed")+COUNTIF(Q228,"Completed")+COUNTIF(U228,"Completed")+COUNTIF(Y228,"Completed")+COUNTIF(AC228,"Completed")+COUNTIF(AG228,"Completed")+COUNTIF(AK228,"Completed"))</f>
        <v/>
      </c>
      <c r="J228" s="31" t="str">
        <f aca="false">IF($C228="","",7-(COUNTIF(M228,"NA")+COUNTIF(Q228,"NA")+COUNTIF(U228,"NA")+COUNTIF(Y228,"NA")+COUNTIF(AC228,"NA")+COUNTIF(AG228,"NA")+COUNTIF(AK228,"NA")))</f>
        <v/>
      </c>
      <c r="K228" s="34" t="str">
        <f aca="false">IFERROR(I228/J228,"")</f>
        <v/>
      </c>
      <c r="L228" s="29"/>
      <c r="M228" s="35"/>
      <c r="N228" s="36"/>
      <c r="O228" s="36"/>
      <c r="P228" s="29"/>
      <c r="Q228" s="35"/>
      <c r="R228" s="36"/>
      <c r="S228" s="36"/>
      <c r="T228" s="29"/>
      <c r="U228" s="35"/>
      <c r="V228" s="36"/>
      <c r="W228" s="36"/>
      <c r="X228" s="29"/>
      <c r="Y228" s="35"/>
      <c r="Z228" s="36"/>
      <c r="AA228" s="36"/>
      <c r="AB228" s="29"/>
      <c r="AC228" s="35"/>
      <c r="AD228" s="36"/>
      <c r="AE228" s="36"/>
      <c r="AF228" s="29"/>
      <c r="AG228" s="35"/>
      <c r="AH228" s="36"/>
      <c r="AI228" s="36"/>
      <c r="AJ228" s="29"/>
      <c r="AK228" s="35"/>
      <c r="AL228" s="36"/>
      <c r="AM228" s="36"/>
      <c r="AN228" s="29"/>
      <c r="AO228" s="29"/>
      <c r="AP228" s="29"/>
      <c r="AQ228" s="37"/>
      <c r="AR228" s="39" t="str">
        <f aca="false">IF(AN228&lt;&gt;"Yes","",IF(AO228="","SELECT RE-ENTRY STAGE","MOVE TO ACTIVE at "&amp;AO228))</f>
        <v/>
      </c>
      <c r="AS228" s="40" t="str">
        <f aca="false">IF(AN228="Yes",COUNTIF($AN$6:AN228,"Yes"),"")</f>
        <v/>
      </c>
      <c r="AT228" s="29"/>
      <c r="AU228" s="38" t="str">
        <f aca="false">IF($C228="","",IF(OR(F228="Completed",F228="Cancelled"),"",IF(AND(OR(F228="On Hold",ISNUMBER(VALUE(LEFT(H228,2)))),AT228=""),"Reason not given","")))</f>
        <v/>
      </c>
      <c r="AV228" s="30"/>
      <c r="AW228" s="30"/>
    </row>
    <row r="229" customFormat="false" ht="19.5" hidden="false" customHeight="true" outlineLevel="0" collapsed="false">
      <c r="A229" s="28" t="str">
        <f aca="false">IF($C229="","",COUNTA($C$6:$C229))</f>
        <v/>
      </c>
      <c r="B229" s="29"/>
      <c r="C229" s="30"/>
      <c r="D229" s="29"/>
      <c r="E229" s="31" t="str">
        <f aca="false">IF($C229="","",IF(NOT(OR(M229="Completed",M229="NA",M229="Cancelled")),"S1 Schematic",IF(NOT(OR(Q229="Completed",Q229="NA",Q229="Cancelled")),"S2 PCB Layout",IF(NOT(OR(U229="Completed",U229="NA",U229="Cancelled")),"S3 SI &amp; PI",IF(NOT(OR(Y229="Completed",Y229="NA",Y229="Cancelled")),"S4 Bare-PCB Fab",IF(NOT(OR(AC229="Completed",AC229="NA",AC229="Cancelled")),"S5 Assembly",IF(NOT(OR(AG229="Completed",AG229="NA",AG229="Cancelled")),"S6 Bring-up",IF(NOT(OR(AK229="Completed",AK229="NA",AK229="Cancelled")),"S7 BOM Procurement","All Stages Closed"))))))))</f>
        <v/>
      </c>
      <c r="F229" s="32" t="str">
        <f aca="false">IF($C229="","",IF(COUNTIF(M229,"Cancelled")+COUNTIF(Q229,"Cancelled")+COUNTIF(U229,"Cancelled")+COUNTIF(Y229,"Cancelled")+COUNTIF(AC229,"Cancelled")+COUNTIF(AG229,"Cancelled")+COUNTIF(AK229,"Cancelled")&gt;0,"Cancelled",IF(E229="All Stages Closed","Completed",IF(E229="S1 Schematic",M229,IF(E229="S2 PCB Layout",Q229,IF(E229="S3 SI &amp; PI",U229,IF(E229="S4 Bare-PCB Fab",Y229,IF(E229="S5 Assembly",AC229,IF(E229="S6 Bring-up",AG229,AK229)))))))))</f>
        <v/>
      </c>
      <c r="G229" s="33" t="str">
        <f aca="false">IF($C229="","",IF(E229="All Stages Closed","",IF(E229="S1 Schematic",IF(N229="","Not added",N229),IF(E229="S2 PCB Layout",IF(R229="","Not added",R229),IF(E229="S3 SI &amp; PI",IF(V229="","Not added",V229),IF(E229="S4 Bare-PCB Fab",IF(Z229="","Not added",Z229),IF(E229="S5 Assembly",IF(AD229="","Not added",AD229),IF(E229="S6 Bring-up",IF(AH229="","Not added",AH229),IF(AL229="","Not added",AL229)))))))))</f>
        <v/>
      </c>
      <c r="H229" s="32" t="str">
        <f aca="true">IF($C229="","",IF(OR(F229="Completed",F229="Cancelled"),"",IF(NOT(ISNUMBER(G229)),"No date set",IF(TODAY()&gt;G229,TODAY()-G229&amp;" days late",G229-TODAY()&amp;" days left"))))</f>
        <v/>
      </c>
      <c r="I229" s="31" t="str">
        <f aca="false">IF($C229="","",COUNTIF(M229,"Completed")+COUNTIF(Q229,"Completed")+COUNTIF(U229,"Completed")+COUNTIF(Y229,"Completed")+COUNTIF(AC229,"Completed")+COUNTIF(AG229,"Completed")+COUNTIF(AK229,"Completed"))</f>
        <v/>
      </c>
      <c r="J229" s="31" t="str">
        <f aca="false">IF($C229="","",7-(COUNTIF(M229,"NA")+COUNTIF(Q229,"NA")+COUNTIF(U229,"NA")+COUNTIF(Y229,"NA")+COUNTIF(AC229,"NA")+COUNTIF(AG229,"NA")+COUNTIF(AK229,"NA")))</f>
        <v/>
      </c>
      <c r="K229" s="34" t="str">
        <f aca="false">IFERROR(I229/J229,"")</f>
        <v/>
      </c>
      <c r="L229" s="29"/>
      <c r="M229" s="35"/>
      <c r="N229" s="36"/>
      <c r="O229" s="36"/>
      <c r="P229" s="29"/>
      <c r="Q229" s="35"/>
      <c r="R229" s="36"/>
      <c r="S229" s="36"/>
      <c r="T229" s="29"/>
      <c r="U229" s="35"/>
      <c r="V229" s="36"/>
      <c r="W229" s="36"/>
      <c r="X229" s="29"/>
      <c r="Y229" s="35"/>
      <c r="Z229" s="36"/>
      <c r="AA229" s="36"/>
      <c r="AB229" s="29"/>
      <c r="AC229" s="35"/>
      <c r="AD229" s="36"/>
      <c r="AE229" s="36"/>
      <c r="AF229" s="29"/>
      <c r="AG229" s="35"/>
      <c r="AH229" s="36"/>
      <c r="AI229" s="36"/>
      <c r="AJ229" s="29"/>
      <c r="AK229" s="35"/>
      <c r="AL229" s="36"/>
      <c r="AM229" s="36"/>
      <c r="AN229" s="29"/>
      <c r="AO229" s="29"/>
      <c r="AP229" s="29"/>
      <c r="AQ229" s="37"/>
      <c r="AR229" s="39" t="str">
        <f aca="false">IF(AN229&lt;&gt;"Yes","",IF(AO229="","SELECT RE-ENTRY STAGE","MOVE TO ACTIVE at "&amp;AO229))</f>
        <v/>
      </c>
      <c r="AS229" s="40" t="str">
        <f aca="false">IF(AN229="Yes",COUNTIF($AN$6:AN229,"Yes"),"")</f>
        <v/>
      </c>
      <c r="AT229" s="29"/>
      <c r="AU229" s="38" t="str">
        <f aca="false">IF($C229="","",IF(OR(F229="Completed",F229="Cancelled"),"",IF(AND(OR(F229="On Hold",ISNUMBER(VALUE(LEFT(H229,2)))),AT229=""),"Reason not given","")))</f>
        <v/>
      </c>
      <c r="AV229" s="30"/>
      <c r="AW229" s="30"/>
    </row>
    <row r="230" customFormat="false" ht="19.5" hidden="false" customHeight="true" outlineLevel="0" collapsed="false">
      <c r="A230" s="28" t="str">
        <f aca="false">IF($C230="","",COUNTA($C$6:$C230))</f>
        <v/>
      </c>
      <c r="B230" s="29"/>
      <c r="C230" s="30"/>
      <c r="D230" s="29"/>
      <c r="E230" s="31" t="str">
        <f aca="false">IF($C230="","",IF(NOT(OR(M230="Completed",M230="NA",M230="Cancelled")),"S1 Schematic",IF(NOT(OR(Q230="Completed",Q230="NA",Q230="Cancelled")),"S2 PCB Layout",IF(NOT(OR(U230="Completed",U230="NA",U230="Cancelled")),"S3 SI &amp; PI",IF(NOT(OR(Y230="Completed",Y230="NA",Y230="Cancelled")),"S4 Bare-PCB Fab",IF(NOT(OR(AC230="Completed",AC230="NA",AC230="Cancelled")),"S5 Assembly",IF(NOT(OR(AG230="Completed",AG230="NA",AG230="Cancelled")),"S6 Bring-up",IF(NOT(OR(AK230="Completed",AK230="NA",AK230="Cancelled")),"S7 BOM Procurement","All Stages Closed"))))))))</f>
        <v/>
      </c>
      <c r="F230" s="32" t="str">
        <f aca="false">IF($C230="","",IF(COUNTIF(M230,"Cancelled")+COUNTIF(Q230,"Cancelled")+COUNTIF(U230,"Cancelled")+COUNTIF(Y230,"Cancelled")+COUNTIF(AC230,"Cancelled")+COUNTIF(AG230,"Cancelled")+COUNTIF(AK230,"Cancelled")&gt;0,"Cancelled",IF(E230="All Stages Closed","Completed",IF(E230="S1 Schematic",M230,IF(E230="S2 PCB Layout",Q230,IF(E230="S3 SI &amp; PI",U230,IF(E230="S4 Bare-PCB Fab",Y230,IF(E230="S5 Assembly",AC230,IF(E230="S6 Bring-up",AG230,AK230)))))))))</f>
        <v/>
      </c>
      <c r="G230" s="33" t="str">
        <f aca="false">IF($C230="","",IF(E230="All Stages Closed","",IF(E230="S1 Schematic",IF(N230="","Not added",N230),IF(E230="S2 PCB Layout",IF(R230="","Not added",R230),IF(E230="S3 SI &amp; PI",IF(V230="","Not added",V230),IF(E230="S4 Bare-PCB Fab",IF(Z230="","Not added",Z230),IF(E230="S5 Assembly",IF(AD230="","Not added",AD230),IF(E230="S6 Bring-up",IF(AH230="","Not added",AH230),IF(AL230="","Not added",AL230)))))))))</f>
        <v/>
      </c>
      <c r="H230" s="32" t="str">
        <f aca="true">IF($C230="","",IF(OR(F230="Completed",F230="Cancelled"),"",IF(NOT(ISNUMBER(G230)),"No date set",IF(TODAY()&gt;G230,TODAY()-G230&amp;" days late",G230-TODAY()&amp;" days left"))))</f>
        <v/>
      </c>
      <c r="I230" s="31" t="str">
        <f aca="false">IF($C230="","",COUNTIF(M230,"Completed")+COUNTIF(Q230,"Completed")+COUNTIF(U230,"Completed")+COUNTIF(Y230,"Completed")+COUNTIF(AC230,"Completed")+COUNTIF(AG230,"Completed")+COUNTIF(AK230,"Completed"))</f>
        <v/>
      </c>
      <c r="J230" s="31" t="str">
        <f aca="false">IF($C230="","",7-(COUNTIF(M230,"NA")+COUNTIF(Q230,"NA")+COUNTIF(U230,"NA")+COUNTIF(Y230,"NA")+COUNTIF(AC230,"NA")+COUNTIF(AG230,"NA")+COUNTIF(AK230,"NA")))</f>
        <v/>
      </c>
      <c r="K230" s="34" t="str">
        <f aca="false">IFERROR(I230/J230,"")</f>
        <v/>
      </c>
      <c r="L230" s="29"/>
      <c r="M230" s="35"/>
      <c r="N230" s="36"/>
      <c r="O230" s="36"/>
      <c r="P230" s="29"/>
      <c r="Q230" s="35"/>
      <c r="R230" s="36"/>
      <c r="S230" s="36"/>
      <c r="T230" s="29"/>
      <c r="U230" s="35"/>
      <c r="V230" s="36"/>
      <c r="W230" s="36"/>
      <c r="X230" s="29"/>
      <c r="Y230" s="35"/>
      <c r="Z230" s="36"/>
      <c r="AA230" s="36"/>
      <c r="AB230" s="29"/>
      <c r="AC230" s="35"/>
      <c r="AD230" s="36"/>
      <c r="AE230" s="36"/>
      <c r="AF230" s="29"/>
      <c r="AG230" s="35"/>
      <c r="AH230" s="36"/>
      <c r="AI230" s="36"/>
      <c r="AJ230" s="29"/>
      <c r="AK230" s="35"/>
      <c r="AL230" s="36"/>
      <c r="AM230" s="36"/>
      <c r="AN230" s="29"/>
      <c r="AO230" s="29"/>
      <c r="AP230" s="29"/>
      <c r="AQ230" s="37"/>
      <c r="AR230" s="39" t="str">
        <f aca="false">IF(AN230&lt;&gt;"Yes","",IF(AO230="","SELECT RE-ENTRY STAGE","MOVE TO ACTIVE at "&amp;AO230))</f>
        <v/>
      </c>
      <c r="AS230" s="40" t="str">
        <f aca="false">IF(AN230="Yes",COUNTIF($AN$6:AN230,"Yes"),"")</f>
        <v/>
      </c>
      <c r="AT230" s="29"/>
      <c r="AU230" s="38" t="str">
        <f aca="false">IF($C230="","",IF(OR(F230="Completed",F230="Cancelled"),"",IF(AND(OR(F230="On Hold",ISNUMBER(VALUE(LEFT(H230,2)))),AT230=""),"Reason not given","")))</f>
        <v/>
      </c>
      <c r="AV230" s="30"/>
      <c r="AW230" s="30"/>
    </row>
    <row r="231" customFormat="false" ht="19.5" hidden="false" customHeight="true" outlineLevel="0" collapsed="false">
      <c r="A231" s="28" t="str">
        <f aca="false">IF($C231="","",COUNTA($C$6:$C231))</f>
        <v/>
      </c>
      <c r="B231" s="29"/>
      <c r="C231" s="30"/>
      <c r="D231" s="29"/>
      <c r="E231" s="31" t="str">
        <f aca="false">IF($C231="","",IF(NOT(OR(M231="Completed",M231="NA",M231="Cancelled")),"S1 Schematic",IF(NOT(OR(Q231="Completed",Q231="NA",Q231="Cancelled")),"S2 PCB Layout",IF(NOT(OR(U231="Completed",U231="NA",U231="Cancelled")),"S3 SI &amp; PI",IF(NOT(OR(Y231="Completed",Y231="NA",Y231="Cancelled")),"S4 Bare-PCB Fab",IF(NOT(OR(AC231="Completed",AC231="NA",AC231="Cancelled")),"S5 Assembly",IF(NOT(OR(AG231="Completed",AG231="NA",AG231="Cancelled")),"S6 Bring-up",IF(NOT(OR(AK231="Completed",AK231="NA",AK231="Cancelled")),"S7 BOM Procurement","All Stages Closed"))))))))</f>
        <v/>
      </c>
      <c r="F231" s="32" t="str">
        <f aca="false">IF($C231="","",IF(COUNTIF(M231,"Cancelled")+COUNTIF(Q231,"Cancelled")+COUNTIF(U231,"Cancelled")+COUNTIF(Y231,"Cancelled")+COUNTIF(AC231,"Cancelled")+COUNTIF(AG231,"Cancelled")+COUNTIF(AK231,"Cancelled")&gt;0,"Cancelled",IF(E231="All Stages Closed","Completed",IF(E231="S1 Schematic",M231,IF(E231="S2 PCB Layout",Q231,IF(E231="S3 SI &amp; PI",U231,IF(E231="S4 Bare-PCB Fab",Y231,IF(E231="S5 Assembly",AC231,IF(E231="S6 Bring-up",AG231,AK231)))))))))</f>
        <v/>
      </c>
      <c r="G231" s="33" t="str">
        <f aca="false">IF($C231="","",IF(E231="All Stages Closed","",IF(E231="S1 Schematic",IF(N231="","Not added",N231),IF(E231="S2 PCB Layout",IF(R231="","Not added",R231),IF(E231="S3 SI &amp; PI",IF(V231="","Not added",V231),IF(E231="S4 Bare-PCB Fab",IF(Z231="","Not added",Z231),IF(E231="S5 Assembly",IF(AD231="","Not added",AD231),IF(E231="S6 Bring-up",IF(AH231="","Not added",AH231),IF(AL231="","Not added",AL231)))))))))</f>
        <v/>
      </c>
      <c r="H231" s="32" t="str">
        <f aca="true">IF($C231="","",IF(OR(F231="Completed",F231="Cancelled"),"",IF(NOT(ISNUMBER(G231)),"No date set",IF(TODAY()&gt;G231,TODAY()-G231&amp;" days late",G231-TODAY()&amp;" days left"))))</f>
        <v/>
      </c>
      <c r="I231" s="31" t="str">
        <f aca="false">IF($C231="","",COUNTIF(M231,"Completed")+COUNTIF(Q231,"Completed")+COUNTIF(U231,"Completed")+COUNTIF(Y231,"Completed")+COUNTIF(AC231,"Completed")+COUNTIF(AG231,"Completed")+COUNTIF(AK231,"Completed"))</f>
        <v/>
      </c>
      <c r="J231" s="31" t="str">
        <f aca="false">IF($C231="","",7-(COUNTIF(M231,"NA")+COUNTIF(Q231,"NA")+COUNTIF(U231,"NA")+COUNTIF(Y231,"NA")+COUNTIF(AC231,"NA")+COUNTIF(AG231,"NA")+COUNTIF(AK231,"NA")))</f>
        <v/>
      </c>
      <c r="K231" s="34" t="str">
        <f aca="false">IFERROR(I231/J231,"")</f>
        <v/>
      </c>
      <c r="L231" s="29"/>
      <c r="M231" s="35"/>
      <c r="N231" s="36"/>
      <c r="O231" s="36"/>
      <c r="P231" s="29"/>
      <c r="Q231" s="35"/>
      <c r="R231" s="36"/>
      <c r="S231" s="36"/>
      <c r="T231" s="29"/>
      <c r="U231" s="35"/>
      <c r="V231" s="36"/>
      <c r="W231" s="36"/>
      <c r="X231" s="29"/>
      <c r="Y231" s="35"/>
      <c r="Z231" s="36"/>
      <c r="AA231" s="36"/>
      <c r="AB231" s="29"/>
      <c r="AC231" s="35"/>
      <c r="AD231" s="36"/>
      <c r="AE231" s="36"/>
      <c r="AF231" s="29"/>
      <c r="AG231" s="35"/>
      <c r="AH231" s="36"/>
      <c r="AI231" s="36"/>
      <c r="AJ231" s="29"/>
      <c r="AK231" s="35"/>
      <c r="AL231" s="36"/>
      <c r="AM231" s="36"/>
      <c r="AN231" s="29"/>
      <c r="AO231" s="29"/>
      <c r="AP231" s="29"/>
      <c r="AQ231" s="37"/>
      <c r="AR231" s="39" t="str">
        <f aca="false">IF(AN231&lt;&gt;"Yes","",IF(AO231="","SELECT RE-ENTRY STAGE","MOVE TO ACTIVE at "&amp;AO231))</f>
        <v/>
      </c>
      <c r="AS231" s="40" t="str">
        <f aca="false">IF(AN231="Yes",COUNTIF($AN$6:AN231,"Yes"),"")</f>
        <v/>
      </c>
      <c r="AT231" s="29"/>
      <c r="AU231" s="38" t="str">
        <f aca="false">IF($C231="","",IF(OR(F231="Completed",F231="Cancelled"),"",IF(AND(OR(F231="On Hold",ISNUMBER(VALUE(LEFT(H231,2)))),AT231=""),"Reason not given","")))</f>
        <v/>
      </c>
      <c r="AV231" s="30"/>
      <c r="AW231" s="30"/>
    </row>
    <row r="232" customFormat="false" ht="19.5" hidden="false" customHeight="true" outlineLevel="0" collapsed="false">
      <c r="A232" s="28" t="str">
        <f aca="false">IF($C232="","",COUNTA($C$6:$C232))</f>
        <v/>
      </c>
      <c r="B232" s="29"/>
      <c r="C232" s="30"/>
      <c r="D232" s="29"/>
      <c r="E232" s="31" t="str">
        <f aca="false">IF($C232="","",IF(NOT(OR(M232="Completed",M232="NA",M232="Cancelled")),"S1 Schematic",IF(NOT(OR(Q232="Completed",Q232="NA",Q232="Cancelled")),"S2 PCB Layout",IF(NOT(OR(U232="Completed",U232="NA",U232="Cancelled")),"S3 SI &amp; PI",IF(NOT(OR(Y232="Completed",Y232="NA",Y232="Cancelled")),"S4 Bare-PCB Fab",IF(NOT(OR(AC232="Completed",AC232="NA",AC232="Cancelled")),"S5 Assembly",IF(NOT(OR(AG232="Completed",AG232="NA",AG232="Cancelled")),"S6 Bring-up",IF(NOT(OR(AK232="Completed",AK232="NA",AK232="Cancelled")),"S7 BOM Procurement","All Stages Closed"))))))))</f>
        <v/>
      </c>
      <c r="F232" s="32" t="str">
        <f aca="false">IF($C232="","",IF(COUNTIF(M232,"Cancelled")+COUNTIF(Q232,"Cancelled")+COUNTIF(U232,"Cancelled")+COUNTIF(Y232,"Cancelled")+COUNTIF(AC232,"Cancelled")+COUNTIF(AG232,"Cancelled")+COUNTIF(AK232,"Cancelled")&gt;0,"Cancelled",IF(E232="All Stages Closed","Completed",IF(E232="S1 Schematic",M232,IF(E232="S2 PCB Layout",Q232,IF(E232="S3 SI &amp; PI",U232,IF(E232="S4 Bare-PCB Fab",Y232,IF(E232="S5 Assembly",AC232,IF(E232="S6 Bring-up",AG232,AK232)))))))))</f>
        <v/>
      </c>
      <c r="G232" s="33" t="str">
        <f aca="false">IF($C232="","",IF(E232="All Stages Closed","",IF(E232="S1 Schematic",IF(N232="","Not added",N232),IF(E232="S2 PCB Layout",IF(R232="","Not added",R232),IF(E232="S3 SI &amp; PI",IF(V232="","Not added",V232),IF(E232="S4 Bare-PCB Fab",IF(Z232="","Not added",Z232),IF(E232="S5 Assembly",IF(AD232="","Not added",AD232),IF(E232="S6 Bring-up",IF(AH232="","Not added",AH232),IF(AL232="","Not added",AL232)))))))))</f>
        <v/>
      </c>
      <c r="H232" s="32" t="str">
        <f aca="true">IF($C232="","",IF(OR(F232="Completed",F232="Cancelled"),"",IF(NOT(ISNUMBER(G232)),"No date set",IF(TODAY()&gt;G232,TODAY()-G232&amp;" days late",G232-TODAY()&amp;" days left"))))</f>
        <v/>
      </c>
      <c r="I232" s="31" t="str">
        <f aca="false">IF($C232="","",COUNTIF(M232,"Completed")+COUNTIF(Q232,"Completed")+COUNTIF(U232,"Completed")+COUNTIF(Y232,"Completed")+COUNTIF(AC232,"Completed")+COUNTIF(AG232,"Completed")+COUNTIF(AK232,"Completed"))</f>
        <v/>
      </c>
      <c r="J232" s="31" t="str">
        <f aca="false">IF($C232="","",7-(COUNTIF(M232,"NA")+COUNTIF(Q232,"NA")+COUNTIF(U232,"NA")+COUNTIF(Y232,"NA")+COUNTIF(AC232,"NA")+COUNTIF(AG232,"NA")+COUNTIF(AK232,"NA")))</f>
        <v/>
      </c>
      <c r="K232" s="34" t="str">
        <f aca="false">IFERROR(I232/J232,"")</f>
        <v/>
      </c>
      <c r="L232" s="29"/>
      <c r="M232" s="35"/>
      <c r="N232" s="36"/>
      <c r="O232" s="36"/>
      <c r="P232" s="29"/>
      <c r="Q232" s="35"/>
      <c r="R232" s="36"/>
      <c r="S232" s="36"/>
      <c r="T232" s="29"/>
      <c r="U232" s="35"/>
      <c r="V232" s="36"/>
      <c r="W232" s="36"/>
      <c r="X232" s="29"/>
      <c r="Y232" s="35"/>
      <c r="Z232" s="36"/>
      <c r="AA232" s="36"/>
      <c r="AB232" s="29"/>
      <c r="AC232" s="35"/>
      <c r="AD232" s="36"/>
      <c r="AE232" s="36"/>
      <c r="AF232" s="29"/>
      <c r="AG232" s="35"/>
      <c r="AH232" s="36"/>
      <c r="AI232" s="36"/>
      <c r="AJ232" s="29"/>
      <c r="AK232" s="35"/>
      <c r="AL232" s="36"/>
      <c r="AM232" s="36"/>
      <c r="AN232" s="29"/>
      <c r="AO232" s="29"/>
      <c r="AP232" s="29"/>
      <c r="AQ232" s="37"/>
      <c r="AR232" s="39" t="str">
        <f aca="false">IF(AN232&lt;&gt;"Yes","",IF(AO232="","SELECT RE-ENTRY STAGE","MOVE TO ACTIVE at "&amp;AO232))</f>
        <v/>
      </c>
      <c r="AS232" s="40" t="str">
        <f aca="false">IF(AN232="Yes",COUNTIF($AN$6:AN232,"Yes"),"")</f>
        <v/>
      </c>
      <c r="AT232" s="29"/>
      <c r="AU232" s="38" t="str">
        <f aca="false">IF($C232="","",IF(OR(F232="Completed",F232="Cancelled"),"",IF(AND(OR(F232="On Hold",ISNUMBER(VALUE(LEFT(H232,2)))),AT232=""),"Reason not given","")))</f>
        <v/>
      </c>
      <c r="AV232" s="30"/>
      <c r="AW232" s="30"/>
    </row>
    <row r="233" customFormat="false" ht="19.5" hidden="false" customHeight="true" outlineLevel="0" collapsed="false">
      <c r="A233" s="28" t="str">
        <f aca="false">IF($C233="","",COUNTA($C$6:$C233))</f>
        <v/>
      </c>
      <c r="B233" s="29"/>
      <c r="C233" s="30"/>
      <c r="D233" s="29"/>
      <c r="E233" s="31" t="str">
        <f aca="false">IF($C233="","",IF(NOT(OR(M233="Completed",M233="NA",M233="Cancelled")),"S1 Schematic",IF(NOT(OR(Q233="Completed",Q233="NA",Q233="Cancelled")),"S2 PCB Layout",IF(NOT(OR(U233="Completed",U233="NA",U233="Cancelled")),"S3 SI &amp; PI",IF(NOT(OR(Y233="Completed",Y233="NA",Y233="Cancelled")),"S4 Bare-PCB Fab",IF(NOT(OR(AC233="Completed",AC233="NA",AC233="Cancelled")),"S5 Assembly",IF(NOT(OR(AG233="Completed",AG233="NA",AG233="Cancelled")),"S6 Bring-up",IF(NOT(OR(AK233="Completed",AK233="NA",AK233="Cancelled")),"S7 BOM Procurement","All Stages Closed"))))))))</f>
        <v/>
      </c>
      <c r="F233" s="32" t="str">
        <f aca="false">IF($C233="","",IF(COUNTIF(M233,"Cancelled")+COUNTIF(Q233,"Cancelled")+COUNTIF(U233,"Cancelled")+COUNTIF(Y233,"Cancelled")+COUNTIF(AC233,"Cancelled")+COUNTIF(AG233,"Cancelled")+COUNTIF(AK233,"Cancelled")&gt;0,"Cancelled",IF(E233="All Stages Closed","Completed",IF(E233="S1 Schematic",M233,IF(E233="S2 PCB Layout",Q233,IF(E233="S3 SI &amp; PI",U233,IF(E233="S4 Bare-PCB Fab",Y233,IF(E233="S5 Assembly",AC233,IF(E233="S6 Bring-up",AG233,AK233)))))))))</f>
        <v/>
      </c>
      <c r="G233" s="33" t="str">
        <f aca="false">IF($C233="","",IF(E233="All Stages Closed","",IF(E233="S1 Schematic",IF(N233="","Not added",N233),IF(E233="S2 PCB Layout",IF(R233="","Not added",R233),IF(E233="S3 SI &amp; PI",IF(V233="","Not added",V233),IF(E233="S4 Bare-PCB Fab",IF(Z233="","Not added",Z233),IF(E233="S5 Assembly",IF(AD233="","Not added",AD233),IF(E233="S6 Bring-up",IF(AH233="","Not added",AH233),IF(AL233="","Not added",AL233)))))))))</f>
        <v/>
      </c>
      <c r="H233" s="32" t="str">
        <f aca="true">IF($C233="","",IF(OR(F233="Completed",F233="Cancelled"),"",IF(NOT(ISNUMBER(G233)),"No date set",IF(TODAY()&gt;G233,TODAY()-G233&amp;" days late",G233-TODAY()&amp;" days left"))))</f>
        <v/>
      </c>
      <c r="I233" s="31" t="str">
        <f aca="false">IF($C233="","",COUNTIF(M233,"Completed")+COUNTIF(Q233,"Completed")+COUNTIF(U233,"Completed")+COUNTIF(Y233,"Completed")+COUNTIF(AC233,"Completed")+COUNTIF(AG233,"Completed")+COUNTIF(AK233,"Completed"))</f>
        <v/>
      </c>
      <c r="J233" s="31" t="str">
        <f aca="false">IF($C233="","",7-(COUNTIF(M233,"NA")+COUNTIF(Q233,"NA")+COUNTIF(U233,"NA")+COUNTIF(Y233,"NA")+COUNTIF(AC233,"NA")+COUNTIF(AG233,"NA")+COUNTIF(AK233,"NA")))</f>
        <v/>
      </c>
      <c r="K233" s="34" t="str">
        <f aca="false">IFERROR(I233/J233,"")</f>
        <v/>
      </c>
      <c r="L233" s="29"/>
      <c r="M233" s="35"/>
      <c r="N233" s="36"/>
      <c r="O233" s="36"/>
      <c r="P233" s="29"/>
      <c r="Q233" s="35"/>
      <c r="R233" s="36"/>
      <c r="S233" s="36"/>
      <c r="T233" s="29"/>
      <c r="U233" s="35"/>
      <c r="V233" s="36"/>
      <c r="W233" s="36"/>
      <c r="X233" s="29"/>
      <c r="Y233" s="35"/>
      <c r="Z233" s="36"/>
      <c r="AA233" s="36"/>
      <c r="AB233" s="29"/>
      <c r="AC233" s="35"/>
      <c r="AD233" s="36"/>
      <c r="AE233" s="36"/>
      <c r="AF233" s="29"/>
      <c r="AG233" s="35"/>
      <c r="AH233" s="36"/>
      <c r="AI233" s="36"/>
      <c r="AJ233" s="29"/>
      <c r="AK233" s="35"/>
      <c r="AL233" s="36"/>
      <c r="AM233" s="36"/>
      <c r="AN233" s="29"/>
      <c r="AO233" s="29"/>
      <c r="AP233" s="29"/>
      <c r="AQ233" s="37"/>
      <c r="AR233" s="39" t="str">
        <f aca="false">IF(AN233&lt;&gt;"Yes","",IF(AO233="","SELECT RE-ENTRY STAGE","MOVE TO ACTIVE at "&amp;AO233))</f>
        <v/>
      </c>
      <c r="AS233" s="40" t="str">
        <f aca="false">IF(AN233="Yes",COUNTIF($AN$6:AN233,"Yes"),"")</f>
        <v/>
      </c>
      <c r="AT233" s="29"/>
      <c r="AU233" s="38" t="str">
        <f aca="false">IF($C233="","",IF(OR(F233="Completed",F233="Cancelled"),"",IF(AND(OR(F233="On Hold",ISNUMBER(VALUE(LEFT(H233,2)))),AT233=""),"Reason not given","")))</f>
        <v/>
      </c>
      <c r="AV233" s="30"/>
      <c r="AW233" s="30"/>
    </row>
    <row r="234" customFormat="false" ht="19.5" hidden="false" customHeight="true" outlineLevel="0" collapsed="false">
      <c r="A234" s="28" t="str">
        <f aca="false">IF($C234="","",COUNTA($C$6:$C234))</f>
        <v/>
      </c>
      <c r="B234" s="29"/>
      <c r="C234" s="30"/>
      <c r="D234" s="29"/>
      <c r="E234" s="31" t="str">
        <f aca="false">IF($C234="","",IF(NOT(OR(M234="Completed",M234="NA",M234="Cancelled")),"S1 Schematic",IF(NOT(OR(Q234="Completed",Q234="NA",Q234="Cancelled")),"S2 PCB Layout",IF(NOT(OR(U234="Completed",U234="NA",U234="Cancelled")),"S3 SI &amp; PI",IF(NOT(OR(Y234="Completed",Y234="NA",Y234="Cancelled")),"S4 Bare-PCB Fab",IF(NOT(OR(AC234="Completed",AC234="NA",AC234="Cancelled")),"S5 Assembly",IF(NOT(OR(AG234="Completed",AG234="NA",AG234="Cancelled")),"S6 Bring-up",IF(NOT(OR(AK234="Completed",AK234="NA",AK234="Cancelled")),"S7 BOM Procurement","All Stages Closed"))))))))</f>
        <v/>
      </c>
      <c r="F234" s="32" t="str">
        <f aca="false">IF($C234="","",IF(COUNTIF(M234,"Cancelled")+COUNTIF(Q234,"Cancelled")+COUNTIF(U234,"Cancelled")+COUNTIF(Y234,"Cancelled")+COUNTIF(AC234,"Cancelled")+COUNTIF(AG234,"Cancelled")+COUNTIF(AK234,"Cancelled")&gt;0,"Cancelled",IF(E234="All Stages Closed","Completed",IF(E234="S1 Schematic",M234,IF(E234="S2 PCB Layout",Q234,IF(E234="S3 SI &amp; PI",U234,IF(E234="S4 Bare-PCB Fab",Y234,IF(E234="S5 Assembly",AC234,IF(E234="S6 Bring-up",AG234,AK234)))))))))</f>
        <v/>
      </c>
      <c r="G234" s="33" t="str">
        <f aca="false">IF($C234="","",IF(E234="All Stages Closed","",IF(E234="S1 Schematic",IF(N234="","Not added",N234),IF(E234="S2 PCB Layout",IF(R234="","Not added",R234),IF(E234="S3 SI &amp; PI",IF(V234="","Not added",V234),IF(E234="S4 Bare-PCB Fab",IF(Z234="","Not added",Z234),IF(E234="S5 Assembly",IF(AD234="","Not added",AD234),IF(E234="S6 Bring-up",IF(AH234="","Not added",AH234),IF(AL234="","Not added",AL234)))))))))</f>
        <v/>
      </c>
      <c r="H234" s="32" t="str">
        <f aca="true">IF($C234="","",IF(OR(F234="Completed",F234="Cancelled"),"",IF(NOT(ISNUMBER(G234)),"No date set",IF(TODAY()&gt;G234,TODAY()-G234&amp;" days late",G234-TODAY()&amp;" days left"))))</f>
        <v/>
      </c>
      <c r="I234" s="31" t="str">
        <f aca="false">IF($C234="","",COUNTIF(M234,"Completed")+COUNTIF(Q234,"Completed")+COUNTIF(U234,"Completed")+COUNTIF(Y234,"Completed")+COUNTIF(AC234,"Completed")+COUNTIF(AG234,"Completed")+COUNTIF(AK234,"Completed"))</f>
        <v/>
      </c>
      <c r="J234" s="31" t="str">
        <f aca="false">IF($C234="","",7-(COUNTIF(M234,"NA")+COUNTIF(Q234,"NA")+COUNTIF(U234,"NA")+COUNTIF(Y234,"NA")+COUNTIF(AC234,"NA")+COUNTIF(AG234,"NA")+COUNTIF(AK234,"NA")))</f>
        <v/>
      </c>
      <c r="K234" s="34" t="str">
        <f aca="false">IFERROR(I234/J234,"")</f>
        <v/>
      </c>
      <c r="L234" s="29"/>
      <c r="M234" s="35"/>
      <c r="N234" s="36"/>
      <c r="O234" s="36"/>
      <c r="P234" s="29"/>
      <c r="Q234" s="35"/>
      <c r="R234" s="36"/>
      <c r="S234" s="36"/>
      <c r="T234" s="29"/>
      <c r="U234" s="35"/>
      <c r="V234" s="36"/>
      <c r="W234" s="36"/>
      <c r="X234" s="29"/>
      <c r="Y234" s="35"/>
      <c r="Z234" s="36"/>
      <c r="AA234" s="36"/>
      <c r="AB234" s="29"/>
      <c r="AC234" s="35"/>
      <c r="AD234" s="36"/>
      <c r="AE234" s="36"/>
      <c r="AF234" s="29"/>
      <c r="AG234" s="35"/>
      <c r="AH234" s="36"/>
      <c r="AI234" s="36"/>
      <c r="AJ234" s="29"/>
      <c r="AK234" s="35"/>
      <c r="AL234" s="36"/>
      <c r="AM234" s="36"/>
      <c r="AN234" s="29"/>
      <c r="AO234" s="29"/>
      <c r="AP234" s="29"/>
      <c r="AQ234" s="37"/>
      <c r="AR234" s="39" t="str">
        <f aca="false">IF(AN234&lt;&gt;"Yes","",IF(AO234="","SELECT RE-ENTRY STAGE","MOVE TO ACTIVE at "&amp;AO234))</f>
        <v/>
      </c>
      <c r="AS234" s="40" t="str">
        <f aca="false">IF(AN234="Yes",COUNTIF($AN$6:AN234,"Yes"),"")</f>
        <v/>
      </c>
      <c r="AT234" s="29"/>
      <c r="AU234" s="38" t="str">
        <f aca="false">IF($C234="","",IF(OR(F234="Completed",F234="Cancelled"),"",IF(AND(OR(F234="On Hold",ISNUMBER(VALUE(LEFT(H234,2)))),AT234=""),"Reason not given","")))</f>
        <v/>
      </c>
      <c r="AV234" s="30"/>
      <c r="AW234" s="30"/>
    </row>
    <row r="235" customFormat="false" ht="19.5" hidden="false" customHeight="true" outlineLevel="0" collapsed="false">
      <c r="A235" s="28" t="str">
        <f aca="false">IF($C235="","",COUNTA($C$6:$C235))</f>
        <v/>
      </c>
      <c r="B235" s="29"/>
      <c r="C235" s="30"/>
      <c r="D235" s="29"/>
      <c r="E235" s="31" t="str">
        <f aca="false">IF($C235="","",IF(NOT(OR(M235="Completed",M235="NA",M235="Cancelled")),"S1 Schematic",IF(NOT(OR(Q235="Completed",Q235="NA",Q235="Cancelled")),"S2 PCB Layout",IF(NOT(OR(U235="Completed",U235="NA",U235="Cancelled")),"S3 SI &amp; PI",IF(NOT(OR(Y235="Completed",Y235="NA",Y235="Cancelled")),"S4 Bare-PCB Fab",IF(NOT(OR(AC235="Completed",AC235="NA",AC235="Cancelled")),"S5 Assembly",IF(NOT(OR(AG235="Completed",AG235="NA",AG235="Cancelled")),"S6 Bring-up",IF(NOT(OR(AK235="Completed",AK235="NA",AK235="Cancelled")),"S7 BOM Procurement","All Stages Closed"))))))))</f>
        <v/>
      </c>
      <c r="F235" s="32" t="str">
        <f aca="false">IF($C235="","",IF(COUNTIF(M235,"Cancelled")+COUNTIF(Q235,"Cancelled")+COUNTIF(U235,"Cancelled")+COUNTIF(Y235,"Cancelled")+COUNTIF(AC235,"Cancelled")+COUNTIF(AG235,"Cancelled")+COUNTIF(AK235,"Cancelled")&gt;0,"Cancelled",IF(E235="All Stages Closed","Completed",IF(E235="S1 Schematic",M235,IF(E235="S2 PCB Layout",Q235,IF(E235="S3 SI &amp; PI",U235,IF(E235="S4 Bare-PCB Fab",Y235,IF(E235="S5 Assembly",AC235,IF(E235="S6 Bring-up",AG235,AK235)))))))))</f>
        <v/>
      </c>
      <c r="G235" s="33" t="str">
        <f aca="false">IF($C235="","",IF(E235="All Stages Closed","",IF(E235="S1 Schematic",IF(N235="","Not added",N235),IF(E235="S2 PCB Layout",IF(R235="","Not added",R235),IF(E235="S3 SI &amp; PI",IF(V235="","Not added",V235),IF(E235="S4 Bare-PCB Fab",IF(Z235="","Not added",Z235),IF(E235="S5 Assembly",IF(AD235="","Not added",AD235),IF(E235="S6 Bring-up",IF(AH235="","Not added",AH235),IF(AL235="","Not added",AL235)))))))))</f>
        <v/>
      </c>
      <c r="H235" s="32" t="str">
        <f aca="true">IF($C235="","",IF(OR(F235="Completed",F235="Cancelled"),"",IF(NOT(ISNUMBER(G235)),"No date set",IF(TODAY()&gt;G235,TODAY()-G235&amp;" days late",G235-TODAY()&amp;" days left"))))</f>
        <v/>
      </c>
      <c r="I235" s="31" t="str">
        <f aca="false">IF($C235="","",COUNTIF(M235,"Completed")+COUNTIF(Q235,"Completed")+COUNTIF(U235,"Completed")+COUNTIF(Y235,"Completed")+COUNTIF(AC235,"Completed")+COUNTIF(AG235,"Completed")+COUNTIF(AK235,"Completed"))</f>
        <v/>
      </c>
      <c r="J235" s="31" t="str">
        <f aca="false">IF($C235="","",7-(COUNTIF(M235,"NA")+COUNTIF(Q235,"NA")+COUNTIF(U235,"NA")+COUNTIF(Y235,"NA")+COUNTIF(AC235,"NA")+COUNTIF(AG235,"NA")+COUNTIF(AK235,"NA")))</f>
        <v/>
      </c>
      <c r="K235" s="34" t="str">
        <f aca="false">IFERROR(I235/J235,"")</f>
        <v/>
      </c>
      <c r="L235" s="29"/>
      <c r="M235" s="35"/>
      <c r="N235" s="36"/>
      <c r="O235" s="36"/>
      <c r="P235" s="29"/>
      <c r="Q235" s="35"/>
      <c r="R235" s="36"/>
      <c r="S235" s="36"/>
      <c r="T235" s="29"/>
      <c r="U235" s="35"/>
      <c r="V235" s="36"/>
      <c r="W235" s="36"/>
      <c r="X235" s="29"/>
      <c r="Y235" s="35"/>
      <c r="Z235" s="36"/>
      <c r="AA235" s="36"/>
      <c r="AB235" s="29"/>
      <c r="AC235" s="35"/>
      <c r="AD235" s="36"/>
      <c r="AE235" s="36"/>
      <c r="AF235" s="29"/>
      <c r="AG235" s="35"/>
      <c r="AH235" s="36"/>
      <c r="AI235" s="36"/>
      <c r="AJ235" s="29"/>
      <c r="AK235" s="35"/>
      <c r="AL235" s="36"/>
      <c r="AM235" s="36"/>
      <c r="AN235" s="29"/>
      <c r="AO235" s="29"/>
      <c r="AP235" s="29"/>
      <c r="AQ235" s="37"/>
      <c r="AR235" s="39" t="str">
        <f aca="false">IF(AN235&lt;&gt;"Yes","",IF(AO235="","SELECT RE-ENTRY STAGE","MOVE TO ACTIVE at "&amp;AO235))</f>
        <v/>
      </c>
      <c r="AS235" s="40" t="str">
        <f aca="false">IF(AN235="Yes",COUNTIF($AN$6:AN235,"Yes"),"")</f>
        <v/>
      </c>
      <c r="AT235" s="29"/>
      <c r="AU235" s="38" t="str">
        <f aca="false">IF($C235="","",IF(OR(F235="Completed",F235="Cancelled"),"",IF(AND(OR(F235="On Hold",ISNUMBER(VALUE(LEFT(H235,2)))),AT235=""),"Reason not given","")))</f>
        <v/>
      </c>
      <c r="AV235" s="30"/>
      <c r="AW235" s="30"/>
    </row>
    <row r="236" customFormat="false" ht="19.5" hidden="false" customHeight="true" outlineLevel="0" collapsed="false">
      <c r="A236" s="28" t="str">
        <f aca="false">IF($C236="","",COUNTA($C$6:$C236))</f>
        <v/>
      </c>
      <c r="B236" s="29"/>
      <c r="C236" s="30"/>
      <c r="D236" s="29"/>
      <c r="E236" s="31" t="str">
        <f aca="false">IF($C236="","",IF(NOT(OR(M236="Completed",M236="NA",M236="Cancelled")),"S1 Schematic",IF(NOT(OR(Q236="Completed",Q236="NA",Q236="Cancelled")),"S2 PCB Layout",IF(NOT(OR(U236="Completed",U236="NA",U236="Cancelled")),"S3 SI &amp; PI",IF(NOT(OR(Y236="Completed",Y236="NA",Y236="Cancelled")),"S4 Bare-PCB Fab",IF(NOT(OR(AC236="Completed",AC236="NA",AC236="Cancelled")),"S5 Assembly",IF(NOT(OR(AG236="Completed",AG236="NA",AG236="Cancelled")),"S6 Bring-up",IF(NOT(OR(AK236="Completed",AK236="NA",AK236="Cancelled")),"S7 BOM Procurement","All Stages Closed"))))))))</f>
        <v/>
      </c>
      <c r="F236" s="32" t="str">
        <f aca="false">IF($C236="","",IF(COUNTIF(M236,"Cancelled")+COUNTIF(Q236,"Cancelled")+COUNTIF(U236,"Cancelled")+COUNTIF(Y236,"Cancelled")+COUNTIF(AC236,"Cancelled")+COUNTIF(AG236,"Cancelled")+COUNTIF(AK236,"Cancelled")&gt;0,"Cancelled",IF(E236="All Stages Closed","Completed",IF(E236="S1 Schematic",M236,IF(E236="S2 PCB Layout",Q236,IF(E236="S3 SI &amp; PI",U236,IF(E236="S4 Bare-PCB Fab",Y236,IF(E236="S5 Assembly",AC236,IF(E236="S6 Bring-up",AG236,AK236)))))))))</f>
        <v/>
      </c>
      <c r="G236" s="33" t="str">
        <f aca="false">IF($C236="","",IF(E236="All Stages Closed","",IF(E236="S1 Schematic",IF(N236="","Not added",N236),IF(E236="S2 PCB Layout",IF(R236="","Not added",R236),IF(E236="S3 SI &amp; PI",IF(V236="","Not added",V236),IF(E236="S4 Bare-PCB Fab",IF(Z236="","Not added",Z236),IF(E236="S5 Assembly",IF(AD236="","Not added",AD236),IF(E236="S6 Bring-up",IF(AH236="","Not added",AH236),IF(AL236="","Not added",AL236)))))))))</f>
        <v/>
      </c>
      <c r="H236" s="32" t="str">
        <f aca="true">IF($C236="","",IF(OR(F236="Completed",F236="Cancelled"),"",IF(NOT(ISNUMBER(G236)),"No date set",IF(TODAY()&gt;G236,TODAY()-G236&amp;" days late",G236-TODAY()&amp;" days left"))))</f>
        <v/>
      </c>
      <c r="I236" s="31" t="str">
        <f aca="false">IF($C236="","",COUNTIF(M236,"Completed")+COUNTIF(Q236,"Completed")+COUNTIF(U236,"Completed")+COUNTIF(Y236,"Completed")+COUNTIF(AC236,"Completed")+COUNTIF(AG236,"Completed")+COUNTIF(AK236,"Completed"))</f>
        <v/>
      </c>
      <c r="J236" s="31" t="str">
        <f aca="false">IF($C236="","",7-(COUNTIF(M236,"NA")+COUNTIF(Q236,"NA")+COUNTIF(U236,"NA")+COUNTIF(Y236,"NA")+COUNTIF(AC236,"NA")+COUNTIF(AG236,"NA")+COUNTIF(AK236,"NA")))</f>
        <v/>
      </c>
      <c r="K236" s="34" t="str">
        <f aca="false">IFERROR(I236/J236,"")</f>
        <v/>
      </c>
      <c r="L236" s="29"/>
      <c r="M236" s="35"/>
      <c r="N236" s="36"/>
      <c r="O236" s="36"/>
      <c r="P236" s="29"/>
      <c r="Q236" s="35"/>
      <c r="R236" s="36"/>
      <c r="S236" s="36"/>
      <c r="T236" s="29"/>
      <c r="U236" s="35"/>
      <c r="V236" s="36"/>
      <c r="W236" s="36"/>
      <c r="X236" s="29"/>
      <c r="Y236" s="35"/>
      <c r="Z236" s="36"/>
      <c r="AA236" s="36"/>
      <c r="AB236" s="29"/>
      <c r="AC236" s="35"/>
      <c r="AD236" s="36"/>
      <c r="AE236" s="36"/>
      <c r="AF236" s="29"/>
      <c r="AG236" s="35"/>
      <c r="AH236" s="36"/>
      <c r="AI236" s="36"/>
      <c r="AJ236" s="29"/>
      <c r="AK236" s="35"/>
      <c r="AL236" s="36"/>
      <c r="AM236" s="36"/>
      <c r="AN236" s="29"/>
      <c r="AO236" s="29"/>
      <c r="AP236" s="29"/>
      <c r="AQ236" s="37"/>
      <c r="AR236" s="39" t="str">
        <f aca="false">IF(AN236&lt;&gt;"Yes","",IF(AO236="","SELECT RE-ENTRY STAGE","MOVE TO ACTIVE at "&amp;AO236))</f>
        <v/>
      </c>
      <c r="AS236" s="40" t="str">
        <f aca="false">IF(AN236="Yes",COUNTIF($AN$6:AN236,"Yes"),"")</f>
        <v/>
      </c>
      <c r="AT236" s="29"/>
      <c r="AU236" s="38" t="str">
        <f aca="false">IF($C236="","",IF(OR(F236="Completed",F236="Cancelled"),"",IF(AND(OR(F236="On Hold",ISNUMBER(VALUE(LEFT(H236,2)))),AT236=""),"Reason not given","")))</f>
        <v/>
      </c>
      <c r="AV236" s="30"/>
      <c r="AW236" s="30"/>
    </row>
    <row r="237" customFormat="false" ht="19.5" hidden="false" customHeight="true" outlineLevel="0" collapsed="false">
      <c r="A237" s="28" t="str">
        <f aca="false">IF($C237="","",COUNTA($C$6:$C237))</f>
        <v/>
      </c>
      <c r="B237" s="29"/>
      <c r="C237" s="30"/>
      <c r="D237" s="29"/>
      <c r="E237" s="31" t="str">
        <f aca="false">IF($C237="","",IF(NOT(OR(M237="Completed",M237="NA",M237="Cancelled")),"S1 Schematic",IF(NOT(OR(Q237="Completed",Q237="NA",Q237="Cancelled")),"S2 PCB Layout",IF(NOT(OR(U237="Completed",U237="NA",U237="Cancelled")),"S3 SI &amp; PI",IF(NOT(OR(Y237="Completed",Y237="NA",Y237="Cancelled")),"S4 Bare-PCB Fab",IF(NOT(OR(AC237="Completed",AC237="NA",AC237="Cancelled")),"S5 Assembly",IF(NOT(OR(AG237="Completed",AG237="NA",AG237="Cancelled")),"S6 Bring-up",IF(NOT(OR(AK237="Completed",AK237="NA",AK237="Cancelled")),"S7 BOM Procurement","All Stages Closed"))))))))</f>
        <v/>
      </c>
      <c r="F237" s="32" t="str">
        <f aca="false">IF($C237="","",IF(COUNTIF(M237,"Cancelled")+COUNTIF(Q237,"Cancelled")+COUNTIF(U237,"Cancelled")+COUNTIF(Y237,"Cancelled")+COUNTIF(AC237,"Cancelled")+COUNTIF(AG237,"Cancelled")+COUNTIF(AK237,"Cancelled")&gt;0,"Cancelled",IF(E237="All Stages Closed","Completed",IF(E237="S1 Schematic",M237,IF(E237="S2 PCB Layout",Q237,IF(E237="S3 SI &amp; PI",U237,IF(E237="S4 Bare-PCB Fab",Y237,IF(E237="S5 Assembly",AC237,IF(E237="S6 Bring-up",AG237,AK237)))))))))</f>
        <v/>
      </c>
      <c r="G237" s="33" t="str">
        <f aca="false">IF($C237="","",IF(E237="All Stages Closed","",IF(E237="S1 Schematic",IF(N237="","Not added",N237),IF(E237="S2 PCB Layout",IF(R237="","Not added",R237),IF(E237="S3 SI &amp; PI",IF(V237="","Not added",V237),IF(E237="S4 Bare-PCB Fab",IF(Z237="","Not added",Z237),IF(E237="S5 Assembly",IF(AD237="","Not added",AD237),IF(E237="S6 Bring-up",IF(AH237="","Not added",AH237),IF(AL237="","Not added",AL237)))))))))</f>
        <v/>
      </c>
      <c r="H237" s="32" t="str">
        <f aca="true">IF($C237="","",IF(OR(F237="Completed",F237="Cancelled"),"",IF(NOT(ISNUMBER(G237)),"No date set",IF(TODAY()&gt;G237,TODAY()-G237&amp;" days late",G237-TODAY()&amp;" days left"))))</f>
        <v/>
      </c>
      <c r="I237" s="31" t="str">
        <f aca="false">IF($C237="","",COUNTIF(M237,"Completed")+COUNTIF(Q237,"Completed")+COUNTIF(U237,"Completed")+COUNTIF(Y237,"Completed")+COUNTIF(AC237,"Completed")+COUNTIF(AG237,"Completed")+COUNTIF(AK237,"Completed"))</f>
        <v/>
      </c>
      <c r="J237" s="31" t="str">
        <f aca="false">IF($C237="","",7-(COUNTIF(M237,"NA")+COUNTIF(Q237,"NA")+COUNTIF(U237,"NA")+COUNTIF(Y237,"NA")+COUNTIF(AC237,"NA")+COUNTIF(AG237,"NA")+COUNTIF(AK237,"NA")))</f>
        <v/>
      </c>
      <c r="K237" s="34" t="str">
        <f aca="false">IFERROR(I237/J237,"")</f>
        <v/>
      </c>
      <c r="L237" s="29"/>
      <c r="M237" s="35"/>
      <c r="N237" s="36"/>
      <c r="O237" s="36"/>
      <c r="P237" s="29"/>
      <c r="Q237" s="35"/>
      <c r="R237" s="36"/>
      <c r="S237" s="36"/>
      <c r="T237" s="29"/>
      <c r="U237" s="35"/>
      <c r="V237" s="36"/>
      <c r="W237" s="36"/>
      <c r="X237" s="29"/>
      <c r="Y237" s="35"/>
      <c r="Z237" s="36"/>
      <c r="AA237" s="36"/>
      <c r="AB237" s="29"/>
      <c r="AC237" s="35"/>
      <c r="AD237" s="36"/>
      <c r="AE237" s="36"/>
      <c r="AF237" s="29"/>
      <c r="AG237" s="35"/>
      <c r="AH237" s="36"/>
      <c r="AI237" s="36"/>
      <c r="AJ237" s="29"/>
      <c r="AK237" s="35"/>
      <c r="AL237" s="36"/>
      <c r="AM237" s="36"/>
      <c r="AN237" s="29"/>
      <c r="AO237" s="29"/>
      <c r="AP237" s="29"/>
      <c r="AQ237" s="37"/>
      <c r="AR237" s="39" t="str">
        <f aca="false">IF(AN237&lt;&gt;"Yes","",IF(AO237="","SELECT RE-ENTRY STAGE","MOVE TO ACTIVE at "&amp;AO237))</f>
        <v/>
      </c>
      <c r="AS237" s="40" t="str">
        <f aca="false">IF(AN237="Yes",COUNTIF($AN$6:AN237,"Yes"),"")</f>
        <v/>
      </c>
      <c r="AT237" s="29"/>
      <c r="AU237" s="38" t="str">
        <f aca="false">IF($C237="","",IF(OR(F237="Completed",F237="Cancelled"),"",IF(AND(OR(F237="On Hold",ISNUMBER(VALUE(LEFT(H237,2)))),AT237=""),"Reason not given","")))</f>
        <v/>
      </c>
      <c r="AV237" s="30"/>
      <c r="AW237" s="30"/>
    </row>
    <row r="238" customFormat="false" ht="19.5" hidden="false" customHeight="true" outlineLevel="0" collapsed="false">
      <c r="A238" s="28" t="str">
        <f aca="false">IF($C238="","",COUNTA($C$6:$C238))</f>
        <v/>
      </c>
      <c r="B238" s="29"/>
      <c r="C238" s="30"/>
      <c r="D238" s="29"/>
      <c r="E238" s="31" t="str">
        <f aca="false">IF($C238="","",IF(NOT(OR(M238="Completed",M238="NA",M238="Cancelled")),"S1 Schematic",IF(NOT(OR(Q238="Completed",Q238="NA",Q238="Cancelled")),"S2 PCB Layout",IF(NOT(OR(U238="Completed",U238="NA",U238="Cancelled")),"S3 SI &amp; PI",IF(NOT(OR(Y238="Completed",Y238="NA",Y238="Cancelled")),"S4 Bare-PCB Fab",IF(NOT(OR(AC238="Completed",AC238="NA",AC238="Cancelled")),"S5 Assembly",IF(NOT(OR(AG238="Completed",AG238="NA",AG238="Cancelled")),"S6 Bring-up",IF(NOT(OR(AK238="Completed",AK238="NA",AK238="Cancelled")),"S7 BOM Procurement","All Stages Closed"))))))))</f>
        <v/>
      </c>
      <c r="F238" s="32" t="str">
        <f aca="false">IF($C238="","",IF(COUNTIF(M238,"Cancelled")+COUNTIF(Q238,"Cancelled")+COUNTIF(U238,"Cancelled")+COUNTIF(Y238,"Cancelled")+COUNTIF(AC238,"Cancelled")+COUNTIF(AG238,"Cancelled")+COUNTIF(AK238,"Cancelled")&gt;0,"Cancelled",IF(E238="All Stages Closed","Completed",IF(E238="S1 Schematic",M238,IF(E238="S2 PCB Layout",Q238,IF(E238="S3 SI &amp; PI",U238,IF(E238="S4 Bare-PCB Fab",Y238,IF(E238="S5 Assembly",AC238,IF(E238="S6 Bring-up",AG238,AK238)))))))))</f>
        <v/>
      </c>
      <c r="G238" s="33" t="str">
        <f aca="false">IF($C238="","",IF(E238="All Stages Closed","",IF(E238="S1 Schematic",IF(N238="","Not added",N238),IF(E238="S2 PCB Layout",IF(R238="","Not added",R238),IF(E238="S3 SI &amp; PI",IF(V238="","Not added",V238),IF(E238="S4 Bare-PCB Fab",IF(Z238="","Not added",Z238),IF(E238="S5 Assembly",IF(AD238="","Not added",AD238),IF(E238="S6 Bring-up",IF(AH238="","Not added",AH238),IF(AL238="","Not added",AL238)))))))))</f>
        <v/>
      </c>
      <c r="H238" s="32" t="str">
        <f aca="true">IF($C238="","",IF(OR(F238="Completed",F238="Cancelled"),"",IF(NOT(ISNUMBER(G238)),"No date set",IF(TODAY()&gt;G238,TODAY()-G238&amp;" days late",G238-TODAY()&amp;" days left"))))</f>
        <v/>
      </c>
      <c r="I238" s="31" t="str">
        <f aca="false">IF($C238="","",COUNTIF(M238,"Completed")+COUNTIF(Q238,"Completed")+COUNTIF(U238,"Completed")+COUNTIF(Y238,"Completed")+COUNTIF(AC238,"Completed")+COUNTIF(AG238,"Completed")+COUNTIF(AK238,"Completed"))</f>
        <v/>
      </c>
      <c r="J238" s="31" t="str">
        <f aca="false">IF($C238="","",7-(COUNTIF(M238,"NA")+COUNTIF(Q238,"NA")+COUNTIF(U238,"NA")+COUNTIF(Y238,"NA")+COUNTIF(AC238,"NA")+COUNTIF(AG238,"NA")+COUNTIF(AK238,"NA")))</f>
        <v/>
      </c>
      <c r="K238" s="34" t="str">
        <f aca="false">IFERROR(I238/J238,"")</f>
        <v/>
      </c>
      <c r="L238" s="29"/>
      <c r="M238" s="35"/>
      <c r="N238" s="36"/>
      <c r="O238" s="36"/>
      <c r="P238" s="29"/>
      <c r="Q238" s="35"/>
      <c r="R238" s="36"/>
      <c r="S238" s="36"/>
      <c r="T238" s="29"/>
      <c r="U238" s="35"/>
      <c r="V238" s="36"/>
      <c r="W238" s="36"/>
      <c r="X238" s="29"/>
      <c r="Y238" s="35"/>
      <c r="Z238" s="36"/>
      <c r="AA238" s="36"/>
      <c r="AB238" s="29"/>
      <c r="AC238" s="35"/>
      <c r="AD238" s="36"/>
      <c r="AE238" s="36"/>
      <c r="AF238" s="29"/>
      <c r="AG238" s="35"/>
      <c r="AH238" s="36"/>
      <c r="AI238" s="36"/>
      <c r="AJ238" s="29"/>
      <c r="AK238" s="35"/>
      <c r="AL238" s="36"/>
      <c r="AM238" s="36"/>
      <c r="AN238" s="29"/>
      <c r="AO238" s="29"/>
      <c r="AP238" s="29"/>
      <c r="AQ238" s="37"/>
      <c r="AR238" s="39" t="str">
        <f aca="false">IF(AN238&lt;&gt;"Yes","",IF(AO238="","SELECT RE-ENTRY STAGE","MOVE TO ACTIVE at "&amp;AO238))</f>
        <v/>
      </c>
      <c r="AS238" s="40" t="str">
        <f aca="false">IF(AN238="Yes",COUNTIF($AN$6:AN238,"Yes"),"")</f>
        <v/>
      </c>
      <c r="AT238" s="29"/>
      <c r="AU238" s="38" t="str">
        <f aca="false">IF($C238="","",IF(OR(F238="Completed",F238="Cancelled"),"",IF(AND(OR(F238="On Hold",ISNUMBER(VALUE(LEFT(H238,2)))),AT238=""),"Reason not given","")))</f>
        <v/>
      </c>
      <c r="AV238" s="30"/>
      <c r="AW238" s="30"/>
    </row>
    <row r="239" customFormat="false" ht="19.5" hidden="false" customHeight="true" outlineLevel="0" collapsed="false">
      <c r="A239" s="28" t="str">
        <f aca="false">IF($C239="","",COUNTA($C$6:$C239))</f>
        <v/>
      </c>
      <c r="B239" s="29"/>
      <c r="C239" s="30"/>
      <c r="D239" s="29"/>
      <c r="E239" s="31" t="str">
        <f aca="false">IF($C239="","",IF(NOT(OR(M239="Completed",M239="NA",M239="Cancelled")),"S1 Schematic",IF(NOT(OR(Q239="Completed",Q239="NA",Q239="Cancelled")),"S2 PCB Layout",IF(NOT(OR(U239="Completed",U239="NA",U239="Cancelled")),"S3 SI &amp; PI",IF(NOT(OR(Y239="Completed",Y239="NA",Y239="Cancelled")),"S4 Bare-PCB Fab",IF(NOT(OR(AC239="Completed",AC239="NA",AC239="Cancelled")),"S5 Assembly",IF(NOT(OR(AG239="Completed",AG239="NA",AG239="Cancelled")),"S6 Bring-up",IF(NOT(OR(AK239="Completed",AK239="NA",AK239="Cancelled")),"S7 BOM Procurement","All Stages Closed"))))))))</f>
        <v/>
      </c>
      <c r="F239" s="32" t="str">
        <f aca="false">IF($C239="","",IF(COUNTIF(M239,"Cancelled")+COUNTIF(Q239,"Cancelled")+COUNTIF(U239,"Cancelled")+COUNTIF(Y239,"Cancelled")+COUNTIF(AC239,"Cancelled")+COUNTIF(AG239,"Cancelled")+COUNTIF(AK239,"Cancelled")&gt;0,"Cancelled",IF(E239="All Stages Closed","Completed",IF(E239="S1 Schematic",M239,IF(E239="S2 PCB Layout",Q239,IF(E239="S3 SI &amp; PI",U239,IF(E239="S4 Bare-PCB Fab",Y239,IF(E239="S5 Assembly",AC239,IF(E239="S6 Bring-up",AG239,AK239)))))))))</f>
        <v/>
      </c>
      <c r="G239" s="33" t="str">
        <f aca="false">IF($C239="","",IF(E239="All Stages Closed","",IF(E239="S1 Schematic",IF(N239="","Not added",N239),IF(E239="S2 PCB Layout",IF(R239="","Not added",R239),IF(E239="S3 SI &amp; PI",IF(V239="","Not added",V239),IF(E239="S4 Bare-PCB Fab",IF(Z239="","Not added",Z239),IF(E239="S5 Assembly",IF(AD239="","Not added",AD239),IF(E239="S6 Bring-up",IF(AH239="","Not added",AH239),IF(AL239="","Not added",AL239)))))))))</f>
        <v/>
      </c>
      <c r="H239" s="32" t="str">
        <f aca="true">IF($C239="","",IF(OR(F239="Completed",F239="Cancelled"),"",IF(NOT(ISNUMBER(G239)),"No date set",IF(TODAY()&gt;G239,TODAY()-G239&amp;" days late",G239-TODAY()&amp;" days left"))))</f>
        <v/>
      </c>
      <c r="I239" s="31" t="str">
        <f aca="false">IF($C239="","",COUNTIF(M239,"Completed")+COUNTIF(Q239,"Completed")+COUNTIF(U239,"Completed")+COUNTIF(Y239,"Completed")+COUNTIF(AC239,"Completed")+COUNTIF(AG239,"Completed")+COUNTIF(AK239,"Completed"))</f>
        <v/>
      </c>
      <c r="J239" s="31" t="str">
        <f aca="false">IF($C239="","",7-(COUNTIF(M239,"NA")+COUNTIF(Q239,"NA")+COUNTIF(U239,"NA")+COUNTIF(Y239,"NA")+COUNTIF(AC239,"NA")+COUNTIF(AG239,"NA")+COUNTIF(AK239,"NA")))</f>
        <v/>
      </c>
      <c r="K239" s="34" t="str">
        <f aca="false">IFERROR(I239/J239,"")</f>
        <v/>
      </c>
      <c r="L239" s="29"/>
      <c r="M239" s="35"/>
      <c r="N239" s="36"/>
      <c r="O239" s="36"/>
      <c r="P239" s="29"/>
      <c r="Q239" s="35"/>
      <c r="R239" s="36"/>
      <c r="S239" s="36"/>
      <c r="T239" s="29"/>
      <c r="U239" s="35"/>
      <c r="V239" s="36"/>
      <c r="W239" s="36"/>
      <c r="X239" s="29"/>
      <c r="Y239" s="35"/>
      <c r="Z239" s="36"/>
      <c r="AA239" s="36"/>
      <c r="AB239" s="29"/>
      <c r="AC239" s="35"/>
      <c r="AD239" s="36"/>
      <c r="AE239" s="36"/>
      <c r="AF239" s="29"/>
      <c r="AG239" s="35"/>
      <c r="AH239" s="36"/>
      <c r="AI239" s="36"/>
      <c r="AJ239" s="29"/>
      <c r="AK239" s="35"/>
      <c r="AL239" s="36"/>
      <c r="AM239" s="36"/>
      <c r="AN239" s="29"/>
      <c r="AO239" s="29"/>
      <c r="AP239" s="29"/>
      <c r="AQ239" s="37"/>
      <c r="AR239" s="39" t="str">
        <f aca="false">IF(AN239&lt;&gt;"Yes","",IF(AO239="","SELECT RE-ENTRY STAGE","MOVE TO ACTIVE at "&amp;AO239))</f>
        <v/>
      </c>
      <c r="AS239" s="40" t="str">
        <f aca="false">IF(AN239="Yes",COUNTIF($AN$6:AN239,"Yes"),"")</f>
        <v/>
      </c>
      <c r="AT239" s="29"/>
      <c r="AU239" s="38" t="str">
        <f aca="false">IF($C239="","",IF(OR(F239="Completed",F239="Cancelled"),"",IF(AND(OR(F239="On Hold",ISNUMBER(VALUE(LEFT(H239,2)))),AT239=""),"Reason not given","")))</f>
        <v/>
      </c>
      <c r="AV239" s="30"/>
      <c r="AW239" s="30"/>
    </row>
    <row r="240" customFormat="false" ht="19.5" hidden="false" customHeight="true" outlineLevel="0" collapsed="false">
      <c r="A240" s="28" t="str">
        <f aca="false">IF($C240="","",COUNTA($C$6:$C240))</f>
        <v/>
      </c>
      <c r="B240" s="29"/>
      <c r="C240" s="30"/>
      <c r="D240" s="29"/>
      <c r="E240" s="31" t="str">
        <f aca="false">IF($C240="","",IF(NOT(OR(M240="Completed",M240="NA",M240="Cancelled")),"S1 Schematic",IF(NOT(OR(Q240="Completed",Q240="NA",Q240="Cancelled")),"S2 PCB Layout",IF(NOT(OR(U240="Completed",U240="NA",U240="Cancelled")),"S3 SI &amp; PI",IF(NOT(OR(Y240="Completed",Y240="NA",Y240="Cancelled")),"S4 Bare-PCB Fab",IF(NOT(OR(AC240="Completed",AC240="NA",AC240="Cancelled")),"S5 Assembly",IF(NOT(OR(AG240="Completed",AG240="NA",AG240="Cancelled")),"S6 Bring-up",IF(NOT(OR(AK240="Completed",AK240="NA",AK240="Cancelled")),"S7 BOM Procurement","All Stages Closed"))))))))</f>
        <v/>
      </c>
      <c r="F240" s="32" t="str">
        <f aca="false">IF($C240="","",IF(COUNTIF(M240,"Cancelled")+COUNTIF(Q240,"Cancelled")+COUNTIF(U240,"Cancelled")+COUNTIF(Y240,"Cancelled")+COUNTIF(AC240,"Cancelled")+COUNTIF(AG240,"Cancelled")+COUNTIF(AK240,"Cancelled")&gt;0,"Cancelled",IF(E240="All Stages Closed","Completed",IF(E240="S1 Schematic",M240,IF(E240="S2 PCB Layout",Q240,IF(E240="S3 SI &amp; PI",U240,IF(E240="S4 Bare-PCB Fab",Y240,IF(E240="S5 Assembly",AC240,IF(E240="S6 Bring-up",AG240,AK240)))))))))</f>
        <v/>
      </c>
      <c r="G240" s="33" t="str">
        <f aca="false">IF($C240="","",IF(E240="All Stages Closed","",IF(E240="S1 Schematic",IF(N240="","Not added",N240),IF(E240="S2 PCB Layout",IF(R240="","Not added",R240),IF(E240="S3 SI &amp; PI",IF(V240="","Not added",V240),IF(E240="S4 Bare-PCB Fab",IF(Z240="","Not added",Z240),IF(E240="S5 Assembly",IF(AD240="","Not added",AD240),IF(E240="S6 Bring-up",IF(AH240="","Not added",AH240),IF(AL240="","Not added",AL240)))))))))</f>
        <v/>
      </c>
      <c r="H240" s="32" t="str">
        <f aca="true">IF($C240="","",IF(OR(F240="Completed",F240="Cancelled"),"",IF(NOT(ISNUMBER(G240)),"No date set",IF(TODAY()&gt;G240,TODAY()-G240&amp;" days late",G240-TODAY()&amp;" days left"))))</f>
        <v/>
      </c>
      <c r="I240" s="31" t="str">
        <f aca="false">IF($C240="","",COUNTIF(M240,"Completed")+COUNTIF(Q240,"Completed")+COUNTIF(U240,"Completed")+COUNTIF(Y240,"Completed")+COUNTIF(AC240,"Completed")+COUNTIF(AG240,"Completed")+COUNTIF(AK240,"Completed"))</f>
        <v/>
      </c>
      <c r="J240" s="31" t="str">
        <f aca="false">IF($C240="","",7-(COUNTIF(M240,"NA")+COUNTIF(Q240,"NA")+COUNTIF(U240,"NA")+COUNTIF(Y240,"NA")+COUNTIF(AC240,"NA")+COUNTIF(AG240,"NA")+COUNTIF(AK240,"NA")))</f>
        <v/>
      </c>
      <c r="K240" s="34" t="str">
        <f aca="false">IFERROR(I240/J240,"")</f>
        <v/>
      </c>
      <c r="L240" s="29"/>
      <c r="M240" s="35"/>
      <c r="N240" s="36"/>
      <c r="O240" s="36"/>
      <c r="P240" s="29"/>
      <c r="Q240" s="35"/>
      <c r="R240" s="36"/>
      <c r="S240" s="36"/>
      <c r="T240" s="29"/>
      <c r="U240" s="35"/>
      <c r="V240" s="36"/>
      <c r="W240" s="36"/>
      <c r="X240" s="29"/>
      <c r="Y240" s="35"/>
      <c r="Z240" s="36"/>
      <c r="AA240" s="36"/>
      <c r="AB240" s="29"/>
      <c r="AC240" s="35"/>
      <c r="AD240" s="36"/>
      <c r="AE240" s="36"/>
      <c r="AF240" s="29"/>
      <c r="AG240" s="35"/>
      <c r="AH240" s="36"/>
      <c r="AI240" s="36"/>
      <c r="AJ240" s="29"/>
      <c r="AK240" s="35"/>
      <c r="AL240" s="36"/>
      <c r="AM240" s="36"/>
      <c r="AN240" s="29"/>
      <c r="AO240" s="29"/>
      <c r="AP240" s="29"/>
      <c r="AQ240" s="37"/>
      <c r="AR240" s="39" t="str">
        <f aca="false">IF(AN240&lt;&gt;"Yes","",IF(AO240="","SELECT RE-ENTRY STAGE","MOVE TO ACTIVE at "&amp;AO240))</f>
        <v/>
      </c>
      <c r="AS240" s="40" t="str">
        <f aca="false">IF(AN240="Yes",COUNTIF($AN$6:AN240,"Yes"),"")</f>
        <v/>
      </c>
      <c r="AT240" s="29"/>
      <c r="AU240" s="38" t="str">
        <f aca="false">IF($C240="","",IF(OR(F240="Completed",F240="Cancelled"),"",IF(AND(OR(F240="On Hold",ISNUMBER(VALUE(LEFT(H240,2)))),AT240=""),"Reason not given","")))</f>
        <v/>
      </c>
      <c r="AV240" s="30"/>
      <c r="AW240" s="30"/>
    </row>
    <row r="241" customFormat="false" ht="19.5" hidden="false" customHeight="true" outlineLevel="0" collapsed="false">
      <c r="A241" s="28" t="str">
        <f aca="false">IF($C241="","",COUNTA($C$6:$C241))</f>
        <v/>
      </c>
      <c r="B241" s="29"/>
      <c r="C241" s="30"/>
      <c r="D241" s="29"/>
      <c r="E241" s="31" t="str">
        <f aca="false">IF($C241="","",IF(NOT(OR(M241="Completed",M241="NA",M241="Cancelled")),"S1 Schematic",IF(NOT(OR(Q241="Completed",Q241="NA",Q241="Cancelled")),"S2 PCB Layout",IF(NOT(OR(U241="Completed",U241="NA",U241="Cancelled")),"S3 SI &amp; PI",IF(NOT(OR(Y241="Completed",Y241="NA",Y241="Cancelled")),"S4 Bare-PCB Fab",IF(NOT(OR(AC241="Completed",AC241="NA",AC241="Cancelled")),"S5 Assembly",IF(NOT(OR(AG241="Completed",AG241="NA",AG241="Cancelled")),"S6 Bring-up",IF(NOT(OR(AK241="Completed",AK241="NA",AK241="Cancelled")),"S7 BOM Procurement","All Stages Closed"))))))))</f>
        <v/>
      </c>
      <c r="F241" s="32" t="str">
        <f aca="false">IF($C241="","",IF(COUNTIF(M241,"Cancelled")+COUNTIF(Q241,"Cancelled")+COUNTIF(U241,"Cancelled")+COUNTIF(Y241,"Cancelled")+COUNTIF(AC241,"Cancelled")+COUNTIF(AG241,"Cancelled")+COUNTIF(AK241,"Cancelled")&gt;0,"Cancelled",IF(E241="All Stages Closed","Completed",IF(E241="S1 Schematic",M241,IF(E241="S2 PCB Layout",Q241,IF(E241="S3 SI &amp; PI",U241,IF(E241="S4 Bare-PCB Fab",Y241,IF(E241="S5 Assembly",AC241,IF(E241="S6 Bring-up",AG241,AK241)))))))))</f>
        <v/>
      </c>
      <c r="G241" s="33" t="str">
        <f aca="false">IF($C241="","",IF(E241="All Stages Closed","",IF(E241="S1 Schematic",IF(N241="","Not added",N241),IF(E241="S2 PCB Layout",IF(R241="","Not added",R241),IF(E241="S3 SI &amp; PI",IF(V241="","Not added",V241),IF(E241="S4 Bare-PCB Fab",IF(Z241="","Not added",Z241),IF(E241="S5 Assembly",IF(AD241="","Not added",AD241),IF(E241="S6 Bring-up",IF(AH241="","Not added",AH241),IF(AL241="","Not added",AL241)))))))))</f>
        <v/>
      </c>
      <c r="H241" s="32" t="str">
        <f aca="true">IF($C241="","",IF(OR(F241="Completed",F241="Cancelled"),"",IF(NOT(ISNUMBER(G241)),"No date set",IF(TODAY()&gt;G241,TODAY()-G241&amp;" days late",G241-TODAY()&amp;" days left"))))</f>
        <v/>
      </c>
      <c r="I241" s="31" t="str">
        <f aca="false">IF($C241="","",COUNTIF(M241,"Completed")+COUNTIF(Q241,"Completed")+COUNTIF(U241,"Completed")+COUNTIF(Y241,"Completed")+COUNTIF(AC241,"Completed")+COUNTIF(AG241,"Completed")+COUNTIF(AK241,"Completed"))</f>
        <v/>
      </c>
      <c r="J241" s="31" t="str">
        <f aca="false">IF($C241="","",7-(COUNTIF(M241,"NA")+COUNTIF(Q241,"NA")+COUNTIF(U241,"NA")+COUNTIF(Y241,"NA")+COUNTIF(AC241,"NA")+COUNTIF(AG241,"NA")+COUNTIF(AK241,"NA")))</f>
        <v/>
      </c>
      <c r="K241" s="34" t="str">
        <f aca="false">IFERROR(I241/J241,"")</f>
        <v/>
      </c>
      <c r="L241" s="29"/>
      <c r="M241" s="35"/>
      <c r="N241" s="36"/>
      <c r="O241" s="36"/>
      <c r="P241" s="29"/>
      <c r="Q241" s="35"/>
      <c r="R241" s="36"/>
      <c r="S241" s="36"/>
      <c r="T241" s="29"/>
      <c r="U241" s="35"/>
      <c r="V241" s="36"/>
      <c r="W241" s="36"/>
      <c r="X241" s="29"/>
      <c r="Y241" s="35"/>
      <c r="Z241" s="36"/>
      <c r="AA241" s="36"/>
      <c r="AB241" s="29"/>
      <c r="AC241" s="35"/>
      <c r="AD241" s="36"/>
      <c r="AE241" s="36"/>
      <c r="AF241" s="29"/>
      <c r="AG241" s="35"/>
      <c r="AH241" s="36"/>
      <c r="AI241" s="36"/>
      <c r="AJ241" s="29"/>
      <c r="AK241" s="35"/>
      <c r="AL241" s="36"/>
      <c r="AM241" s="36"/>
      <c r="AN241" s="29"/>
      <c r="AO241" s="29"/>
      <c r="AP241" s="29"/>
      <c r="AQ241" s="37"/>
      <c r="AR241" s="39" t="str">
        <f aca="false">IF(AN241&lt;&gt;"Yes","",IF(AO241="","SELECT RE-ENTRY STAGE","MOVE TO ACTIVE at "&amp;AO241))</f>
        <v/>
      </c>
      <c r="AS241" s="40" t="str">
        <f aca="false">IF(AN241="Yes",COUNTIF($AN$6:AN241,"Yes"),"")</f>
        <v/>
      </c>
      <c r="AT241" s="29"/>
      <c r="AU241" s="38" t="str">
        <f aca="false">IF($C241="","",IF(OR(F241="Completed",F241="Cancelled"),"",IF(AND(OR(F241="On Hold",ISNUMBER(VALUE(LEFT(H241,2)))),AT241=""),"Reason not given","")))</f>
        <v/>
      </c>
      <c r="AV241" s="30"/>
      <c r="AW241" s="30"/>
    </row>
    <row r="242" customFormat="false" ht="19.5" hidden="false" customHeight="true" outlineLevel="0" collapsed="false">
      <c r="A242" s="28" t="str">
        <f aca="false">IF($C242="","",COUNTA($C$6:$C242))</f>
        <v/>
      </c>
      <c r="B242" s="29"/>
      <c r="C242" s="30"/>
      <c r="D242" s="29"/>
      <c r="E242" s="31" t="str">
        <f aca="false">IF($C242="","",IF(NOT(OR(M242="Completed",M242="NA",M242="Cancelled")),"S1 Schematic",IF(NOT(OR(Q242="Completed",Q242="NA",Q242="Cancelled")),"S2 PCB Layout",IF(NOT(OR(U242="Completed",U242="NA",U242="Cancelled")),"S3 SI &amp; PI",IF(NOT(OR(Y242="Completed",Y242="NA",Y242="Cancelled")),"S4 Bare-PCB Fab",IF(NOT(OR(AC242="Completed",AC242="NA",AC242="Cancelled")),"S5 Assembly",IF(NOT(OR(AG242="Completed",AG242="NA",AG242="Cancelled")),"S6 Bring-up",IF(NOT(OR(AK242="Completed",AK242="NA",AK242="Cancelled")),"S7 BOM Procurement","All Stages Closed"))))))))</f>
        <v/>
      </c>
      <c r="F242" s="32" t="str">
        <f aca="false">IF($C242="","",IF(COUNTIF(M242,"Cancelled")+COUNTIF(Q242,"Cancelled")+COUNTIF(U242,"Cancelled")+COUNTIF(Y242,"Cancelled")+COUNTIF(AC242,"Cancelled")+COUNTIF(AG242,"Cancelled")+COUNTIF(AK242,"Cancelled")&gt;0,"Cancelled",IF(E242="All Stages Closed","Completed",IF(E242="S1 Schematic",M242,IF(E242="S2 PCB Layout",Q242,IF(E242="S3 SI &amp; PI",U242,IF(E242="S4 Bare-PCB Fab",Y242,IF(E242="S5 Assembly",AC242,IF(E242="S6 Bring-up",AG242,AK242)))))))))</f>
        <v/>
      </c>
      <c r="G242" s="33" t="str">
        <f aca="false">IF($C242="","",IF(E242="All Stages Closed","",IF(E242="S1 Schematic",IF(N242="","Not added",N242),IF(E242="S2 PCB Layout",IF(R242="","Not added",R242),IF(E242="S3 SI &amp; PI",IF(V242="","Not added",V242),IF(E242="S4 Bare-PCB Fab",IF(Z242="","Not added",Z242),IF(E242="S5 Assembly",IF(AD242="","Not added",AD242),IF(E242="S6 Bring-up",IF(AH242="","Not added",AH242),IF(AL242="","Not added",AL242)))))))))</f>
        <v/>
      </c>
      <c r="H242" s="32" t="str">
        <f aca="true">IF($C242="","",IF(OR(F242="Completed",F242="Cancelled"),"",IF(NOT(ISNUMBER(G242)),"No date set",IF(TODAY()&gt;G242,TODAY()-G242&amp;" days late",G242-TODAY()&amp;" days left"))))</f>
        <v/>
      </c>
      <c r="I242" s="31" t="str">
        <f aca="false">IF($C242="","",COUNTIF(M242,"Completed")+COUNTIF(Q242,"Completed")+COUNTIF(U242,"Completed")+COUNTIF(Y242,"Completed")+COUNTIF(AC242,"Completed")+COUNTIF(AG242,"Completed")+COUNTIF(AK242,"Completed"))</f>
        <v/>
      </c>
      <c r="J242" s="31" t="str">
        <f aca="false">IF($C242="","",7-(COUNTIF(M242,"NA")+COUNTIF(Q242,"NA")+COUNTIF(U242,"NA")+COUNTIF(Y242,"NA")+COUNTIF(AC242,"NA")+COUNTIF(AG242,"NA")+COUNTIF(AK242,"NA")))</f>
        <v/>
      </c>
      <c r="K242" s="34" t="str">
        <f aca="false">IFERROR(I242/J242,"")</f>
        <v/>
      </c>
      <c r="L242" s="29"/>
      <c r="M242" s="35"/>
      <c r="N242" s="36"/>
      <c r="O242" s="36"/>
      <c r="P242" s="29"/>
      <c r="Q242" s="35"/>
      <c r="R242" s="36"/>
      <c r="S242" s="36"/>
      <c r="T242" s="29"/>
      <c r="U242" s="35"/>
      <c r="V242" s="36"/>
      <c r="W242" s="36"/>
      <c r="X242" s="29"/>
      <c r="Y242" s="35"/>
      <c r="Z242" s="36"/>
      <c r="AA242" s="36"/>
      <c r="AB242" s="29"/>
      <c r="AC242" s="35"/>
      <c r="AD242" s="36"/>
      <c r="AE242" s="36"/>
      <c r="AF242" s="29"/>
      <c r="AG242" s="35"/>
      <c r="AH242" s="36"/>
      <c r="AI242" s="36"/>
      <c r="AJ242" s="29"/>
      <c r="AK242" s="35"/>
      <c r="AL242" s="36"/>
      <c r="AM242" s="36"/>
      <c r="AN242" s="29"/>
      <c r="AO242" s="29"/>
      <c r="AP242" s="29"/>
      <c r="AQ242" s="37"/>
      <c r="AR242" s="39" t="str">
        <f aca="false">IF(AN242&lt;&gt;"Yes","",IF(AO242="","SELECT RE-ENTRY STAGE","MOVE TO ACTIVE at "&amp;AO242))</f>
        <v/>
      </c>
      <c r="AS242" s="40" t="str">
        <f aca="false">IF(AN242="Yes",COUNTIF($AN$6:AN242,"Yes"),"")</f>
        <v/>
      </c>
      <c r="AT242" s="29"/>
      <c r="AU242" s="38" t="str">
        <f aca="false">IF($C242="","",IF(OR(F242="Completed",F242="Cancelled"),"",IF(AND(OR(F242="On Hold",ISNUMBER(VALUE(LEFT(H242,2)))),AT242=""),"Reason not given","")))</f>
        <v/>
      </c>
      <c r="AV242" s="30"/>
      <c r="AW242" s="30"/>
    </row>
    <row r="243" customFormat="false" ht="19.5" hidden="false" customHeight="true" outlineLevel="0" collapsed="false">
      <c r="A243" s="28" t="str">
        <f aca="false">IF($C243="","",COUNTA($C$6:$C243))</f>
        <v/>
      </c>
      <c r="B243" s="29"/>
      <c r="C243" s="30"/>
      <c r="D243" s="29"/>
      <c r="E243" s="31" t="str">
        <f aca="false">IF($C243="","",IF(NOT(OR(M243="Completed",M243="NA",M243="Cancelled")),"S1 Schematic",IF(NOT(OR(Q243="Completed",Q243="NA",Q243="Cancelled")),"S2 PCB Layout",IF(NOT(OR(U243="Completed",U243="NA",U243="Cancelled")),"S3 SI &amp; PI",IF(NOT(OR(Y243="Completed",Y243="NA",Y243="Cancelled")),"S4 Bare-PCB Fab",IF(NOT(OR(AC243="Completed",AC243="NA",AC243="Cancelled")),"S5 Assembly",IF(NOT(OR(AG243="Completed",AG243="NA",AG243="Cancelled")),"S6 Bring-up",IF(NOT(OR(AK243="Completed",AK243="NA",AK243="Cancelled")),"S7 BOM Procurement","All Stages Closed"))))))))</f>
        <v/>
      </c>
      <c r="F243" s="32" t="str">
        <f aca="false">IF($C243="","",IF(COUNTIF(M243,"Cancelled")+COUNTIF(Q243,"Cancelled")+COUNTIF(U243,"Cancelled")+COUNTIF(Y243,"Cancelled")+COUNTIF(AC243,"Cancelled")+COUNTIF(AG243,"Cancelled")+COUNTIF(AK243,"Cancelled")&gt;0,"Cancelled",IF(E243="All Stages Closed","Completed",IF(E243="S1 Schematic",M243,IF(E243="S2 PCB Layout",Q243,IF(E243="S3 SI &amp; PI",U243,IF(E243="S4 Bare-PCB Fab",Y243,IF(E243="S5 Assembly",AC243,IF(E243="S6 Bring-up",AG243,AK243)))))))))</f>
        <v/>
      </c>
      <c r="G243" s="33" t="str">
        <f aca="false">IF($C243="","",IF(E243="All Stages Closed","",IF(E243="S1 Schematic",IF(N243="","Not added",N243),IF(E243="S2 PCB Layout",IF(R243="","Not added",R243),IF(E243="S3 SI &amp; PI",IF(V243="","Not added",V243),IF(E243="S4 Bare-PCB Fab",IF(Z243="","Not added",Z243),IF(E243="S5 Assembly",IF(AD243="","Not added",AD243),IF(E243="S6 Bring-up",IF(AH243="","Not added",AH243),IF(AL243="","Not added",AL243)))))))))</f>
        <v/>
      </c>
      <c r="H243" s="32" t="str">
        <f aca="true">IF($C243="","",IF(OR(F243="Completed",F243="Cancelled"),"",IF(NOT(ISNUMBER(G243)),"No date set",IF(TODAY()&gt;G243,TODAY()-G243&amp;" days late",G243-TODAY()&amp;" days left"))))</f>
        <v/>
      </c>
      <c r="I243" s="31" t="str">
        <f aca="false">IF($C243="","",COUNTIF(M243,"Completed")+COUNTIF(Q243,"Completed")+COUNTIF(U243,"Completed")+COUNTIF(Y243,"Completed")+COUNTIF(AC243,"Completed")+COUNTIF(AG243,"Completed")+COUNTIF(AK243,"Completed"))</f>
        <v/>
      </c>
      <c r="J243" s="31" t="str">
        <f aca="false">IF($C243="","",7-(COUNTIF(M243,"NA")+COUNTIF(Q243,"NA")+COUNTIF(U243,"NA")+COUNTIF(Y243,"NA")+COUNTIF(AC243,"NA")+COUNTIF(AG243,"NA")+COUNTIF(AK243,"NA")))</f>
        <v/>
      </c>
      <c r="K243" s="34" t="str">
        <f aca="false">IFERROR(I243/J243,"")</f>
        <v/>
      </c>
      <c r="L243" s="29"/>
      <c r="M243" s="35"/>
      <c r="N243" s="36"/>
      <c r="O243" s="36"/>
      <c r="P243" s="29"/>
      <c r="Q243" s="35"/>
      <c r="R243" s="36"/>
      <c r="S243" s="36"/>
      <c r="T243" s="29"/>
      <c r="U243" s="35"/>
      <c r="V243" s="36"/>
      <c r="W243" s="36"/>
      <c r="X243" s="29"/>
      <c r="Y243" s="35"/>
      <c r="Z243" s="36"/>
      <c r="AA243" s="36"/>
      <c r="AB243" s="29"/>
      <c r="AC243" s="35"/>
      <c r="AD243" s="36"/>
      <c r="AE243" s="36"/>
      <c r="AF243" s="29"/>
      <c r="AG243" s="35"/>
      <c r="AH243" s="36"/>
      <c r="AI243" s="36"/>
      <c r="AJ243" s="29"/>
      <c r="AK243" s="35"/>
      <c r="AL243" s="36"/>
      <c r="AM243" s="36"/>
      <c r="AN243" s="29"/>
      <c r="AO243" s="29"/>
      <c r="AP243" s="29"/>
      <c r="AQ243" s="37"/>
      <c r="AR243" s="39" t="str">
        <f aca="false">IF(AN243&lt;&gt;"Yes","",IF(AO243="","SELECT RE-ENTRY STAGE","MOVE TO ACTIVE at "&amp;AO243))</f>
        <v/>
      </c>
      <c r="AS243" s="40" t="str">
        <f aca="false">IF(AN243="Yes",COUNTIF($AN$6:AN243,"Yes"),"")</f>
        <v/>
      </c>
      <c r="AT243" s="29"/>
      <c r="AU243" s="38" t="str">
        <f aca="false">IF($C243="","",IF(OR(F243="Completed",F243="Cancelled"),"",IF(AND(OR(F243="On Hold",ISNUMBER(VALUE(LEFT(H243,2)))),AT243=""),"Reason not given","")))</f>
        <v/>
      </c>
      <c r="AV243" s="30"/>
      <c r="AW243" s="30"/>
    </row>
    <row r="244" customFormat="false" ht="19.5" hidden="false" customHeight="true" outlineLevel="0" collapsed="false">
      <c r="A244" s="28" t="str">
        <f aca="false">IF($C244="","",COUNTA($C$6:$C244))</f>
        <v/>
      </c>
      <c r="B244" s="29"/>
      <c r="C244" s="30"/>
      <c r="D244" s="29"/>
      <c r="E244" s="31" t="str">
        <f aca="false">IF($C244="","",IF(NOT(OR(M244="Completed",M244="NA",M244="Cancelled")),"S1 Schematic",IF(NOT(OR(Q244="Completed",Q244="NA",Q244="Cancelled")),"S2 PCB Layout",IF(NOT(OR(U244="Completed",U244="NA",U244="Cancelled")),"S3 SI &amp; PI",IF(NOT(OR(Y244="Completed",Y244="NA",Y244="Cancelled")),"S4 Bare-PCB Fab",IF(NOT(OR(AC244="Completed",AC244="NA",AC244="Cancelled")),"S5 Assembly",IF(NOT(OR(AG244="Completed",AG244="NA",AG244="Cancelled")),"S6 Bring-up",IF(NOT(OR(AK244="Completed",AK244="NA",AK244="Cancelled")),"S7 BOM Procurement","All Stages Closed"))))))))</f>
        <v/>
      </c>
      <c r="F244" s="32" t="str">
        <f aca="false">IF($C244="","",IF(COUNTIF(M244,"Cancelled")+COUNTIF(Q244,"Cancelled")+COUNTIF(U244,"Cancelled")+COUNTIF(Y244,"Cancelled")+COUNTIF(AC244,"Cancelled")+COUNTIF(AG244,"Cancelled")+COUNTIF(AK244,"Cancelled")&gt;0,"Cancelled",IF(E244="All Stages Closed","Completed",IF(E244="S1 Schematic",M244,IF(E244="S2 PCB Layout",Q244,IF(E244="S3 SI &amp; PI",U244,IF(E244="S4 Bare-PCB Fab",Y244,IF(E244="S5 Assembly",AC244,IF(E244="S6 Bring-up",AG244,AK244)))))))))</f>
        <v/>
      </c>
      <c r="G244" s="33" t="str">
        <f aca="false">IF($C244="","",IF(E244="All Stages Closed","",IF(E244="S1 Schematic",IF(N244="","Not added",N244),IF(E244="S2 PCB Layout",IF(R244="","Not added",R244),IF(E244="S3 SI &amp; PI",IF(V244="","Not added",V244),IF(E244="S4 Bare-PCB Fab",IF(Z244="","Not added",Z244),IF(E244="S5 Assembly",IF(AD244="","Not added",AD244),IF(E244="S6 Bring-up",IF(AH244="","Not added",AH244),IF(AL244="","Not added",AL244)))))))))</f>
        <v/>
      </c>
      <c r="H244" s="32" t="str">
        <f aca="true">IF($C244="","",IF(OR(F244="Completed",F244="Cancelled"),"",IF(NOT(ISNUMBER(G244)),"No date set",IF(TODAY()&gt;G244,TODAY()-G244&amp;" days late",G244-TODAY()&amp;" days left"))))</f>
        <v/>
      </c>
      <c r="I244" s="31" t="str">
        <f aca="false">IF($C244="","",COUNTIF(M244,"Completed")+COUNTIF(Q244,"Completed")+COUNTIF(U244,"Completed")+COUNTIF(Y244,"Completed")+COUNTIF(AC244,"Completed")+COUNTIF(AG244,"Completed")+COUNTIF(AK244,"Completed"))</f>
        <v/>
      </c>
      <c r="J244" s="31" t="str">
        <f aca="false">IF($C244="","",7-(COUNTIF(M244,"NA")+COUNTIF(Q244,"NA")+COUNTIF(U244,"NA")+COUNTIF(Y244,"NA")+COUNTIF(AC244,"NA")+COUNTIF(AG244,"NA")+COUNTIF(AK244,"NA")))</f>
        <v/>
      </c>
      <c r="K244" s="34" t="str">
        <f aca="false">IFERROR(I244/J244,"")</f>
        <v/>
      </c>
      <c r="L244" s="29"/>
      <c r="M244" s="35"/>
      <c r="N244" s="36"/>
      <c r="O244" s="36"/>
      <c r="P244" s="29"/>
      <c r="Q244" s="35"/>
      <c r="R244" s="36"/>
      <c r="S244" s="36"/>
      <c r="T244" s="29"/>
      <c r="U244" s="35"/>
      <c r="V244" s="36"/>
      <c r="W244" s="36"/>
      <c r="X244" s="29"/>
      <c r="Y244" s="35"/>
      <c r="Z244" s="36"/>
      <c r="AA244" s="36"/>
      <c r="AB244" s="29"/>
      <c r="AC244" s="35"/>
      <c r="AD244" s="36"/>
      <c r="AE244" s="36"/>
      <c r="AF244" s="29"/>
      <c r="AG244" s="35"/>
      <c r="AH244" s="36"/>
      <c r="AI244" s="36"/>
      <c r="AJ244" s="29"/>
      <c r="AK244" s="35"/>
      <c r="AL244" s="36"/>
      <c r="AM244" s="36"/>
      <c r="AN244" s="29"/>
      <c r="AO244" s="29"/>
      <c r="AP244" s="29"/>
      <c r="AQ244" s="37"/>
      <c r="AR244" s="39" t="str">
        <f aca="false">IF(AN244&lt;&gt;"Yes","",IF(AO244="","SELECT RE-ENTRY STAGE","MOVE TO ACTIVE at "&amp;AO244))</f>
        <v/>
      </c>
      <c r="AS244" s="40" t="str">
        <f aca="false">IF(AN244="Yes",COUNTIF($AN$6:AN244,"Yes"),"")</f>
        <v/>
      </c>
      <c r="AT244" s="29"/>
      <c r="AU244" s="38" t="str">
        <f aca="false">IF($C244="","",IF(OR(F244="Completed",F244="Cancelled"),"",IF(AND(OR(F244="On Hold",ISNUMBER(VALUE(LEFT(H244,2)))),AT244=""),"Reason not given","")))</f>
        <v/>
      </c>
      <c r="AV244" s="30"/>
      <c r="AW244" s="30"/>
    </row>
    <row r="245" customFormat="false" ht="19.5" hidden="false" customHeight="true" outlineLevel="0" collapsed="false">
      <c r="A245" s="28" t="str">
        <f aca="false">IF($C245="","",COUNTA($C$6:$C245))</f>
        <v/>
      </c>
      <c r="B245" s="29"/>
      <c r="C245" s="30"/>
      <c r="D245" s="29"/>
      <c r="E245" s="31" t="str">
        <f aca="false">IF($C245="","",IF(NOT(OR(M245="Completed",M245="NA",M245="Cancelled")),"S1 Schematic",IF(NOT(OR(Q245="Completed",Q245="NA",Q245="Cancelled")),"S2 PCB Layout",IF(NOT(OR(U245="Completed",U245="NA",U245="Cancelled")),"S3 SI &amp; PI",IF(NOT(OR(Y245="Completed",Y245="NA",Y245="Cancelled")),"S4 Bare-PCB Fab",IF(NOT(OR(AC245="Completed",AC245="NA",AC245="Cancelled")),"S5 Assembly",IF(NOT(OR(AG245="Completed",AG245="NA",AG245="Cancelled")),"S6 Bring-up",IF(NOT(OR(AK245="Completed",AK245="NA",AK245="Cancelled")),"S7 BOM Procurement","All Stages Closed"))))))))</f>
        <v/>
      </c>
      <c r="F245" s="32" t="str">
        <f aca="false">IF($C245="","",IF(COUNTIF(M245,"Cancelled")+COUNTIF(Q245,"Cancelled")+COUNTIF(U245,"Cancelled")+COUNTIF(Y245,"Cancelled")+COUNTIF(AC245,"Cancelled")+COUNTIF(AG245,"Cancelled")+COUNTIF(AK245,"Cancelled")&gt;0,"Cancelled",IF(E245="All Stages Closed","Completed",IF(E245="S1 Schematic",M245,IF(E245="S2 PCB Layout",Q245,IF(E245="S3 SI &amp; PI",U245,IF(E245="S4 Bare-PCB Fab",Y245,IF(E245="S5 Assembly",AC245,IF(E245="S6 Bring-up",AG245,AK245)))))))))</f>
        <v/>
      </c>
      <c r="G245" s="33" t="str">
        <f aca="false">IF($C245="","",IF(E245="All Stages Closed","",IF(E245="S1 Schematic",IF(N245="","Not added",N245),IF(E245="S2 PCB Layout",IF(R245="","Not added",R245),IF(E245="S3 SI &amp; PI",IF(V245="","Not added",V245),IF(E245="S4 Bare-PCB Fab",IF(Z245="","Not added",Z245),IF(E245="S5 Assembly",IF(AD245="","Not added",AD245),IF(E245="S6 Bring-up",IF(AH245="","Not added",AH245),IF(AL245="","Not added",AL245)))))))))</f>
        <v/>
      </c>
      <c r="H245" s="32" t="str">
        <f aca="true">IF($C245="","",IF(OR(F245="Completed",F245="Cancelled"),"",IF(NOT(ISNUMBER(G245)),"No date set",IF(TODAY()&gt;G245,TODAY()-G245&amp;" days late",G245-TODAY()&amp;" days left"))))</f>
        <v/>
      </c>
      <c r="I245" s="31" t="str">
        <f aca="false">IF($C245="","",COUNTIF(M245,"Completed")+COUNTIF(Q245,"Completed")+COUNTIF(U245,"Completed")+COUNTIF(Y245,"Completed")+COUNTIF(AC245,"Completed")+COUNTIF(AG245,"Completed")+COUNTIF(AK245,"Completed"))</f>
        <v/>
      </c>
      <c r="J245" s="31" t="str">
        <f aca="false">IF($C245="","",7-(COUNTIF(M245,"NA")+COUNTIF(Q245,"NA")+COUNTIF(U245,"NA")+COUNTIF(Y245,"NA")+COUNTIF(AC245,"NA")+COUNTIF(AG245,"NA")+COUNTIF(AK245,"NA")))</f>
        <v/>
      </c>
      <c r="K245" s="34" t="str">
        <f aca="false">IFERROR(I245/J245,"")</f>
        <v/>
      </c>
      <c r="L245" s="29"/>
      <c r="M245" s="35"/>
      <c r="N245" s="36"/>
      <c r="O245" s="36"/>
      <c r="P245" s="29"/>
      <c r="Q245" s="35"/>
      <c r="R245" s="36"/>
      <c r="S245" s="36"/>
      <c r="T245" s="29"/>
      <c r="U245" s="35"/>
      <c r="V245" s="36"/>
      <c r="W245" s="36"/>
      <c r="X245" s="29"/>
      <c r="Y245" s="35"/>
      <c r="Z245" s="36"/>
      <c r="AA245" s="36"/>
      <c r="AB245" s="29"/>
      <c r="AC245" s="35"/>
      <c r="AD245" s="36"/>
      <c r="AE245" s="36"/>
      <c r="AF245" s="29"/>
      <c r="AG245" s="35"/>
      <c r="AH245" s="36"/>
      <c r="AI245" s="36"/>
      <c r="AJ245" s="29"/>
      <c r="AK245" s="35"/>
      <c r="AL245" s="36"/>
      <c r="AM245" s="36"/>
      <c r="AN245" s="29"/>
      <c r="AO245" s="29"/>
      <c r="AP245" s="29"/>
      <c r="AQ245" s="37"/>
      <c r="AR245" s="39" t="str">
        <f aca="false">IF(AN245&lt;&gt;"Yes","",IF(AO245="","SELECT RE-ENTRY STAGE","MOVE TO ACTIVE at "&amp;AO245))</f>
        <v/>
      </c>
      <c r="AS245" s="40" t="str">
        <f aca="false">IF(AN245="Yes",COUNTIF($AN$6:AN245,"Yes"),"")</f>
        <v/>
      </c>
      <c r="AT245" s="29"/>
      <c r="AU245" s="38" t="str">
        <f aca="false">IF($C245="","",IF(OR(F245="Completed",F245="Cancelled"),"",IF(AND(OR(F245="On Hold",ISNUMBER(VALUE(LEFT(H245,2)))),AT245=""),"Reason not given","")))</f>
        <v/>
      </c>
      <c r="AV245" s="30"/>
      <c r="AW245" s="30"/>
    </row>
    <row r="246" customFormat="false" ht="19.5" hidden="false" customHeight="true" outlineLevel="0" collapsed="false">
      <c r="A246" s="28" t="str">
        <f aca="false">IF($C246="","",COUNTA($C$6:$C246))</f>
        <v/>
      </c>
      <c r="B246" s="29"/>
      <c r="C246" s="30"/>
      <c r="D246" s="29"/>
      <c r="E246" s="31" t="str">
        <f aca="false">IF($C246="","",IF(NOT(OR(M246="Completed",M246="NA",M246="Cancelled")),"S1 Schematic",IF(NOT(OR(Q246="Completed",Q246="NA",Q246="Cancelled")),"S2 PCB Layout",IF(NOT(OR(U246="Completed",U246="NA",U246="Cancelled")),"S3 SI &amp; PI",IF(NOT(OR(Y246="Completed",Y246="NA",Y246="Cancelled")),"S4 Bare-PCB Fab",IF(NOT(OR(AC246="Completed",AC246="NA",AC246="Cancelled")),"S5 Assembly",IF(NOT(OR(AG246="Completed",AG246="NA",AG246="Cancelled")),"S6 Bring-up",IF(NOT(OR(AK246="Completed",AK246="NA",AK246="Cancelled")),"S7 BOM Procurement","All Stages Closed"))))))))</f>
        <v/>
      </c>
      <c r="F246" s="32" t="str">
        <f aca="false">IF($C246="","",IF(COUNTIF(M246,"Cancelled")+COUNTIF(Q246,"Cancelled")+COUNTIF(U246,"Cancelled")+COUNTIF(Y246,"Cancelled")+COUNTIF(AC246,"Cancelled")+COUNTIF(AG246,"Cancelled")+COUNTIF(AK246,"Cancelled")&gt;0,"Cancelled",IF(E246="All Stages Closed","Completed",IF(E246="S1 Schematic",M246,IF(E246="S2 PCB Layout",Q246,IF(E246="S3 SI &amp; PI",U246,IF(E246="S4 Bare-PCB Fab",Y246,IF(E246="S5 Assembly",AC246,IF(E246="S6 Bring-up",AG246,AK246)))))))))</f>
        <v/>
      </c>
      <c r="G246" s="33" t="str">
        <f aca="false">IF($C246="","",IF(E246="All Stages Closed","",IF(E246="S1 Schematic",IF(N246="","Not added",N246),IF(E246="S2 PCB Layout",IF(R246="","Not added",R246),IF(E246="S3 SI &amp; PI",IF(V246="","Not added",V246),IF(E246="S4 Bare-PCB Fab",IF(Z246="","Not added",Z246),IF(E246="S5 Assembly",IF(AD246="","Not added",AD246),IF(E246="S6 Bring-up",IF(AH246="","Not added",AH246),IF(AL246="","Not added",AL246)))))))))</f>
        <v/>
      </c>
      <c r="H246" s="32" t="str">
        <f aca="true">IF($C246="","",IF(OR(F246="Completed",F246="Cancelled"),"",IF(NOT(ISNUMBER(G246)),"No date set",IF(TODAY()&gt;G246,TODAY()-G246&amp;" days late",G246-TODAY()&amp;" days left"))))</f>
        <v/>
      </c>
      <c r="I246" s="31" t="str">
        <f aca="false">IF($C246="","",COUNTIF(M246,"Completed")+COUNTIF(Q246,"Completed")+COUNTIF(U246,"Completed")+COUNTIF(Y246,"Completed")+COUNTIF(AC246,"Completed")+COUNTIF(AG246,"Completed")+COUNTIF(AK246,"Completed"))</f>
        <v/>
      </c>
      <c r="J246" s="31" t="str">
        <f aca="false">IF($C246="","",7-(COUNTIF(M246,"NA")+COUNTIF(Q246,"NA")+COUNTIF(U246,"NA")+COUNTIF(Y246,"NA")+COUNTIF(AC246,"NA")+COUNTIF(AG246,"NA")+COUNTIF(AK246,"NA")))</f>
        <v/>
      </c>
      <c r="K246" s="34" t="str">
        <f aca="false">IFERROR(I246/J246,"")</f>
        <v/>
      </c>
      <c r="L246" s="29"/>
      <c r="M246" s="35"/>
      <c r="N246" s="36"/>
      <c r="O246" s="36"/>
      <c r="P246" s="29"/>
      <c r="Q246" s="35"/>
      <c r="R246" s="36"/>
      <c r="S246" s="36"/>
      <c r="T246" s="29"/>
      <c r="U246" s="35"/>
      <c r="V246" s="36"/>
      <c r="W246" s="36"/>
      <c r="X246" s="29"/>
      <c r="Y246" s="35"/>
      <c r="Z246" s="36"/>
      <c r="AA246" s="36"/>
      <c r="AB246" s="29"/>
      <c r="AC246" s="35"/>
      <c r="AD246" s="36"/>
      <c r="AE246" s="36"/>
      <c r="AF246" s="29"/>
      <c r="AG246" s="35"/>
      <c r="AH246" s="36"/>
      <c r="AI246" s="36"/>
      <c r="AJ246" s="29"/>
      <c r="AK246" s="35"/>
      <c r="AL246" s="36"/>
      <c r="AM246" s="36"/>
      <c r="AN246" s="29"/>
      <c r="AO246" s="29"/>
      <c r="AP246" s="29"/>
      <c r="AQ246" s="37"/>
      <c r="AR246" s="39" t="str">
        <f aca="false">IF(AN246&lt;&gt;"Yes","",IF(AO246="","SELECT RE-ENTRY STAGE","MOVE TO ACTIVE at "&amp;AO246))</f>
        <v/>
      </c>
      <c r="AS246" s="40" t="str">
        <f aca="false">IF(AN246="Yes",COUNTIF($AN$6:AN246,"Yes"),"")</f>
        <v/>
      </c>
      <c r="AT246" s="29"/>
      <c r="AU246" s="38" t="str">
        <f aca="false">IF($C246="","",IF(OR(F246="Completed",F246="Cancelled"),"",IF(AND(OR(F246="On Hold",ISNUMBER(VALUE(LEFT(H246,2)))),AT246=""),"Reason not given","")))</f>
        <v/>
      </c>
      <c r="AV246" s="30"/>
      <c r="AW246" s="30"/>
    </row>
    <row r="247" customFormat="false" ht="19.5" hidden="false" customHeight="true" outlineLevel="0" collapsed="false">
      <c r="A247" s="28" t="str">
        <f aca="false">IF($C247="","",COUNTA($C$6:$C247))</f>
        <v/>
      </c>
      <c r="B247" s="29"/>
      <c r="C247" s="30"/>
      <c r="D247" s="29"/>
      <c r="E247" s="31" t="str">
        <f aca="false">IF($C247="","",IF(NOT(OR(M247="Completed",M247="NA",M247="Cancelled")),"S1 Schematic",IF(NOT(OR(Q247="Completed",Q247="NA",Q247="Cancelled")),"S2 PCB Layout",IF(NOT(OR(U247="Completed",U247="NA",U247="Cancelled")),"S3 SI &amp; PI",IF(NOT(OR(Y247="Completed",Y247="NA",Y247="Cancelled")),"S4 Bare-PCB Fab",IF(NOT(OR(AC247="Completed",AC247="NA",AC247="Cancelled")),"S5 Assembly",IF(NOT(OR(AG247="Completed",AG247="NA",AG247="Cancelled")),"S6 Bring-up",IF(NOT(OR(AK247="Completed",AK247="NA",AK247="Cancelled")),"S7 BOM Procurement","All Stages Closed"))))))))</f>
        <v/>
      </c>
      <c r="F247" s="32" t="str">
        <f aca="false">IF($C247="","",IF(COUNTIF(M247,"Cancelled")+COUNTIF(Q247,"Cancelled")+COUNTIF(U247,"Cancelled")+COUNTIF(Y247,"Cancelled")+COUNTIF(AC247,"Cancelled")+COUNTIF(AG247,"Cancelled")+COUNTIF(AK247,"Cancelled")&gt;0,"Cancelled",IF(E247="All Stages Closed","Completed",IF(E247="S1 Schematic",M247,IF(E247="S2 PCB Layout",Q247,IF(E247="S3 SI &amp; PI",U247,IF(E247="S4 Bare-PCB Fab",Y247,IF(E247="S5 Assembly",AC247,IF(E247="S6 Bring-up",AG247,AK247)))))))))</f>
        <v/>
      </c>
      <c r="G247" s="33" t="str">
        <f aca="false">IF($C247="","",IF(E247="All Stages Closed","",IF(E247="S1 Schematic",IF(N247="","Not added",N247),IF(E247="S2 PCB Layout",IF(R247="","Not added",R247),IF(E247="S3 SI &amp; PI",IF(V247="","Not added",V247),IF(E247="S4 Bare-PCB Fab",IF(Z247="","Not added",Z247),IF(E247="S5 Assembly",IF(AD247="","Not added",AD247),IF(E247="S6 Bring-up",IF(AH247="","Not added",AH247),IF(AL247="","Not added",AL247)))))))))</f>
        <v/>
      </c>
      <c r="H247" s="32" t="str">
        <f aca="true">IF($C247="","",IF(OR(F247="Completed",F247="Cancelled"),"",IF(NOT(ISNUMBER(G247)),"No date set",IF(TODAY()&gt;G247,TODAY()-G247&amp;" days late",G247-TODAY()&amp;" days left"))))</f>
        <v/>
      </c>
      <c r="I247" s="31" t="str">
        <f aca="false">IF($C247="","",COUNTIF(M247,"Completed")+COUNTIF(Q247,"Completed")+COUNTIF(U247,"Completed")+COUNTIF(Y247,"Completed")+COUNTIF(AC247,"Completed")+COUNTIF(AG247,"Completed")+COUNTIF(AK247,"Completed"))</f>
        <v/>
      </c>
      <c r="J247" s="31" t="str">
        <f aca="false">IF($C247="","",7-(COUNTIF(M247,"NA")+COUNTIF(Q247,"NA")+COUNTIF(U247,"NA")+COUNTIF(Y247,"NA")+COUNTIF(AC247,"NA")+COUNTIF(AG247,"NA")+COUNTIF(AK247,"NA")))</f>
        <v/>
      </c>
      <c r="K247" s="34" t="str">
        <f aca="false">IFERROR(I247/J247,"")</f>
        <v/>
      </c>
      <c r="L247" s="29"/>
      <c r="M247" s="35"/>
      <c r="N247" s="36"/>
      <c r="O247" s="36"/>
      <c r="P247" s="29"/>
      <c r="Q247" s="35"/>
      <c r="R247" s="36"/>
      <c r="S247" s="36"/>
      <c r="T247" s="29"/>
      <c r="U247" s="35"/>
      <c r="V247" s="36"/>
      <c r="W247" s="36"/>
      <c r="X247" s="29"/>
      <c r="Y247" s="35"/>
      <c r="Z247" s="36"/>
      <c r="AA247" s="36"/>
      <c r="AB247" s="29"/>
      <c r="AC247" s="35"/>
      <c r="AD247" s="36"/>
      <c r="AE247" s="36"/>
      <c r="AF247" s="29"/>
      <c r="AG247" s="35"/>
      <c r="AH247" s="36"/>
      <c r="AI247" s="36"/>
      <c r="AJ247" s="29"/>
      <c r="AK247" s="35"/>
      <c r="AL247" s="36"/>
      <c r="AM247" s="36"/>
      <c r="AN247" s="29"/>
      <c r="AO247" s="29"/>
      <c r="AP247" s="29"/>
      <c r="AQ247" s="37"/>
      <c r="AR247" s="39" t="str">
        <f aca="false">IF(AN247&lt;&gt;"Yes","",IF(AO247="","SELECT RE-ENTRY STAGE","MOVE TO ACTIVE at "&amp;AO247))</f>
        <v/>
      </c>
      <c r="AS247" s="40" t="str">
        <f aca="false">IF(AN247="Yes",COUNTIF($AN$6:AN247,"Yes"),"")</f>
        <v/>
      </c>
      <c r="AT247" s="29"/>
      <c r="AU247" s="38" t="str">
        <f aca="false">IF($C247="","",IF(OR(F247="Completed",F247="Cancelled"),"",IF(AND(OR(F247="On Hold",ISNUMBER(VALUE(LEFT(H247,2)))),AT247=""),"Reason not given","")))</f>
        <v/>
      </c>
      <c r="AV247" s="30"/>
      <c r="AW247" s="30"/>
    </row>
    <row r="248" customFormat="false" ht="19.5" hidden="false" customHeight="true" outlineLevel="0" collapsed="false">
      <c r="A248" s="28" t="str">
        <f aca="false">IF($C248="","",COUNTA($C$6:$C248))</f>
        <v/>
      </c>
      <c r="B248" s="29"/>
      <c r="C248" s="30"/>
      <c r="D248" s="29"/>
      <c r="E248" s="31" t="str">
        <f aca="false">IF($C248="","",IF(NOT(OR(M248="Completed",M248="NA",M248="Cancelled")),"S1 Schematic",IF(NOT(OR(Q248="Completed",Q248="NA",Q248="Cancelled")),"S2 PCB Layout",IF(NOT(OR(U248="Completed",U248="NA",U248="Cancelled")),"S3 SI &amp; PI",IF(NOT(OR(Y248="Completed",Y248="NA",Y248="Cancelled")),"S4 Bare-PCB Fab",IF(NOT(OR(AC248="Completed",AC248="NA",AC248="Cancelled")),"S5 Assembly",IF(NOT(OR(AG248="Completed",AG248="NA",AG248="Cancelled")),"S6 Bring-up",IF(NOT(OR(AK248="Completed",AK248="NA",AK248="Cancelled")),"S7 BOM Procurement","All Stages Closed"))))))))</f>
        <v/>
      </c>
      <c r="F248" s="32" t="str">
        <f aca="false">IF($C248="","",IF(COUNTIF(M248,"Cancelled")+COUNTIF(Q248,"Cancelled")+COUNTIF(U248,"Cancelled")+COUNTIF(Y248,"Cancelled")+COUNTIF(AC248,"Cancelled")+COUNTIF(AG248,"Cancelled")+COUNTIF(AK248,"Cancelled")&gt;0,"Cancelled",IF(E248="All Stages Closed","Completed",IF(E248="S1 Schematic",M248,IF(E248="S2 PCB Layout",Q248,IF(E248="S3 SI &amp; PI",U248,IF(E248="S4 Bare-PCB Fab",Y248,IF(E248="S5 Assembly",AC248,IF(E248="S6 Bring-up",AG248,AK248)))))))))</f>
        <v/>
      </c>
      <c r="G248" s="33" t="str">
        <f aca="false">IF($C248="","",IF(E248="All Stages Closed","",IF(E248="S1 Schematic",IF(N248="","Not added",N248),IF(E248="S2 PCB Layout",IF(R248="","Not added",R248),IF(E248="S3 SI &amp; PI",IF(V248="","Not added",V248),IF(E248="S4 Bare-PCB Fab",IF(Z248="","Not added",Z248),IF(E248="S5 Assembly",IF(AD248="","Not added",AD248),IF(E248="S6 Bring-up",IF(AH248="","Not added",AH248),IF(AL248="","Not added",AL248)))))))))</f>
        <v/>
      </c>
      <c r="H248" s="32" t="str">
        <f aca="true">IF($C248="","",IF(OR(F248="Completed",F248="Cancelled"),"",IF(NOT(ISNUMBER(G248)),"No date set",IF(TODAY()&gt;G248,TODAY()-G248&amp;" days late",G248-TODAY()&amp;" days left"))))</f>
        <v/>
      </c>
      <c r="I248" s="31" t="str">
        <f aca="false">IF($C248="","",COUNTIF(M248,"Completed")+COUNTIF(Q248,"Completed")+COUNTIF(U248,"Completed")+COUNTIF(Y248,"Completed")+COUNTIF(AC248,"Completed")+COUNTIF(AG248,"Completed")+COUNTIF(AK248,"Completed"))</f>
        <v/>
      </c>
      <c r="J248" s="31" t="str">
        <f aca="false">IF($C248="","",7-(COUNTIF(M248,"NA")+COUNTIF(Q248,"NA")+COUNTIF(U248,"NA")+COUNTIF(Y248,"NA")+COUNTIF(AC248,"NA")+COUNTIF(AG248,"NA")+COUNTIF(AK248,"NA")))</f>
        <v/>
      </c>
      <c r="K248" s="34" t="str">
        <f aca="false">IFERROR(I248/J248,"")</f>
        <v/>
      </c>
      <c r="L248" s="29"/>
      <c r="M248" s="35"/>
      <c r="N248" s="36"/>
      <c r="O248" s="36"/>
      <c r="P248" s="29"/>
      <c r="Q248" s="35"/>
      <c r="R248" s="36"/>
      <c r="S248" s="36"/>
      <c r="T248" s="29"/>
      <c r="U248" s="35"/>
      <c r="V248" s="36"/>
      <c r="W248" s="36"/>
      <c r="X248" s="29"/>
      <c r="Y248" s="35"/>
      <c r="Z248" s="36"/>
      <c r="AA248" s="36"/>
      <c r="AB248" s="29"/>
      <c r="AC248" s="35"/>
      <c r="AD248" s="36"/>
      <c r="AE248" s="36"/>
      <c r="AF248" s="29"/>
      <c r="AG248" s="35"/>
      <c r="AH248" s="36"/>
      <c r="AI248" s="36"/>
      <c r="AJ248" s="29"/>
      <c r="AK248" s="35"/>
      <c r="AL248" s="36"/>
      <c r="AM248" s="36"/>
      <c r="AN248" s="29"/>
      <c r="AO248" s="29"/>
      <c r="AP248" s="29"/>
      <c r="AQ248" s="37"/>
      <c r="AR248" s="39" t="str">
        <f aca="false">IF(AN248&lt;&gt;"Yes","",IF(AO248="","SELECT RE-ENTRY STAGE","MOVE TO ACTIVE at "&amp;AO248))</f>
        <v/>
      </c>
      <c r="AS248" s="40" t="str">
        <f aca="false">IF(AN248="Yes",COUNTIF($AN$6:AN248,"Yes"),"")</f>
        <v/>
      </c>
      <c r="AT248" s="29"/>
      <c r="AU248" s="38" t="str">
        <f aca="false">IF($C248="","",IF(OR(F248="Completed",F248="Cancelled"),"",IF(AND(OR(F248="On Hold",ISNUMBER(VALUE(LEFT(H248,2)))),AT248=""),"Reason not given","")))</f>
        <v/>
      </c>
      <c r="AV248" s="30"/>
      <c r="AW248" s="30"/>
    </row>
    <row r="249" customFormat="false" ht="19.5" hidden="false" customHeight="true" outlineLevel="0" collapsed="false">
      <c r="A249" s="28" t="str">
        <f aca="false">IF($C249="","",COUNTA($C$6:$C249))</f>
        <v/>
      </c>
      <c r="B249" s="29"/>
      <c r="C249" s="30"/>
      <c r="D249" s="29"/>
      <c r="E249" s="31" t="str">
        <f aca="false">IF($C249="","",IF(NOT(OR(M249="Completed",M249="NA",M249="Cancelled")),"S1 Schematic",IF(NOT(OR(Q249="Completed",Q249="NA",Q249="Cancelled")),"S2 PCB Layout",IF(NOT(OR(U249="Completed",U249="NA",U249="Cancelled")),"S3 SI &amp; PI",IF(NOT(OR(Y249="Completed",Y249="NA",Y249="Cancelled")),"S4 Bare-PCB Fab",IF(NOT(OR(AC249="Completed",AC249="NA",AC249="Cancelled")),"S5 Assembly",IF(NOT(OR(AG249="Completed",AG249="NA",AG249="Cancelled")),"S6 Bring-up",IF(NOT(OR(AK249="Completed",AK249="NA",AK249="Cancelled")),"S7 BOM Procurement","All Stages Closed"))))))))</f>
        <v/>
      </c>
      <c r="F249" s="32" t="str">
        <f aca="false">IF($C249="","",IF(COUNTIF(M249,"Cancelled")+COUNTIF(Q249,"Cancelled")+COUNTIF(U249,"Cancelled")+COUNTIF(Y249,"Cancelled")+COUNTIF(AC249,"Cancelled")+COUNTIF(AG249,"Cancelled")+COUNTIF(AK249,"Cancelled")&gt;0,"Cancelled",IF(E249="All Stages Closed","Completed",IF(E249="S1 Schematic",M249,IF(E249="S2 PCB Layout",Q249,IF(E249="S3 SI &amp; PI",U249,IF(E249="S4 Bare-PCB Fab",Y249,IF(E249="S5 Assembly",AC249,IF(E249="S6 Bring-up",AG249,AK249)))))))))</f>
        <v/>
      </c>
      <c r="G249" s="33" t="str">
        <f aca="false">IF($C249="","",IF(E249="All Stages Closed","",IF(E249="S1 Schematic",IF(N249="","Not added",N249),IF(E249="S2 PCB Layout",IF(R249="","Not added",R249),IF(E249="S3 SI &amp; PI",IF(V249="","Not added",V249),IF(E249="S4 Bare-PCB Fab",IF(Z249="","Not added",Z249),IF(E249="S5 Assembly",IF(AD249="","Not added",AD249),IF(E249="S6 Bring-up",IF(AH249="","Not added",AH249),IF(AL249="","Not added",AL249)))))))))</f>
        <v/>
      </c>
      <c r="H249" s="32" t="str">
        <f aca="true">IF($C249="","",IF(OR(F249="Completed",F249="Cancelled"),"",IF(NOT(ISNUMBER(G249)),"No date set",IF(TODAY()&gt;G249,TODAY()-G249&amp;" days late",G249-TODAY()&amp;" days left"))))</f>
        <v/>
      </c>
      <c r="I249" s="31" t="str">
        <f aca="false">IF($C249="","",COUNTIF(M249,"Completed")+COUNTIF(Q249,"Completed")+COUNTIF(U249,"Completed")+COUNTIF(Y249,"Completed")+COUNTIF(AC249,"Completed")+COUNTIF(AG249,"Completed")+COUNTIF(AK249,"Completed"))</f>
        <v/>
      </c>
      <c r="J249" s="31" t="str">
        <f aca="false">IF($C249="","",7-(COUNTIF(M249,"NA")+COUNTIF(Q249,"NA")+COUNTIF(U249,"NA")+COUNTIF(Y249,"NA")+COUNTIF(AC249,"NA")+COUNTIF(AG249,"NA")+COUNTIF(AK249,"NA")))</f>
        <v/>
      </c>
      <c r="K249" s="34" t="str">
        <f aca="false">IFERROR(I249/J249,"")</f>
        <v/>
      </c>
      <c r="L249" s="29"/>
      <c r="M249" s="35"/>
      <c r="N249" s="36"/>
      <c r="O249" s="36"/>
      <c r="P249" s="29"/>
      <c r="Q249" s="35"/>
      <c r="R249" s="36"/>
      <c r="S249" s="36"/>
      <c r="T249" s="29"/>
      <c r="U249" s="35"/>
      <c r="V249" s="36"/>
      <c r="W249" s="36"/>
      <c r="X249" s="29"/>
      <c r="Y249" s="35"/>
      <c r="Z249" s="36"/>
      <c r="AA249" s="36"/>
      <c r="AB249" s="29"/>
      <c r="AC249" s="35"/>
      <c r="AD249" s="36"/>
      <c r="AE249" s="36"/>
      <c r="AF249" s="29"/>
      <c r="AG249" s="35"/>
      <c r="AH249" s="36"/>
      <c r="AI249" s="36"/>
      <c r="AJ249" s="29"/>
      <c r="AK249" s="35"/>
      <c r="AL249" s="36"/>
      <c r="AM249" s="36"/>
      <c r="AN249" s="29"/>
      <c r="AO249" s="29"/>
      <c r="AP249" s="29"/>
      <c r="AQ249" s="37"/>
      <c r="AR249" s="39" t="str">
        <f aca="false">IF(AN249&lt;&gt;"Yes","",IF(AO249="","SELECT RE-ENTRY STAGE","MOVE TO ACTIVE at "&amp;AO249))</f>
        <v/>
      </c>
      <c r="AS249" s="40" t="str">
        <f aca="false">IF(AN249="Yes",COUNTIF($AN$6:AN249,"Yes"),"")</f>
        <v/>
      </c>
      <c r="AT249" s="29"/>
      <c r="AU249" s="38" t="str">
        <f aca="false">IF($C249="","",IF(OR(F249="Completed",F249="Cancelled"),"",IF(AND(OR(F249="On Hold",ISNUMBER(VALUE(LEFT(H249,2)))),AT249=""),"Reason not given","")))</f>
        <v/>
      </c>
      <c r="AV249" s="30"/>
      <c r="AW249" s="30"/>
    </row>
    <row r="250" customFormat="false" ht="19.5" hidden="false" customHeight="true" outlineLevel="0" collapsed="false">
      <c r="A250" s="28" t="str">
        <f aca="false">IF($C250="","",COUNTA($C$6:$C250))</f>
        <v/>
      </c>
      <c r="B250" s="29"/>
      <c r="C250" s="30"/>
      <c r="D250" s="29"/>
      <c r="E250" s="31" t="str">
        <f aca="false">IF($C250="","",IF(NOT(OR(M250="Completed",M250="NA",M250="Cancelled")),"S1 Schematic",IF(NOT(OR(Q250="Completed",Q250="NA",Q250="Cancelled")),"S2 PCB Layout",IF(NOT(OR(U250="Completed",U250="NA",U250="Cancelled")),"S3 SI &amp; PI",IF(NOT(OR(Y250="Completed",Y250="NA",Y250="Cancelled")),"S4 Bare-PCB Fab",IF(NOT(OR(AC250="Completed",AC250="NA",AC250="Cancelled")),"S5 Assembly",IF(NOT(OR(AG250="Completed",AG250="NA",AG250="Cancelled")),"S6 Bring-up",IF(NOT(OR(AK250="Completed",AK250="NA",AK250="Cancelled")),"S7 BOM Procurement","All Stages Closed"))))))))</f>
        <v/>
      </c>
      <c r="F250" s="32" t="str">
        <f aca="false">IF($C250="","",IF(COUNTIF(M250,"Cancelled")+COUNTIF(Q250,"Cancelled")+COUNTIF(U250,"Cancelled")+COUNTIF(Y250,"Cancelled")+COUNTIF(AC250,"Cancelled")+COUNTIF(AG250,"Cancelled")+COUNTIF(AK250,"Cancelled")&gt;0,"Cancelled",IF(E250="All Stages Closed","Completed",IF(E250="S1 Schematic",M250,IF(E250="S2 PCB Layout",Q250,IF(E250="S3 SI &amp; PI",U250,IF(E250="S4 Bare-PCB Fab",Y250,IF(E250="S5 Assembly",AC250,IF(E250="S6 Bring-up",AG250,AK250)))))))))</f>
        <v/>
      </c>
      <c r="G250" s="33" t="str">
        <f aca="false">IF($C250="","",IF(E250="All Stages Closed","",IF(E250="S1 Schematic",IF(N250="","Not added",N250),IF(E250="S2 PCB Layout",IF(R250="","Not added",R250),IF(E250="S3 SI &amp; PI",IF(V250="","Not added",V250),IF(E250="S4 Bare-PCB Fab",IF(Z250="","Not added",Z250),IF(E250="S5 Assembly",IF(AD250="","Not added",AD250),IF(E250="S6 Bring-up",IF(AH250="","Not added",AH250),IF(AL250="","Not added",AL250)))))))))</f>
        <v/>
      </c>
      <c r="H250" s="32" t="str">
        <f aca="true">IF($C250="","",IF(OR(F250="Completed",F250="Cancelled"),"",IF(NOT(ISNUMBER(G250)),"No date set",IF(TODAY()&gt;G250,TODAY()-G250&amp;" days late",G250-TODAY()&amp;" days left"))))</f>
        <v/>
      </c>
      <c r="I250" s="31" t="str">
        <f aca="false">IF($C250="","",COUNTIF(M250,"Completed")+COUNTIF(Q250,"Completed")+COUNTIF(U250,"Completed")+COUNTIF(Y250,"Completed")+COUNTIF(AC250,"Completed")+COUNTIF(AG250,"Completed")+COUNTIF(AK250,"Completed"))</f>
        <v/>
      </c>
      <c r="J250" s="31" t="str">
        <f aca="false">IF($C250="","",7-(COUNTIF(M250,"NA")+COUNTIF(Q250,"NA")+COUNTIF(U250,"NA")+COUNTIF(Y250,"NA")+COUNTIF(AC250,"NA")+COUNTIF(AG250,"NA")+COUNTIF(AK250,"NA")))</f>
        <v/>
      </c>
      <c r="K250" s="34" t="str">
        <f aca="false">IFERROR(I250/J250,"")</f>
        <v/>
      </c>
      <c r="L250" s="29"/>
      <c r="M250" s="35"/>
      <c r="N250" s="36"/>
      <c r="O250" s="36"/>
      <c r="P250" s="29"/>
      <c r="Q250" s="35"/>
      <c r="R250" s="36"/>
      <c r="S250" s="36"/>
      <c r="T250" s="29"/>
      <c r="U250" s="35"/>
      <c r="V250" s="36"/>
      <c r="W250" s="36"/>
      <c r="X250" s="29"/>
      <c r="Y250" s="35"/>
      <c r="Z250" s="36"/>
      <c r="AA250" s="36"/>
      <c r="AB250" s="29"/>
      <c r="AC250" s="35"/>
      <c r="AD250" s="36"/>
      <c r="AE250" s="36"/>
      <c r="AF250" s="29"/>
      <c r="AG250" s="35"/>
      <c r="AH250" s="36"/>
      <c r="AI250" s="36"/>
      <c r="AJ250" s="29"/>
      <c r="AK250" s="35"/>
      <c r="AL250" s="36"/>
      <c r="AM250" s="36"/>
      <c r="AN250" s="29"/>
      <c r="AO250" s="29"/>
      <c r="AP250" s="29"/>
      <c r="AQ250" s="37"/>
      <c r="AR250" s="39" t="str">
        <f aca="false">IF(AN250&lt;&gt;"Yes","",IF(AO250="","SELECT RE-ENTRY STAGE","MOVE TO ACTIVE at "&amp;AO250))</f>
        <v/>
      </c>
      <c r="AS250" s="40" t="str">
        <f aca="false">IF(AN250="Yes",COUNTIF($AN$6:AN250,"Yes"),"")</f>
        <v/>
      </c>
      <c r="AT250" s="29"/>
      <c r="AU250" s="38" t="str">
        <f aca="false">IF($C250="","",IF(OR(F250="Completed",F250="Cancelled"),"",IF(AND(OR(F250="On Hold",ISNUMBER(VALUE(LEFT(H250,2)))),AT250=""),"Reason not given","")))</f>
        <v/>
      </c>
      <c r="AV250" s="30"/>
      <c r="AW250" s="30"/>
    </row>
    <row r="251" customFormat="false" ht="19.5" hidden="false" customHeight="true" outlineLevel="0" collapsed="false">
      <c r="A251" s="28" t="str">
        <f aca="false">IF($C251="","",COUNTA($C$6:$C251))</f>
        <v/>
      </c>
      <c r="B251" s="29"/>
      <c r="C251" s="30"/>
      <c r="D251" s="29"/>
      <c r="E251" s="31" t="str">
        <f aca="false">IF($C251="","",IF(NOT(OR(M251="Completed",M251="NA",M251="Cancelled")),"S1 Schematic",IF(NOT(OR(Q251="Completed",Q251="NA",Q251="Cancelled")),"S2 PCB Layout",IF(NOT(OR(U251="Completed",U251="NA",U251="Cancelled")),"S3 SI &amp; PI",IF(NOT(OR(Y251="Completed",Y251="NA",Y251="Cancelled")),"S4 Bare-PCB Fab",IF(NOT(OR(AC251="Completed",AC251="NA",AC251="Cancelled")),"S5 Assembly",IF(NOT(OR(AG251="Completed",AG251="NA",AG251="Cancelled")),"S6 Bring-up",IF(NOT(OR(AK251="Completed",AK251="NA",AK251="Cancelled")),"S7 BOM Procurement","All Stages Closed"))))))))</f>
        <v/>
      </c>
      <c r="F251" s="32" t="str">
        <f aca="false">IF($C251="","",IF(COUNTIF(M251,"Cancelled")+COUNTIF(Q251,"Cancelled")+COUNTIF(U251,"Cancelled")+COUNTIF(Y251,"Cancelled")+COUNTIF(AC251,"Cancelled")+COUNTIF(AG251,"Cancelled")+COUNTIF(AK251,"Cancelled")&gt;0,"Cancelled",IF(E251="All Stages Closed","Completed",IF(E251="S1 Schematic",M251,IF(E251="S2 PCB Layout",Q251,IF(E251="S3 SI &amp; PI",U251,IF(E251="S4 Bare-PCB Fab",Y251,IF(E251="S5 Assembly",AC251,IF(E251="S6 Bring-up",AG251,AK251)))))))))</f>
        <v/>
      </c>
      <c r="G251" s="33" t="str">
        <f aca="false">IF($C251="","",IF(E251="All Stages Closed","",IF(E251="S1 Schematic",IF(N251="","Not added",N251),IF(E251="S2 PCB Layout",IF(R251="","Not added",R251),IF(E251="S3 SI &amp; PI",IF(V251="","Not added",V251),IF(E251="S4 Bare-PCB Fab",IF(Z251="","Not added",Z251),IF(E251="S5 Assembly",IF(AD251="","Not added",AD251),IF(E251="S6 Bring-up",IF(AH251="","Not added",AH251),IF(AL251="","Not added",AL251)))))))))</f>
        <v/>
      </c>
      <c r="H251" s="32" t="str">
        <f aca="true">IF($C251="","",IF(OR(F251="Completed",F251="Cancelled"),"",IF(NOT(ISNUMBER(G251)),"No date set",IF(TODAY()&gt;G251,TODAY()-G251&amp;" days late",G251-TODAY()&amp;" days left"))))</f>
        <v/>
      </c>
      <c r="I251" s="31" t="str">
        <f aca="false">IF($C251="","",COUNTIF(M251,"Completed")+COUNTIF(Q251,"Completed")+COUNTIF(U251,"Completed")+COUNTIF(Y251,"Completed")+COUNTIF(AC251,"Completed")+COUNTIF(AG251,"Completed")+COUNTIF(AK251,"Completed"))</f>
        <v/>
      </c>
      <c r="J251" s="31" t="str">
        <f aca="false">IF($C251="","",7-(COUNTIF(M251,"NA")+COUNTIF(Q251,"NA")+COUNTIF(U251,"NA")+COUNTIF(Y251,"NA")+COUNTIF(AC251,"NA")+COUNTIF(AG251,"NA")+COUNTIF(AK251,"NA")))</f>
        <v/>
      </c>
      <c r="K251" s="34" t="str">
        <f aca="false">IFERROR(I251/J251,"")</f>
        <v/>
      </c>
      <c r="L251" s="29"/>
      <c r="M251" s="35"/>
      <c r="N251" s="36"/>
      <c r="O251" s="36"/>
      <c r="P251" s="29"/>
      <c r="Q251" s="35"/>
      <c r="R251" s="36"/>
      <c r="S251" s="36"/>
      <c r="T251" s="29"/>
      <c r="U251" s="35"/>
      <c r="V251" s="36"/>
      <c r="W251" s="36"/>
      <c r="X251" s="29"/>
      <c r="Y251" s="35"/>
      <c r="Z251" s="36"/>
      <c r="AA251" s="36"/>
      <c r="AB251" s="29"/>
      <c r="AC251" s="35"/>
      <c r="AD251" s="36"/>
      <c r="AE251" s="36"/>
      <c r="AF251" s="29"/>
      <c r="AG251" s="35"/>
      <c r="AH251" s="36"/>
      <c r="AI251" s="36"/>
      <c r="AJ251" s="29"/>
      <c r="AK251" s="35"/>
      <c r="AL251" s="36"/>
      <c r="AM251" s="36"/>
      <c r="AN251" s="29"/>
      <c r="AO251" s="29"/>
      <c r="AP251" s="29"/>
      <c r="AQ251" s="37"/>
      <c r="AR251" s="39" t="str">
        <f aca="false">IF(AN251&lt;&gt;"Yes","",IF(AO251="","SELECT RE-ENTRY STAGE","MOVE TO ACTIVE at "&amp;AO251))</f>
        <v/>
      </c>
      <c r="AS251" s="40" t="str">
        <f aca="false">IF(AN251="Yes",COUNTIF($AN$6:AN251,"Yes"),"")</f>
        <v/>
      </c>
      <c r="AT251" s="29"/>
      <c r="AU251" s="38" t="str">
        <f aca="false">IF($C251="","",IF(OR(F251="Completed",F251="Cancelled"),"",IF(AND(OR(F251="On Hold",ISNUMBER(VALUE(LEFT(H251,2)))),AT251=""),"Reason not given","")))</f>
        <v/>
      </c>
      <c r="AV251" s="30"/>
      <c r="AW251" s="30"/>
    </row>
    <row r="252" customFormat="false" ht="19.5" hidden="false" customHeight="true" outlineLevel="0" collapsed="false">
      <c r="A252" s="28" t="str">
        <f aca="false">IF($C252="","",COUNTA($C$6:$C252))</f>
        <v/>
      </c>
      <c r="B252" s="29"/>
      <c r="C252" s="30"/>
      <c r="D252" s="29"/>
      <c r="E252" s="31" t="str">
        <f aca="false">IF($C252="","",IF(NOT(OR(M252="Completed",M252="NA",M252="Cancelled")),"S1 Schematic",IF(NOT(OR(Q252="Completed",Q252="NA",Q252="Cancelled")),"S2 PCB Layout",IF(NOT(OR(U252="Completed",U252="NA",U252="Cancelled")),"S3 SI &amp; PI",IF(NOT(OR(Y252="Completed",Y252="NA",Y252="Cancelled")),"S4 Bare-PCB Fab",IF(NOT(OR(AC252="Completed",AC252="NA",AC252="Cancelled")),"S5 Assembly",IF(NOT(OR(AG252="Completed",AG252="NA",AG252="Cancelled")),"S6 Bring-up",IF(NOT(OR(AK252="Completed",AK252="NA",AK252="Cancelled")),"S7 BOM Procurement","All Stages Closed"))))))))</f>
        <v/>
      </c>
      <c r="F252" s="32" t="str">
        <f aca="false">IF($C252="","",IF(COUNTIF(M252,"Cancelled")+COUNTIF(Q252,"Cancelled")+COUNTIF(U252,"Cancelled")+COUNTIF(Y252,"Cancelled")+COUNTIF(AC252,"Cancelled")+COUNTIF(AG252,"Cancelled")+COUNTIF(AK252,"Cancelled")&gt;0,"Cancelled",IF(E252="All Stages Closed","Completed",IF(E252="S1 Schematic",M252,IF(E252="S2 PCB Layout",Q252,IF(E252="S3 SI &amp; PI",U252,IF(E252="S4 Bare-PCB Fab",Y252,IF(E252="S5 Assembly",AC252,IF(E252="S6 Bring-up",AG252,AK252)))))))))</f>
        <v/>
      </c>
      <c r="G252" s="33" t="str">
        <f aca="false">IF($C252="","",IF(E252="All Stages Closed","",IF(E252="S1 Schematic",IF(N252="","Not added",N252),IF(E252="S2 PCB Layout",IF(R252="","Not added",R252),IF(E252="S3 SI &amp; PI",IF(V252="","Not added",V252),IF(E252="S4 Bare-PCB Fab",IF(Z252="","Not added",Z252),IF(E252="S5 Assembly",IF(AD252="","Not added",AD252),IF(E252="S6 Bring-up",IF(AH252="","Not added",AH252),IF(AL252="","Not added",AL252)))))))))</f>
        <v/>
      </c>
      <c r="H252" s="32" t="str">
        <f aca="true">IF($C252="","",IF(OR(F252="Completed",F252="Cancelled"),"",IF(NOT(ISNUMBER(G252)),"No date set",IF(TODAY()&gt;G252,TODAY()-G252&amp;" days late",G252-TODAY()&amp;" days left"))))</f>
        <v/>
      </c>
      <c r="I252" s="31" t="str">
        <f aca="false">IF($C252="","",COUNTIF(M252,"Completed")+COUNTIF(Q252,"Completed")+COUNTIF(U252,"Completed")+COUNTIF(Y252,"Completed")+COUNTIF(AC252,"Completed")+COUNTIF(AG252,"Completed")+COUNTIF(AK252,"Completed"))</f>
        <v/>
      </c>
      <c r="J252" s="31" t="str">
        <f aca="false">IF($C252="","",7-(COUNTIF(M252,"NA")+COUNTIF(Q252,"NA")+COUNTIF(U252,"NA")+COUNTIF(Y252,"NA")+COUNTIF(AC252,"NA")+COUNTIF(AG252,"NA")+COUNTIF(AK252,"NA")))</f>
        <v/>
      </c>
      <c r="K252" s="34" t="str">
        <f aca="false">IFERROR(I252/J252,"")</f>
        <v/>
      </c>
      <c r="L252" s="29"/>
      <c r="M252" s="35"/>
      <c r="N252" s="36"/>
      <c r="O252" s="36"/>
      <c r="P252" s="29"/>
      <c r="Q252" s="35"/>
      <c r="R252" s="36"/>
      <c r="S252" s="36"/>
      <c r="T252" s="29"/>
      <c r="U252" s="35"/>
      <c r="V252" s="36"/>
      <c r="W252" s="36"/>
      <c r="X252" s="29"/>
      <c r="Y252" s="35"/>
      <c r="Z252" s="36"/>
      <c r="AA252" s="36"/>
      <c r="AB252" s="29"/>
      <c r="AC252" s="35"/>
      <c r="AD252" s="36"/>
      <c r="AE252" s="36"/>
      <c r="AF252" s="29"/>
      <c r="AG252" s="35"/>
      <c r="AH252" s="36"/>
      <c r="AI252" s="36"/>
      <c r="AJ252" s="29"/>
      <c r="AK252" s="35"/>
      <c r="AL252" s="36"/>
      <c r="AM252" s="36"/>
      <c r="AN252" s="29"/>
      <c r="AO252" s="29"/>
      <c r="AP252" s="29"/>
      <c r="AQ252" s="37"/>
      <c r="AR252" s="39" t="str">
        <f aca="false">IF(AN252&lt;&gt;"Yes","",IF(AO252="","SELECT RE-ENTRY STAGE","MOVE TO ACTIVE at "&amp;AO252))</f>
        <v/>
      </c>
      <c r="AS252" s="40" t="str">
        <f aca="false">IF(AN252="Yes",COUNTIF($AN$6:AN252,"Yes"),"")</f>
        <v/>
      </c>
      <c r="AT252" s="29"/>
      <c r="AU252" s="38" t="str">
        <f aca="false">IF($C252="","",IF(OR(F252="Completed",F252="Cancelled"),"",IF(AND(OR(F252="On Hold",ISNUMBER(VALUE(LEFT(H252,2)))),AT252=""),"Reason not given","")))</f>
        <v/>
      </c>
      <c r="AV252" s="30"/>
      <c r="AW252" s="30"/>
    </row>
    <row r="253" customFormat="false" ht="19.5" hidden="false" customHeight="true" outlineLevel="0" collapsed="false">
      <c r="A253" s="28" t="str">
        <f aca="false">IF($C253="","",COUNTA($C$6:$C253))</f>
        <v/>
      </c>
      <c r="B253" s="29"/>
      <c r="C253" s="30"/>
      <c r="D253" s="29"/>
      <c r="E253" s="31" t="str">
        <f aca="false">IF($C253="","",IF(NOT(OR(M253="Completed",M253="NA",M253="Cancelled")),"S1 Schematic",IF(NOT(OR(Q253="Completed",Q253="NA",Q253="Cancelled")),"S2 PCB Layout",IF(NOT(OR(U253="Completed",U253="NA",U253="Cancelled")),"S3 SI &amp; PI",IF(NOT(OR(Y253="Completed",Y253="NA",Y253="Cancelled")),"S4 Bare-PCB Fab",IF(NOT(OR(AC253="Completed",AC253="NA",AC253="Cancelled")),"S5 Assembly",IF(NOT(OR(AG253="Completed",AG253="NA",AG253="Cancelled")),"S6 Bring-up",IF(NOT(OR(AK253="Completed",AK253="NA",AK253="Cancelled")),"S7 BOM Procurement","All Stages Closed"))))))))</f>
        <v/>
      </c>
      <c r="F253" s="32" t="str">
        <f aca="false">IF($C253="","",IF(COUNTIF(M253,"Cancelled")+COUNTIF(Q253,"Cancelled")+COUNTIF(U253,"Cancelled")+COUNTIF(Y253,"Cancelled")+COUNTIF(AC253,"Cancelled")+COUNTIF(AG253,"Cancelled")+COUNTIF(AK253,"Cancelled")&gt;0,"Cancelled",IF(E253="All Stages Closed","Completed",IF(E253="S1 Schematic",M253,IF(E253="S2 PCB Layout",Q253,IF(E253="S3 SI &amp; PI",U253,IF(E253="S4 Bare-PCB Fab",Y253,IF(E253="S5 Assembly",AC253,IF(E253="S6 Bring-up",AG253,AK253)))))))))</f>
        <v/>
      </c>
      <c r="G253" s="33" t="str">
        <f aca="false">IF($C253="","",IF(E253="All Stages Closed","",IF(E253="S1 Schematic",IF(N253="","Not added",N253),IF(E253="S2 PCB Layout",IF(R253="","Not added",R253),IF(E253="S3 SI &amp; PI",IF(V253="","Not added",V253),IF(E253="S4 Bare-PCB Fab",IF(Z253="","Not added",Z253),IF(E253="S5 Assembly",IF(AD253="","Not added",AD253),IF(E253="S6 Bring-up",IF(AH253="","Not added",AH253),IF(AL253="","Not added",AL253)))))))))</f>
        <v/>
      </c>
      <c r="H253" s="32" t="str">
        <f aca="true">IF($C253="","",IF(OR(F253="Completed",F253="Cancelled"),"",IF(NOT(ISNUMBER(G253)),"No date set",IF(TODAY()&gt;G253,TODAY()-G253&amp;" days late",G253-TODAY()&amp;" days left"))))</f>
        <v/>
      </c>
      <c r="I253" s="31" t="str">
        <f aca="false">IF($C253="","",COUNTIF(M253,"Completed")+COUNTIF(Q253,"Completed")+COUNTIF(U253,"Completed")+COUNTIF(Y253,"Completed")+COUNTIF(AC253,"Completed")+COUNTIF(AG253,"Completed")+COUNTIF(AK253,"Completed"))</f>
        <v/>
      </c>
      <c r="J253" s="31" t="str">
        <f aca="false">IF($C253="","",7-(COUNTIF(M253,"NA")+COUNTIF(Q253,"NA")+COUNTIF(U253,"NA")+COUNTIF(Y253,"NA")+COUNTIF(AC253,"NA")+COUNTIF(AG253,"NA")+COUNTIF(AK253,"NA")))</f>
        <v/>
      </c>
      <c r="K253" s="34" t="str">
        <f aca="false">IFERROR(I253/J253,"")</f>
        <v/>
      </c>
      <c r="L253" s="29"/>
      <c r="M253" s="35"/>
      <c r="N253" s="36"/>
      <c r="O253" s="36"/>
      <c r="P253" s="29"/>
      <c r="Q253" s="35"/>
      <c r="R253" s="36"/>
      <c r="S253" s="36"/>
      <c r="T253" s="29"/>
      <c r="U253" s="35"/>
      <c r="V253" s="36"/>
      <c r="W253" s="36"/>
      <c r="X253" s="29"/>
      <c r="Y253" s="35"/>
      <c r="Z253" s="36"/>
      <c r="AA253" s="36"/>
      <c r="AB253" s="29"/>
      <c r="AC253" s="35"/>
      <c r="AD253" s="36"/>
      <c r="AE253" s="36"/>
      <c r="AF253" s="29"/>
      <c r="AG253" s="35"/>
      <c r="AH253" s="36"/>
      <c r="AI253" s="36"/>
      <c r="AJ253" s="29"/>
      <c r="AK253" s="35"/>
      <c r="AL253" s="36"/>
      <c r="AM253" s="36"/>
      <c r="AN253" s="29"/>
      <c r="AO253" s="29"/>
      <c r="AP253" s="29"/>
      <c r="AQ253" s="37"/>
      <c r="AR253" s="39" t="str">
        <f aca="false">IF(AN253&lt;&gt;"Yes","",IF(AO253="","SELECT RE-ENTRY STAGE","MOVE TO ACTIVE at "&amp;AO253))</f>
        <v/>
      </c>
      <c r="AS253" s="40" t="str">
        <f aca="false">IF(AN253="Yes",COUNTIF($AN$6:AN253,"Yes"),"")</f>
        <v/>
      </c>
      <c r="AT253" s="29"/>
      <c r="AU253" s="38" t="str">
        <f aca="false">IF($C253="","",IF(OR(F253="Completed",F253="Cancelled"),"",IF(AND(OR(F253="On Hold",ISNUMBER(VALUE(LEFT(H253,2)))),AT253=""),"Reason not given","")))</f>
        <v/>
      </c>
      <c r="AV253" s="30"/>
      <c r="AW253" s="30"/>
    </row>
    <row r="254" customFormat="false" ht="19.5" hidden="false" customHeight="true" outlineLevel="0" collapsed="false">
      <c r="A254" s="28" t="str">
        <f aca="false">IF($C254="","",COUNTA($C$6:$C254))</f>
        <v/>
      </c>
      <c r="B254" s="29"/>
      <c r="C254" s="30"/>
      <c r="D254" s="29"/>
      <c r="E254" s="31" t="str">
        <f aca="false">IF($C254="","",IF(NOT(OR(M254="Completed",M254="NA",M254="Cancelled")),"S1 Schematic",IF(NOT(OR(Q254="Completed",Q254="NA",Q254="Cancelled")),"S2 PCB Layout",IF(NOT(OR(U254="Completed",U254="NA",U254="Cancelled")),"S3 SI &amp; PI",IF(NOT(OR(Y254="Completed",Y254="NA",Y254="Cancelled")),"S4 Bare-PCB Fab",IF(NOT(OR(AC254="Completed",AC254="NA",AC254="Cancelled")),"S5 Assembly",IF(NOT(OR(AG254="Completed",AG254="NA",AG254="Cancelled")),"S6 Bring-up",IF(NOT(OR(AK254="Completed",AK254="NA",AK254="Cancelled")),"S7 BOM Procurement","All Stages Closed"))))))))</f>
        <v/>
      </c>
      <c r="F254" s="32" t="str">
        <f aca="false">IF($C254="","",IF(COUNTIF(M254,"Cancelled")+COUNTIF(Q254,"Cancelled")+COUNTIF(U254,"Cancelled")+COUNTIF(Y254,"Cancelled")+COUNTIF(AC254,"Cancelled")+COUNTIF(AG254,"Cancelled")+COUNTIF(AK254,"Cancelled")&gt;0,"Cancelled",IF(E254="All Stages Closed","Completed",IF(E254="S1 Schematic",M254,IF(E254="S2 PCB Layout",Q254,IF(E254="S3 SI &amp; PI",U254,IF(E254="S4 Bare-PCB Fab",Y254,IF(E254="S5 Assembly",AC254,IF(E254="S6 Bring-up",AG254,AK254)))))))))</f>
        <v/>
      </c>
      <c r="G254" s="33" t="str">
        <f aca="false">IF($C254="","",IF(E254="All Stages Closed","",IF(E254="S1 Schematic",IF(N254="","Not added",N254),IF(E254="S2 PCB Layout",IF(R254="","Not added",R254),IF(E254="S3 SI &amp; PI",IF(V254="","Not added",V254),IF(E254="S4 Bare-PCB Fab",IF(Z254="","Not added",Z254),IF(E254="S5 Assembly",IF(AD254="","Not added",AD254),IF(E254="S6 Bring-up",IF(AH254="","Not added",AH254),IF(AL254="","Not added",AL254)))))))))</f>
        <v/>
      </c>
      <c r="H254" s="32" t="str">
        <f aca="true">IF($C254="","",IF(OR(F254="Completed",F254="Cancelled"),"",IF(NOT(ISNUMBER(G254)),"No date set",IF(TODAY()&gt;G254,TODAY()-G254&amp;" days late",G254-TODAY()&amp;" days left"))))</f>
        <v/>
      </c>
      <c r="I254" s="31" t="str">
        <f aca="false">IF($C254="","",COUNTIF(M254,"Completed")+COUNTIF(Q254,"Completed")+COUNTIF(U254,"Completed")+COUNTIF(Y254,"Completed")+COUNTIF(AC254,"Completed")+COUNTIF(AG254,"Completed")+COUNTIF(AK254,"Completed"))</f>
        <v/>
      </c>
      <c r="J254" s="31" t="str">
        <f aca="false">IF($C254="","",7-(COUNTIF(M254,"NA")+COUNTIF(Q254,"NA")+COUNTIF(U254,"NA")+COUNTIF(Y254,"NA")+COUNTIF(AC254,"NA")+COUNTIF(AG254,"NA")+COUNTIF(AK254,"NA")))</f>
        <v/>
      </c>
      <c r="K254" s="34" t="str">
        <f aca="false">IFERROR(I254/J254,"")</f>
        <v/>
      </c>
      <c r="L254" s="29"/>
      <c r="M254" s="35"/>
      <c r="N254" s="36"/>
      <c r="O254" s="36"/>
      <c r="P254" s="29"/>
      <c r="Q254" s="35"/>
      <c r="R254" s="36"/>
      <c r="S254" s="36"/>
      <c r="T254" s="29"/>
      <c r="U254" s="35"/>
      <c r="V254" s="36"/>
      <c r="W254" s="36"/>
      <c r="X254" s="29"/>
      <c r="Y254" s="35"/>
      <c r="Z254" s="36"/>
      <c r="AA254" s="36"/>
      <c r="AB254" s="29"/>
      <c r="AC254" s="35"/>
      <c r="AD254" s="36"/>
      <c r="AE254" s="36"/>
      <c r="AF254" s="29"/>
      <c r="AG254" s="35"/>
      <c r="AH254" s="36"/>
      <c r="AI254" s="36"/>
      <c r="AJ254" s="29"/>
      <c r="AK254" s="35"/>
      <c r="AL254" s="36"/>
      <c r="AM254" s="36"/>
      <c r="AN254" s="29"/>
      <c r="AO254" s="29"/>
      <c r="AP254" s="29"/>
      <c r="AQ254" s="37"/>
      <c r="AR254" s="39" t="str">
        <f aca="false">IF(AN254&lt;&gt;"Yes","",IF(AO254="","SELECT RE-ENTRY STAGE","MOVE TO ACTIVE at "&amp;AO254))</f>
        <v/>
      </c>
      <c r="AS254" s="40" t="str">
        <f aca="false">IF(AN254="Yes",COUNTIF($AN$6:AN254,"Yes"),"")</f>
        <v/>
      </c>
      <c r="AT254" s="29"/>
      <c r="AU254" s="38" t="str">
        <f aca="false">IF($C254="","",IF(OR(F254="Completed",F254="Cancelled"),"",IF(AND(OR(F254="On Hold",ISNUMBER(VALUE(LEFT(H254,2)))),AT254=""),"Reason not given","")))</f>
        <v/>
      </c>
      <c r="AV254" s="30"/>
      <c r="AW254" s="30"/>
    </row>
    <row r="255" customFormat="false" ht="19.5" hidden="false" customHeight="true" outlineLevel="0" collapsed="false">
      <c r="A255" s="28" t="str">
        <f aca="false">IF($C255="","",COUNTA($C$6:$C255))</f>
        <v/>
      </c>
      <c r="B255" s="29"/>
      <c r="C255" s="30"/>
      <c r="D255" s="29"/>
      <c r="E255" s="31" t="str">
        <f aca="false">IF($C255="","",IF(NOT(OR(M255="Completed",M255="NA",M255="Cancelled")),"S1 Schematic",IF(NOT(OR(Q255="Completed",Q255="NA",Q255="Cancelled")),"S2 PCB Layout",IF(NOT(OR(U255="Completed",U255="NA",U255="Cancelled")),"S3 SI &amp; PI",IF(NOT(OR(Y255="Completed",Y255="NA",Y255="Cancelled")),"S4 Bare-PCB Fab",IF(NOT(OR(AC255="Completed",AC255="NA",AC255="Cancelled")),"S5 Assembly",IF(NOT(OR(AG255="Completed",AG255="NA",AG255="Cancelled")),"S6 Bring-up",IF(NOT(OR(AK255="Completed",AK255="NA",AK255="Cancelled")),"S7 BOM Procurement","All Stages Closed"))))))))</f>
        <v/>
      </c>
      <c r="F255" s="32" t="str">
        <f aca="false">IF($C255="","",IF(COUNTIF(M255,"Cancelled")+COUNTIF(Q255,"Cancelled")+COUNTIF(U255,"Cancelled")+COUNTIF(Y255,"Cancelled")+COUNTIF(AC255,"Cancelled")+COUNTIF(AG255,"Cancelled")+COUNTIF(AK255,"Cancelled")&gt;0,"Cancelled",IF(E255="All Stages Closed","Completed",IF(E255="S1 Schematic",M255,IF(E255="S2 PCB Layout",Q255,IF(E255="S3 SI &amp; PI",U255,IF(E255="S4 Bare-PCB Fab",Y255,IF(E255="S5 Assembly",AC255,IF(E255="S6 Bring-up",AG255,AK255)))))))))</f>
        <v/>
      </c>
      <c r="G255" s="33" t="str">
        <f aca="false">IF($C255="","",IF(E255="All Stages Closed","",IF(E255="S1 Schematic",IF(N255="","Not added",N255),IF(E255="S2 PCB Layout",IF(R255="","Not added",R255),IF(E255="S3 SI &amp; PI",IF(V255="","Not added",V255),IF(E255="S4 Bare-PCB Fab",IF(Z255="","Not added",Z255),IF(E255="S5 Assembly",IF(AD255="","Not added",AD255),IF(E255="S6 Bring-up",IF(AH255="","Not added",AH255),IF(AL255="","Not added",AL255)))))))))</f>
        <v/>
      </c>
      <c r="H255" s="32" t="str">
        <f aca="true">IF($C255="","",IF(OR(F255="Completed",F255="Cancelled"),"",IF(NOT(ISNUMBER(G255)),"No date set",IF(TODAY()&gt;G255,TODAY()-G255&amp;" days late",G255-TODAY()&amp;" days left"))))</f>
        <v/>
      </c>
      <c r="I255" s="31" t="str">
        <f aca="false">IF($C255="","",COUNTIF(M255,"Completed")+COUNTIF(Q255,"Completed")+COUNTIF(U255,"Completed")+COUNTIF(Y255,"Completed")+COUNTIF(AC255,"Completed")+COUNTIF(AG255,"Completed")+COUNTIF(AK255,"Completed"))</f>
        <v/>
      </c>
      <c r="J255" s="31" t="str">
        <f aca="false">IF($C255="","",7-(COUNTIF(M255,"NA")+COUNTIF(Q255,"NA")+COUNTIF(U255,"NA")+COUNTIF(Y255,"NA")+COUNTIF(AC255,"NA")+COUNTIF(AG255,"NA")+COUNTIF(AK255,"NA")))</f>
        <v/>
      </c>
      <c r="K255" s="34" t="str">
        <f aca="false">IFERROR(I255/J255,"")</f>
        <v/>
      </c>
      <c r="L255" s="29"/>
      <c r="M255" s="35"/>
      <c r="N255" s="36"/>
      <c r="O255" s="36"/>
      <c r="P255" s="29"/>
      <c r="Q255" s="35"/>
      <c r="R255" s="36"/>
      <c r="S255" s="36"/>
      <c r="T255" s="29"/>
      <c r="U255" s="35"/>
      <c r="V255" s="36"/>
      <c r="W255" s="36"/>
      <c r="X255" s="29"/>
      <c r="Y255" s="35"/>
      <c r="Z255" s="36"/>
      <c r="AA255" s="36"/>
      <c r="AB255" s="29"/>
      <c r="AC255" s="35"/>
      <c r="AD255" s="36"/>
      <c r="AE255" s="36"/>
      <c r="AF255" s="29"/>
      <c r="AG255" s="35"/>
      <c r="AH255" s="36"/>
      <c r="AI255" s="36"/>
      <c r="AJ255" s="29"/>
      <c r="AK255" s="35"/>
      <c r="AL255" s="36"/>
      <c r="AM255" s="36"/>
      <c r="AN255" s="29"/>
      <c r="AO255" s="29"/>
      <c r="AP255" s="29"/>
      <c r="AQ255" s="37"/>
      <c r="AR255" s="39" t="str">
        <f aca="false">IF(AN255&lt;&gt;"Yes","",IF(AO255="","SELECT RE-ENTRY STAGE","MOVE TO ACTIVE at "&amp;AO255))</f>
        <v/>
      </c>
      <c r="AS255" s="40" t="str">
        <f aca="false">IF(AN255="Yes",COUNTIF($AN$6:AN255,"Yes"),"")</f>
        <v/>
      </c>
      <c r="AT255" s="29"/>
      <c r="AU255" s="38" t="str">
        <f aca="false">IF($C255="","",IF(OR(F255="Completed",F255="Cancelled"),"",IF(AND(OR(F255="On Hold",ISNUMBER(VALUE(LEFT(H255,2)))),AT255=""),"Reason not given","")))</f>
        <v/>
      </c>
      <c r="AV255" s="30"/>
      <c r="AW255" s="30"/>
    </row>
  </sheetData>
  <autoFilter ref="A5:AW255"/>
  <mergeCells count="12">
    <mergeCell ref="A2:R2"/>
    <mergeCell ref="A4:D4"/>
    <mergeCell ref="E4:K4"/>
    <mergeCell ref="L4:O4"/>
    <mergeCell ref="P4:S4"/>
    <mergeCell ref="T4:W4"/>
    <mergeCell ref="X4:AA4"/>
    <mergeCell ref="AB4:AE4"/>
    <mergeCell ref="AF4:AI4"/>
    <mergeCell ref="AJ4:AM4"/>
    <mergeCell ref="AN4:AS4"/>
    <mergeCell ref="AT4:AW4"/>
  </mergeCells>
  <conditionalFormatting sqref="F6:F255 M6:M255 Q6:Q255 U6:U255 Y6:Y255 AC6:AC255 AG6:AG255 AK6:AK255">
    <cfRule type="cellIs" priority="2" operator="equal" aboveAverage="0" equalAverage="0" bottom="0" percent="0" rank="0" text="" dxfId="6">
      <formula>"Completed"</formula>
    </cfRule>
    <cfRule type="cellIs" priority="3" operator="equal" aboveAverage="0" equalAverage="0" bottom="0" percent="0" rank="0" text="" dxfId="7">
      <formula>"In Progress"</formula>
    </cfRule>
    <cfRule type="cellIs" priority="4" operator="equal" aboveAverage="0" equalAverage="0" bottom="0" percent="0" rank="0" text="" dxfId="8">
      <formula>"On Hold"</formula>
    </cfRule>
    <cfRule type="cellIs" priority="5" operator="equal" aboveAverage="0" equalAverage="0" bottom="0" percent="0" rank="0" text="" dxfId="9">
      <formula>"Not Started"</formula>
    </cfRule>
    <cfRule type="cellIs" priority="6" operator="equal" aboveAverage="0" equalAverage="0" bottom="0" percent="0" rank="0" text="" dxfId="10">
      <formula>"Cancelled"</formula>
    </cfRule>
    <cfRule type="cellIs" priority="7" operator="equal" aboveAverage="0" equalAverage="0" bottom="0" percent="0" rank="0" text="" dxfId="11">
      <formula>"NA"</formula>
    </cfRule>
  </conditionalFormatting>
  <conditionalFormatting sqref="H6:H255">
    <cfRule type="expression" priority="8" aboveAverage="0" equalAverage="0" bottom="0" percent="0" rank="0" text="" dxfId="10">
      <formula>ISNUMBER(SEARCH("late",H6))</formula>
    </cfRule>
    <cfRule type="cellIs" priority="9" operator="equal" aboveAverage="0" equalAverage="0" bottom="0" percent="0" rank="0" text="" dxfId="12">
      <formula>"No date set"</formula>
    </cfRule>
  </conditionalFormatting>
  <conditionalFormatting sqref="AU6:AU255">
    <cfRule type="cellIs" priority="10" operator="equal" aboveAverage="0" equalAverage="0" bottom="0" percent="0" rank="0" text="" dxfId="7">
      <formula>"Reason not given"</formula>
    </cfRule>
  </conditionalFormatting>
  <conditionalFormatting sqref="A6:AW255">
    <cfRule type="expression" priority="11" aboveAverage="0" equalAverage="0" bottom="0" percent="0" rank="0" text="" dxfId="14">
      <formula>$AN6="Yes"</formula>
    </cfRule>
  </conditionalFormatting>
  <dataValidations count="19">
    <dataValidation allowBlank="true" error="Pick one of: Completed, In Progress, On Hold, Not Started, NA, Cancelled" errorStyle="stop" errorTitle="Status" operator="between" showDropDown="false" showErrorMessage="true" showInputMessage="false" sqref="M6:M255" type="list">
      <formula1>LISTS!$A$2:$A$7</formula1>
      <formula2>0</formula2>
    </dataValidation>
    <dataValidation allowBlank="true" error="Pick a name from EMPLOYEES, or add them there first." errorStyle="stop" errorTitle="Owner" operator="between" showDropDown="false" showErrorMessage="true" showInputMessage="false" sqref="L6:L255" type="list">
      <formula1>LISTS!$F$2:$F$59</formula1>
      <formula2>0</formula2>
    </dataValidation>
    <dataValidation allowBlank="true" error="Pick one of: Completed, In Progress, On Hold, Not Started, NA, Cancelled" errorStyle="stop" errorTitle="Status" operator="between" showDropDown="false" showErrorMessage="true" showInputMessage="false" sqref="Q6:Q255" type="list">
      <formula1>LISTS!$A$2:$A$7</formula1>
      <formula2>0</formula2>
    </dataValidation>
    <dataValidation allowBlank="true" error="Pick a name from EMPLOYEES, or add them there first." errorStyle="stop" errorTitle="Owner" operator="between" showDropDown="false" showErrorMessage="true" showInputMessage="false" sqref="P6:P255" type="list">
      <formula1>LISTS!$F$2:$F$59</formula1>
      <formula2>0</formula2>
    </dataValidation>
    <dataValidation allowBlank="true" error="Pick one of: Completed, In Progress, On Hold, Not Started, NA, Cancelled" errorStyle="stop" errorTitle="Status" operator="between" showDropDown="false" showErrorMessage="true" showInputMessage="false" sqref="U6:U255" type="list">
      <formula1>LISTS!$A$2:$A$7</formula1>
      <formula2>0</formula2>
    </dataValidation>
    <dataValidation allowBlank="true" error="Pick a name from EMPLOYEES, or add them there first." errorStyle="stop" errorTitle="Owner" operator="between" showDropDown="false" showErrorMessage="true" showInputMessage="false" sqref="T6:T255" type="list">
      <formula1>LISTS!$F$2:$F$59</formula1>
      <formula2>0</formula2>
    </dataValidation>
    <dataValidation allowBlank="true" error="Pick one of: Completed, In Progress, On Hold, Not Started, NA, Cancelled" errorStyle="stop" errorTitle="Status" operator="between" showDropDown="false" showErrorMessage="true" showInputMessage="false" sqref="Y6:Y255" type="list">
      <formula1>LISTS!$A$2:$A$7</formula1>
      <formula2>0</formula2>
    </dataValidation>
    <dataValidation allowBlank="true" error="Pick a name from EMPLOYEES, or add them there first." errorStyle="stop" errorTitle="Owner" operator="between" showDropDown="false" showErrorMessage="true" showInputMessage="false" sqref="X6:X255" type="list">
      <formula1>LISTS!$F$2:$F$59</formula1>
      <formula2>0</formula2>
    </dataValidation>
    <dataValidation allowBlank="true" error="Pick one of: Completed, In Progress, On Hold, Not Started, NA, Cancelled" errorStyle="stop" errorTitle="Status" operator="between" showDropDown="false" showErrorMessage="true" showInputMessage="false" sqref="AC6:AC255" type="list">
      <formula1>LISTS!$A$2:$A$7</formula1>
      <formula2>0</formula2>
    </dataValidation>
    <dataValidation allowBlank="true" error="Pick a name from EMPLOYEES, or add them there first." errorStyle="stop" errorTitle="Owner" operator="between" showDropDown="false" showErrorMessage="true" showInputMessage="false" sqref="AB6:AB255" type="list">
      <formula1>LISTS!$F$2:$F$59</formula1>
      <formula2>0</formula2>
    </dataValidation>
    <dataValidation allowBlank="true" error="Pick one of: Completed, In Progress, On Hold, Not Started, NA, Cancelled" errorStyle="stop" errorTitle="Status" operator="between" showDropDown="false" showErrorMessage="true" showInputMessage="false" sqref="AG6:AG255" type="list">
      <formula1>LISTS!$A$2:$A$7</formula1>
      <formula2>0</formula2>
    </dataValidation>
    <dataValidation allowBlank="true" error="Pick a name from EMPLOYEES, or add them there first." errorStyle="stop" errorTitle="Owner" operator="between" showDropDown="false" showErrorMessage="true" showInputMessage="false" sqref="AF6:AF255" type="list">
      <formula1>LISTS!$F$2:$F$59</formula1>
      <formula2>0</formula2>
    </dataValidation>
    <dataValidation allowBlank="true" error="Pick one of: Completed, In Progress, On Hold, Not Started, NA, Cancelled" errorStyle="stop" errorTitle="Status" operator="between" showDropDown="false" showErrorMessage="true" showInputMessage="false" sqref="AK6:AK255" type="list">
      <formula1>LISTS!$A$2:$A$7</formula1>
      <formula2>0</formula2>
    </dataValidation>
    <dataValidation allowBlank="true" error="Pick a name from EMPLOYEES, or add them there first." errorStyle="stop" errorTitle="Owner" operator="between" showDropDown="false" showErrorMessage="true" showInputMessage="false" sqref="AJ6:AJ255" type="list">
      <formula1>LISTS!$F$2:$F$59</formula1>
      <formula2>0</formula2>
    </dataValidation>
    <dataValidation allowBlank="true" error="Pick a client from CLIENTS, or add them there first." errorStyle="stop" errorTitle="Customer" operator="between" showDropDown="false" showErrorMessage="true" showInputMessage="false" sqref="B6:B255" type="list">
      <formula1>LISTS!$G$2:$G$59</formula1>
      <formula2>0</formula2>
    </dataValidation>
    <dataValidation allowBlank="true" error="Pick a reason code." errorStyle="stop" errorTitle="Hold / delay reason" operator="between" showDropDown="false" showErrorMessage="true" showInputMessage="false" sqref="AT6:AT255" type="list">
      <formula1>LISTS!$E$2:$E$10</formula1>
      <formula2>0</formula2>
    </dataValidation>
    <dataValidation allowBlank="true" error="Pick the stage the board re-enters at." errorStyle="stop" errorTitle="Stage" operator="between" showDropDown="false" showErrorMessage="true" showInputMessage="false" sqref="AO6:AO255" type="list">
      <formula1>LISTS!$B$2:$B$8</formula1>
      <formula2>0</formula2>
    </dataValidation>
    <dataValidation allowBlank="true" error="Pick a reason code." errorStyle="stop" errorTitle="Respin Reason" operator="between" showDropDown="false" showErrorMessage="true" showInputMessage="false" sqref="AP6:AP255" type="list">
      <formula1>LISTS!$C$2:$C$9</formula1>
      <formula2>0</formula2>
    </dataValidation>
    <dataValidation allowBlank="true" error="Yes or No." errorStyle="stop" errorTitle="Respin" operator="between" showDropDown="false" showErrorMessage="true" showInputMessage="false" sqref="AN6:AN255" type="list">
      <formula1>LISTS!$D$2:$D$3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5" min="1" style="0" width="30"/>
    <col collapsed="false" customWidth="true" hidden="false" outlineLevel="0" max="7" min="6" style="0" width="24"/>
  </cols>
  <sheetData>
    <row r="1" customFormat="false" ht="15" hidden="false" customHeight="false" outlineLevel="0" collapsed="false">
      <c r="A1" s="41" t="s">
        <v>35</v>
      </c>
      <c r="B1" s="41" t="s">
        <v>93</v>
      </c>
      <c r="C1" s="41" t="s">
        <v>136</v>
      </c>
      <c r="D1" s="41" t="s">
        <v>175</v>
      </c>
      <c r="E1" s="41" t="s">
        <v>166</v>
      </c>
      <c r="F1" s="42" t="s">
        <v>160</v>
      </c>
      <c r="G1" s="42" t="s">
        <v>176</v>
      </c>
    </row>
    <row r="2" customFormat="false" ht="15" hidden="false" customHeight="false" outlineLevel="0" collapsed="false">
      <c r="A2" s="0" t="s">
        <v>177</v>
      </c>
      <c r="B2" s="0" t="s">
        <v>178</v>
      </c>
      <c r="C2" s="0" t="s">
        <v>179</v>
      </c>
      <c r="D2" s="0" t="s">
        <v>52</v>
      </c>
      <c r="E2" s="0" t="s">
        <v>180</v>
      </c>
      <c r="F2" s="0" t="str">
        <f aca="false">IF(EMPLOYEES!G5="","",EMPLOYEES!G5)</f>
        <v>Srinivas</v>
      </c>
      <c r="G2" s="0" t="str">
        <f aca="false">IF(CLIENTS!B5="","",CLIENTS!B5)</f>
        <v/>
      </c>
    </row>
    <row r="3" customFormat="false" ht="15" hidden="false" customHeight="false" outlineLevel="0" collapsed="false">
      <c r="A3" s="0" t="s">
        <v>181</v>
      </c>
      <c r="B3" s="0" t="s">
        <v>182</v>
      </c>
      <c r="C3" s="0" t="s">
        <v>183</v>
      </c>
      <c r="D3" s="0" t="s">
        <v>184</v>
      </c>
      <c r="E3" s="0" t="s">
        <v>185</v>
      </c>
      <c r="F3" s="0" t="str">
        <f aca="false">IF(EMPLOYEES!G6="","",EMPLOYEES!G6)</f>
        <v>Sunil</v>
      </c>
      <c r="G3" s="0" t="str">
        <f aca="false">IF(CLIENTS!B6="","",CLIENTS!B6)</f>
        <v/>
      </c>
    </row>
    <row r="4" customFormat="false" ht="15" hidden="false" customHeight="false" outlineLevel="0" collapsed="false">
      <c r="A4" s="0" t="s">
        <v>186</v>
      </c>
      <c r="B4" s="0" t="s">
        <v>143</v>
      </c>
      <c r="C4" s="0" t="s">
        <v>187</v>
      </c>
      <c r="E4" s="0" t="s">
        <v>188</v>
      </c>
      <c r="F4" s="0" t="str">
        <f aca="false">IF(EMPLOYEES!G7="","",EMPLOYEES!G7)</f>
        <v>Samudra</v>
      </c>
      <c r="G4" s="0" t="str">
        <f aca="false">IF(CLIENTS!B7="","",CLIENTS!B7)</f>
        <v/>
      </c>
    </row>
    <row r="5" customFormat="false" ht="15" hidden="false" customHeight="false" outlineLevel="0" collapsed="false">
      <c r="A5" s="0" t="s">
        <v>189</v>
      </c>
      <c r="B5" s="0" t="s">
        <v>190</v>
      </c>
      <c r="C5" s="0" t="s">
        <v>191</v>
      </c>
      <c r="E5" s="0" t="s">
        <v>192</v>
      </c>
      <c r="F5" s="0" t="str">
        <f aca="false">IF(EMPLOYEES!G8="","",EMPLOYEES!G8)</f>
        <v>Anji</v>
      </c>
      <c r="G5" s="0" t="str">
        <f aca="false">IF(CLIENTS!B8="","",CLIENTS!B8)</f>
        <v/>
      </c>
    </row>
    <row r="6" customFormat="false" ht="15" hidden="false" customHeight="false" outlineLevel="0" collapsed="false">
      <c r="A6" s="0" t="s">
        <v>193</v>
      </c>
      <c r="B6" s="0" t="s">
        <v>194</v>
      </c>
      <c r="C6" s="0" t="s">
        <v>195</v>
      </c>
      <c r="E6" s="0" t="s">
        <v>196</v>
      </c>
      <c r="F6" s="0" t="str">
        <f aca="false">IF(EMPLOYEES!G9="","",EMPLOYEES!G9)</f>
        <v>Vivek</v>
      </c>
      <c r="G6" s="0" t="str">
        <f aca="false">IF(CLIENTS!B9="","",CLIENTS!B9)</f>
        <v/>
      </c>
    </row>
    <row r="7" customFormat="false" ht="15" hidden="false" customHeight="false" outlineLevel="0" collapsed="false">
      <c r="A7" s="0" t="s">
        <v>197</v>
      </c>
      <c r="B7" s="0" t="s">
        <v>198</v>
      </c>
      <c r="C7" s="0" t="s">
        <v>199</v>
      </c>
      <c r="E7" s="0" t="s">
        <v>200</v>
      </c>
      <c r="F7" s="0" t="str">
        <f aca="false">IF(EMPLOYEES!G10="","",EMPLOYEES!G10)</f>
        <v>Veeresh</v>
      </c>
      <c r="G7" s="0" t="str">
        <f aca="false">IF(CLIENTS!B10="","",CLIENTS!B10)</f>
        <v/>
      </c>
    </row>
    <row r="8" customFormat="false" ht="15" hidden="false" customHeight="false" outlineLevel="0" collapsed="false">
      <c r="B8" s="0" t="s">
        <v>201</v>
      </c>
      <c r="C8" s="0" t="s">
        <v>202</v>
      </c>
      <c r="E8" s="0" t="s">
        <v>203</v>
      </c>
      <c r="F8" s="0" t="str">
        <f aca="false">IF(EMPLOYEES!G11="","",EMPLOYEES!G11)</f>
        <v>Ramesh</v>
      </c>
      <c r="G8" s="0" t="str">
        <f aca="false">IF(CLIENTS!B11="","",CLIENTS!B11)</f>
        <v/>
      </c>
    </row>
    <row r="9" customFormat="false" ht="15" hidden="false" customHeight="false" outlineLevel="0" collapsed="false">
      <c r="C9" s="0" t="s">
        <v>204</v>
      </c>
      <c r="E9" s="0" t="s">
        <v>205</v>
      </c>
      <c r="F9" s="0" t="str">
        <f aca="false">IF(EMPLOYEES!G12="","",EMPLOYEES!G12)</f>
        <v>Vardhan</v>
      </c>
      <c r="G9" s="0" t="str">
        <f aca="false">IF(CLIENTS!B12="","",CLIENTS!B12)</f>
        <v/>
      </c>
    </row>
    <row r="10" customFormat="false" ht="15" hidden="false" customHeight="false" outlineLevel="0" collapsed="false">
      <c r="E10" s="0" t="s">
        <v>204</v>
      </c>
      <c r="F10" s="0" t="str">
        <f aca="false">IF(EMPLOYEES!G13="","",EMPLOYEES!G13)</f>
        <v>Keerthi</v>
      </c>
      <c r="G10" s="0" t="str">
        <f aca="false">IF(CLIENTS!B13="","",CLIENTS!B13)</f>
        <v/>
      </c>
    </row>
    <row r="11" customFormat="false" ht="15" hidden="false" customHeight="false" outlineLevel="0" collapsed="false">
      <c r="F11" s="0" t="str">
        <f aca="false">IF(EMPLOYEES!G14="","",EMPLOYEES!G14)</f>
        <v>Harika</v>
      </c>
      <c r="G11" s="0" t="str">
        <f aca="false">IF(CLIENTS!B14="","",CLIENTS!B14)</f>
        <v/>
      </c>
    </row>
    <row r="12" customFormat="false" ht="15" hidden="false" customHeight="false" outlineLevel="0" collapsed="false">
      <c r="F12" s="0" t="str">
        <f aca="false">IF(EMPLOYEES!G15="","",EMPLOYEES!G15)</f>
        <v>Sandhya</v>
      </c>
      <c r="G12" s="0" t="str">
        <f aca="false">IF(CLIENTS!B15="","",CLIENTS!B15)</f>
        <v/>
      </c>
    </row>
    <row r="13" customFormat="false" ht="15" hidden="false" customHeight="false" outlineLevel="0" collapsed="false">
      <c r="F13" s="0" t="str">
        <f aca="false">IF(EMPLOYEES!G16="","",EMPLOYEES!G16)</f>
        <v>Naveen</v>
      </c>
      <c r="G13" s="0" t="str">
        <f aca="false">IF(CLIENTS!B16="","",CLIENTS!B16)</f>
        <v/>
      </c>
    </row>
    <row r="14" customFormat="false" ht="15" hidden="false" customHeight="false" outlineLevel="0" collapsed="false">
      <c r="F14" s="0" t="str">
        <f aca="false">IF(EMPLOYEES!G17="","",EMPLOYEES!G17)</f>
        <v>Rajesh Sir</v>
      </c>
      <c r="G14" s="0" t="str">
        <f aca="false">IF(CLIENTS!B17="","",CLIENTS!B17)</f>
        <v/>
      </c>
    </row>
    <row r="15" customFormat="false" ht="15" hidden="false" customHeight="false" outlineLevel="0" collapsed="false">
      <c r="F15" s="0" t="str">
        <f aca="false">IF(EMPLOYEES!G18="","",EMPLOYEES!G18)</f>
        <v/>
      </c>
      <c r="G15" s="0" t="str">
        <f aca="false">IF(CLIENTS!B18="","",CLIENTS!B18)</f>
        <v/>
      </c>
    </row>
    <row r="16" customFormat="false" ht="15" hidden="false" customHeight="false" outlineLevel="0" collapsed="false">
      <c r="F16" s="0" t="str">
        <f aca="false">IF(EMPLOYEES!G19="","",EMPLOYEES!G19)</f>
        <v/>
      </c>
      <c r="G16" s="0" t="str">
        <f aca="false">IF(CLIENTS!B19="","",CLIENTS!B19)</f>
        <v/>
      </c>
    </row>
    <row r="17" customFormat="false" ht="15" hidden="false" customHeight="false" outlineLevel="0" collapsed="false">
      <c r="F17" s="0" t="str">
        <f aca="false">IF(EMPLOYEES!G20="","",EMPLOYEES!G20)</f>
        <v/>
      </c>
      <c r="G17" s="0" t="str">
        <f aca="false">IF(CLIENTS!B20="","",CLIENTS!B20)</f>
        <v/>
      </c>
    </row>
    <row r="18" customFormat="false" ht="15" hidden="false" customHeight="false" outlineLevel="0" collapsed="false">
      <c r="F18" s="0" t="str">
        <f aca="false">IF(EMPLOYEES!G21="","",EMPLOYEES!G21)</f>
        <v/>
      </c>
      <c r="G18" s="0" t="str">
        <f aca="false">IF(CLIENTS!B21="","",CLIENTS!B21)</f>
        <v/>
      </c>
    </row>
    <row r="19" customFormat="false" ht="15" hidden="false" customHeight="false" outlineLevel="0" collapsed="false">
      <c r="F19" s="0" t="str">
        <f aca="false">IF(EMPLOYEES!G22="","",EMPLOYEES!G22)</f>
        <v/>
      </c>
      <c r="G19" s="0" t="str">
        <f aca="false">IF(CLIENTS!B22="","",CLIENTS!B22)</f>
        <v/>
      </c>
    </row>
    <row r="20" customFormat="false" ht="15" hidden="false" customHeight="false" outlineLevel="0" collapsed="false">
      <c r="F20" s="0" t="str">
        <f aca="false">IF(EMPLOYEES!G23="","",EMPLOYEES!G23)</f>
        <v/>
      </c>
      <c r="G20" s="0" t="str">
        <f aca="false">IF(CLIENTS!B23="","",CLIENTS!B23)</f>
        <v/>
      </c>
    </row>
    <row r="21" customFormat="false" ht="15" hidden="false" customHeight="false" outlineLevel="0" collapsed="false">
      <c r="F21" s="0" t="str">
        <f aca="false">IF(EMPLOYEES!G24="","",EMPLOYEES!G24)</f>
        <v/>
      </c>
      <c r="G21" s="0" t="str">
        <f aca="false">IF(CLIENTS!B24="","",CLIENTS!B24)</f>
        <v/>
      </c>
    </row>
    <row r="22" customFormat="false" ht="15" hidden="false" customHeight="false" outlineLevel="0" collapsed="false">
      <c r="F22" s="0" t="str">
        <f aca="false">IF(EMPLOYEES!G25="","",EMPLOYEES!G25)</f>
        <v/>
      </c>
      <c r="G22" s="0" t="str">
        <f aca="false">IF(CLIENTS!B25="","",CLIENTS!B25)</f>
        <v/>
      </c>
    </row>
    <row r="23" customFormat="false" ht="15" hidden="false" customHeight="false" outlineLevel="0" collapsed="false">
      <c r="F23" s="0" t="str">
        <f aca="false">IF(EMPLOYEES!G26="","",EMPLOYEES!G26)</f>
        <v/>
      </c>
      <c r="G23" s="0" t="str">
        <f aca="false">IF(CLIENTS!B26="","",CLIENTS!B26)</f>
        <v/>
      </c>
    </row>
    <row r="24" customFormat="false" ht="15" hidden="false" customHeight="false" outlineLevel="0" collapsed="false">
      <c r="F24" s="0" t="str">
        <f aca="false">IF(EMPLOYEES!G27="","",EMPLOYEES!G27)</f>
        <v/>
      </c>
      <c r="G24" s="0" t="str">
        <f aca="false">IF(CLIENTS!B27="","",CLIENTS!B27)</f>
        <v/>
      </c>
    </row>
    <row r="25" customFormat="false" ht="15" hidden="false" customHeight="false" outlineLevel="0" collapsed="false">
      <c r="F25" s="0" t="str">
        <f aca="false">IF(EMPLOYEES!G28="","",EMPLOYEES!G28)</f>
        <v/>
      </c>
      <c r="G25" s="0" t="str">
        <f aca="false">IF(CLIENTS!B28="","",CLIENTS!B28)</f>
        <v/>
      </c>
    </row>
    <row r="26" customFormat="false" ht="15" hidden="false" customHeight="false" outlineLevel="0" collapsed="false">
      <c r="F26" s="0" t="str">
        <f aca="false">IF(EMPLOYEES!G29="","",EMPLOYEES!G29)</f>
        <v/>
      </c>
      <c r="G26" s="0" t="str">
        <f aca="false">IF(CLIENTS!B29="","",CLIENTS!B29)</f>
        <v/>
      </c>
    </row>
    <row r="27" customFormat="false" ht="15" hidden="false" customHeight="false" outlineLevel="0" collapsed="false">
      <c r="F27" s="0" t="str">
        <f aca="false">IF(EMPLOYEES!G30="","",EMPLOYEES!G30)</f>
        <v/>
      </c>
      <c r="G27" s="0" t="str">
        <f aca="false">IF(CLIENTS!B30="","",CLIENTS!B30)</f>
        <v/>
      </c>
    </row>
    <row r="28" customFormat="false" ht="15" hidden="false" customHeight="false" outlineLevel="0" collapsed="false">
      <c r="F28" s="0" t="str">
        <f aca="false">IF(EMPLOYEES!G31="","",EMPLOYEES!G31)</f>
        <v/>
      </c>
      <c r="G28" s="0" t="str">
        <f aca="false">IF(CLIENTS!B31="","",CLIENTS!B31)</f>
        <v/>
      </c>
    </row>
    <row r="29" customFormat="false" ht="15" hidden="false" customHeight="false" outlineLevel="0" collapsed="false">
      <c r="F29" s="0" t="str">
        <f aca="false">IF(EMPLOYEES!G32="","",EMPLOYEES!G32)</f>
        <v/>
      </c>
      <c r="G29" s="0" t="str">
        <f aca="false">IF(CLIENTS!B32="","",CLIENTS!B32)</f>
        <v/>
      </c>
    </row>
    <row r="30" customFormat="false" ht="15" hidden="false" customHeight="false" outlineLevel="0" collapsed="false">
      <c r="F30" s="0" t="str">
        <f aca="false">IF(EMPLOYEES!G33="","",EMPLOYEES!G33)</f>
        <v/>
      </c>
      <c r="G30" s="0" t="str">
        <f aca="false">IF(CLIENTS!B33="","",CLIENTS!B33)</f>
        <v/>
      </c>
    </row>
    <row r="31" customFormat="false" ht="15" hidden="false" customHeight="false" outlineLevel="0" collapsed="false">
      <c r="F31" s="0" t="str">
        <f aca="false">IF(EMPLOYEES!G34="","",EMPLOYEES!G34)</f>
        <v/>
      </c>
      <c r="G31" s="0" t="str">
        <f aca="false">IF(CLIENTS!B34="","",CLIENTS!B34)</f>
        <v/>
      </c>
    </row>
    <row r="32" customFormat="false" ht="15" hidden="false" customHeight="false" outlineLevel="0" collapsed="false">
      <c r="F32" s="0" t="str">
        <f aca="false">IF(EMPLOYEES!G35="","",EMPLOYEES!G35)</f>
        <v/>
      </c>
      <c r="G32" s="0" t="str">
        <f aca="false">IF(CLIENTS!B35="","",CLIENTS!B35)</f>
        <v/>
      </c>
    </row>
    <row r="33" customFormat="false" ht="15" hidden="false" customHeight="false" outlineLevel="0" collapsed="false">
      <c r="F33" s="0" t="str">
        <f aca="false">IF(EMPLOYEES!G36="","",EMPLOYEES!G36)</f>
        <v/>
      </c>
      <c r="G33" s="0" t="str">
        <f aca="false">IF(CLIENTS!B36="","",CLIENTS!B36)</f>
        <v/>
      </c>
    </row>
    <row r="34" customFormat="false" ht="15" hidden="false" customHeight="false" outlineLevel="0" collapsed="false">
      <c r="F34" s="0" t="str">
        <f aca="false">IF(EMPLOYEES!G37="","",EMPLOYEES!G37)</f>
        <v/>
      </c>
      <c r="G34" s="0" t="str">
        <f aca="false">IF(CLIENTS!B37="","",CLIENTS!B37)</f>
        <v/>
      </c>
    </row>
    <row r="35" customFormat="false" ht="15" hidden="false" customHeight="false" outlineLevel="0" collapsed="false">
      <c r="F35" s="0" t="str">
        <f aca="false">IF(EMPLOYEES!G38="","",EMPLOYEES!G38)</f>
        <v/>
      </c>
      <c r="G35" s="0" t="str">
        <f aca="false">IF(CLIENTS!B38="","",CLIENTS!B38)</f>
        <v/>
      </c>
    </row>
    <row r="36" customFormat="false" ht="15" hidden="false" customHeight="false" outlineLevel="0" collapsed="false">
      <c r="F36" s="0" t="str">
        <f aca="false">IF(EMPLOYEES!G39="","",EMPLOYEES!G39)</f>
        <v/>
      </c>
      <c r="G36" s="0" t="str">
        <f aca="false">IF(CLIENTS!B39="","",CLIENTS!B39)</f>
        <v/>
      </c>
    </row>
    <row r="37" customFormat="false" ht="15" hidden="false" customHeight="false" outlineLevel="0" collapsed="false">
      <c r="F37" s="0" t="str">
        <f aca="false">IF(EMPLOYEES!G40="","",EMPLOYEES!G40)</f>
        <v/>
      </c>
      <c r="G37" s="0" t="str">
        <f aca="false">IF(CLIENTS!B40="","",CLIENTS!B40)</f>
        <v/>
      </c>
    </row>
    <row r="38" customFormat="false" ht="15" hidden="false" customHeight="false" outlineLevel="0" collapsed="false">
      <c r="F38" s="0" t="str">
        <f aca="false">IF(EMPLOYEES!G41="","",EMPLOYEES!G41)</f>
        <v/>
      </c>
      <c r="G38" s="0" t="str">
        <f aca="false">IF(CLIENTS!B41="","",CLIENTS!B41)</f>
        <v/>
      </c>
    </row>
    <row r="39" customFormat="false" ht="15" hidden="false" customHeight="false" outlineLevel="0" collapsed="false">
      <c r="F39" s="0" t="str">
        <f aca="false">IF(EMPLOYEES!G42="","",EMPLOYEES!G42)</f>
        <v/>
      </c>
      <c r="G39" s="0" t="str">
        <f aca="false">IF(CLIENTS!B42="","",CLIENTS!B42)</f>
        <v/>
      </c>
    </row>
    <row r="40" customFormat="false" ht="15" hidden="false" customHeight="false" outlineLevel="0" collapsed="false">
      <c r="F40" s="0" t="str">
        <f aca="false">IF(EMPLOYEES!G43="","",EMPLOYEES!G43)</f>
        <v/>
      </c>
      <c r="G40" s="0" t="str">
        <f aca="false">IF(CLIENTS!B43="","",CLIENTS!B43)</f>
        <v/>
      </c>
    </row>
    <row r="41" customFormat="false" ht="15" hidden="false" customHeight="false" outlineLevel="0" collapsed="false">
      <c r="F41" s="0" t="str">
        <f aca="false">IF(EMPLOYEES!G44="","",EMPLOYEES!G44)</f>
        <v/>
      </c>
      <c r="G41" s="0" t="str">
        <f aca="false">IF(CLIENTS!B44="","",CLIENTS!B44)</f>
        <v/>
      </c>
    </row>
    <row r="42" customFormat="false" ht="15" hidden="false" customHeight="false" outlineLevel="0" collapsed="false">
      <c r="F42" s="0" t="str">
        <f aca="false">IF(EMPLOYEES!G45="","",EMPLOYEES!G45)</f>
        <v/>
      </c>
      <c r="G42" s="0" t="str">
        <f aca="false">IF(CLIENTS!B45="","",CLIENTS!B45)</f>
        <v/>
      </c>
    </row>
    <row r="43" customFormat="false" ht="15" hidden="false" customHeight="false" outlineLevel="0" collapsed="false">
      <c r="F43" s="0" t="str">
        <f aca="false">IF(EMPLOYEES!G46="","",EMPLOYEES!G46)</f>
        <v/>
      </c>
      <c r="G43" s="0" t="str">
        <f aca="false">IF(CLIENTS!B46="","",CLIENTS!B46)</f>
        <v/>
      </c>
    </row>
    <row r="44" customFormat="false" ht="15" hidden="false" customHeight="false" outlineLevel="0" collapsed="false">
      <c r="F44" s="0" t="str">
        <f aca="false">IF(EMPLOYEES!G47="","",EMPLOYEES!G47)</f>
        <v/>
      </c>
      <c r="G44" s="0" t="str">
        <f aca="false">IF(CLIENTS!B47="","",CLIENTS!B47)</f>
        <v/>
      </c>
    </row>
    <row r="45" customFormat="false" ht="15" hidden="false" customHeight="false" outlineLevel="0" collapsed="false">
      <c r="F45" s="0" t="str">
        <f aca="false">IF(EMPLOYEES!G48="","",EMPLOYEES!G48)</f>
        <v/>
      </c>
      <c r="G45" s="0" t="str">
        <f aca="false">IF(CLIENTS!B48="","",CLIENTS!B48)</f>
        <v/>
      </c>
    </row>
    <row r="46" customFormat="false" ht="15" hidden="false" customHeight="false" outlineLevel="0" collapsed="false">
      <c r="F46" s="0" t="str">
        <f aca="false">IF(EMPLOYEES!G49="","",EMPLOYEES!G49)</f>
        <v/>
      </c>
      <c r="G46" s="0" t="str">
        <f aca="false">IF(CLIENTS!B49="","",CLIENTS!B49)</f>
        <v/>
      </c>
    </row>
    <row r="47" customFormat="false" ht="15" hidden="false" customHeight="false" outlineLevel="0" collapsed="false">
      <c r="F47" s="0" t="str">
        <f aca="false">IF(EMPLOYEES!G50="","",EMPLOYEES!G50)</f>
        <v/>
      </c>
      <c r="G47" s="0" t="str">
        <f aca="false">IF(CLIENTS!B50="","",CLIENTS!B50)</f>
        <v/>
      </c>
    </row>
    <row r="48" customFormat="false" ht="15" hidden="false" customHeight="false" outlineLevel="0" collapsed="false">
      <c r="F48" s="0" t="str">
        <f aca="false">IF(EMPLOYEES!G51="","",EMPLOYEES!G51)</f>
        <v/>
      </c>
      <c r="G48" s="0" t="str">
        <f aca="false">IF(CLIENTS!B51="","",CLIENTS!B51)</f>
        <v/>
      </c>
    </row>
    <row r="49" customFormat="false" ht="15" hidden="false" customHeight="false" outlineLevel="0" collapsed="false">
      <c r="F49" s="0" t="str">
        <f aca="false">IF(EMPLOYEES!G52="","",EMPLOYEES!G52)</f>
        <v/>
      </c>
      <c r="G49" s="0" t="str">
        <f aca="false">IF(CLIENTS!B52="","",CLIENTS!B52)</f>
        <v/>
      </c>
    </row>
    <row r="50" customFormat="false" ht="15" hidden="false" customHeight="false" outlineLevel="0" collapsed="false">
      <c r="F50" s="0" t="str">
        <f aca="false">IF(EMPLOYEES!G53="","",EMPLOYEES!G53)</f>
        <v/>
      </c>
      <c r="G50" s="0" t="str">
        <f aca="false">IF(CLIENTS!B53="","",CLIENTS!B53)</f>
        <v/>
      </c>
    </row>
    <row r="51" customFormat="false" ht="15" hidden="false" customHeight="false" outlineLevel="0" collapsed="false">
      <c r="F51" s="0" t="str">
        <f aca="false">IF(EMPLOYEES!G54="","",EMPLOYEES!G54)</f>
        <v/>
      </c>
      <c r="G51" s="0" t="str">
        <f aca="false">IF(CLIENTS!B54="","",CLIENTS!B54)</f>
        <v/>
      </c>
    </row>
    <row r="52" customFormat="false" ht="15" hidden="false" customHeight="false" outlineLevel="0" collapsed="false">
      <c r="F52" s="0" t="str">
        <f aca="false">IF(EMPLOYEES!G55="","",EMPLOYEES!G55)</f>
        <v/>
      </c>
      <c r="G52" s="0" t="str">
        <f aca="false">IF(CLIENTS!B55="","",CLIENTS!B55)</f>
        <v/>
      </c>
    </row>
    <row r="53" customFormat="false" ht="15" hidden="false" customHeight="false" outlineLevel="0" collapsed="false">
      <c r="F53" s="0" t="str">
        <f aca="false">IF(EMPLOYEES!G56="","",EMPLOYEES!G56)</f>
        <v/>
      </c>
      <c r="G53" s="0" t="str">
        <f aca="false">IF(CLIENTS!B56="","",CLIENTS!B56)</f>
        <v/>
      </c>
    </row>
    <row r="54" customFormat="false" ht="15" hidden="false" customHeight="false" outlineLevel="0" collapsed="false">
      <c r="F54" s="0" t="str">
        <f aca="false">IF(EMPLOYEES!G57="","",EMPLOYEES!G57)</f>
        <v/>
      </c>
      <c r="G54" s="0" t="str">
        <f aca="false">IF(CLIENTS!B57="","",CLIENTS!B57)</f>
        <v/>
      </c>
    </row>
    <row r="55" customFormat="false" ht="15" hidden="false" customHeight="false" outlineLevel="0" collapsed="false">
      <c r="F55" s="0" t="str">
        <f aca="false">IF(EMPLOYEES!G58="","",EMPLOYEES!G58)</f>
        <v/>
      </c>
      <c r="G55" s="0" t="str">
        <f aca="false">IF(CLIENTS!B58="","",CLIENTS!B58)</f>
        <v/>
      </c>
    </row>
    <row r="56" customFormat="false" ht="15" hidden="false" customHeight="false" outlineLevel="0" collapsed="false">
      <c r="F56" s="0" t="str">
        <f aca="false">IF(EMPLOYEES!G59="","",EMPLOYEES!G59)</f>
        <v/>
      </c>
      <c r="G56" s="0" t="str">
        <f aca="false">IF(CLIENTS!B59="","",CLIENTS!B59)</f>
        <v/>
      </c>
    </row>
    <row r="57" customFormat="false" ht="15" hidden="false" customHeight="false" outlineLevel="0" collapsed="false">
      <c r="F57" s="0" t="str">
        <f aca="false">IF(EMPLOYEES!G60="","",EMPLOYEES!G60)</f>
        <v/>
      </c>
      <c r="G57" s="0" t="str">
        <f aca="false">IF(CLIENTS!B60="","",CLIENTS!B60)</f>
        <v/>
      </c>
    </row>
    <row r="58" customFormat="false" ht="15" hidden="false" customHeight="false" outlineLevel="0" collapsed="false">
      <c r="F58" s="0" t="str">
        <f aca="false">IF(EMPLOYEES!G61="","",EMPLOYEES!G61)</f>
        <v/>
      </c>
      <c r="G58" s="0" t="str">
        <f aca="false">IF(CLIENTS!B61="","",CLIENTS!B61)</f>
        <v/>
      </c>
    </row>
    <row r="59" customFormat="false" ht="15" hidden="false" customHeight="false" outlineLevel="0" collapsed="false">
      <c r="F59" s="0" t="str">
        <f aca="false">IF(EMPLOYEES!G62="","",EMPLOYEES!G62)</f>
        <v/>
      </c>
      <c r="G59" s="0" t="str">
        <f aca="false">IF(CLIENTS!B62="","",CLIENTS!B62)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2026-09-04T07:03:24Z</dcterms:created>
  <dc:creator>openpyxl</dc:creator>
  <dc:description/>
  <dc:language>en-US</dc:language>
  <cp:lastModifiedBy/>
  <dcterms:modified xsi:type="dcterms:W3CDTF">2026-09-04T07:03:27Z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